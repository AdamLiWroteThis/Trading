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20" windowWidth="12396" windowHeight="5820" tabRatio="863" activeTab="2"/>
  </bookViews>
  <sheets>
    <sheet name="Welcome" sheetId="16" r:id="rId1"/>
    <sheet name="Account Log" sheetId="13" r:id="rId2"/>
    <sheet name="Recap" sheetId="20" r:id="rId3"/>
    <sheet name="Trade Log" sheetId="1" r:id="rId4"/>
    <sheet name="Monthly Log" sheetId="15" r:id="rId5"/>
    <sheet name="ProfitRpt" sheetId="2" r:id="rId6"/>
    <sheet name="StrategyRptbyMonth" sheetId="12" r:id="rId7"/>
    <sheet name="StrategyRptbyYear " sheetId="10" r:id="rId8"/>
    <sheet name="Milestone" sheetId="17" r:id="rId9"/>
    <sheet name="Data" sheetId="19" r:id="rId10"/>
  </sheets>
  <definedNames>
    <definedName name="Close_Strategy">Data!$B$2:$B$4</definedName>
    <definedName name="Open_Strategy">Data!$A$2:$A$5</definedName>
    <definedName name="Size">Data!$C$2:$C$101</definedName>
    <definedName name="Type">Data!$B$2:$B$4</definedName>
  </definedNames>
  <calcPr calcId="145621"/>
  <pivotCaches>
    <pivotCache cacheId="0" r:id="rId11"/>
  </pivotCaches>
</workbook>
</file>

<file path=xl/calcChain.xml><?xml version="1.0" encoding="utf-8"?>
<calcChain xmlns="http://schemas.openxmlformats.org/spreadsheetml/2006/main">
  <c r="B2" i="17" l="1"/>
  <c r="D2" i="1"/>
  <c r="H994" i="1" l="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D994" i="1"/>
  <c r="D993" i="1"/>
  <c r="D992" i="1"/>
  <c r="D991" i="1"/>
  <c r="D990" i="1"/>
  <c r="D989" i="1"/>
  <c r="D988" i="1"/>
  <c r="D987" i="1"/>
  <c r="D986" i="1"/>
  <c r="D985" i="1"/>
  <c r="D984" i="1"/>
  <c r="D983" i="1"/>
  <c r="D982" i="1"/>
  <c r="D981" i="1"/>
  <c r="D980" i="1"/>
  <c r="D979" i="1"/>
  <c r="D978" i="1"/>
  <c r="D977" i="1"/>
  <c r="D976" i="1"/>
  <c r="D975" i="1"/>
  <c r="D974" i="1"/>
  <c r="D973" i="1"/>
  <c r="D972" i="1"/>
  <c r="D971" i="1"/>
  <c r="D970" i="1"/>
  <c r="D969" i="1"/>
  <c r="D968" i="1"/>
  <c r="D967" i="1"/>
  <c r="D966" i="1"/>
  <c r="D965" i="1"/>
  <c r="D964" i="1"/>
  <c r="D963" i="1"/>
  <c r="D962" i="1"/>
  <c r="D961" i="1"/>
  <c r="D960" i="1"/>
  <c r="D959" i="1"/>
  <c r="D958" i="1"/>
  <c r="D957" i="1"/>
  <c r="D956" i="1"/>
  <c r="D955" i="1"/>
  <c r="D954" i="1"/>
  <c r="D953" i="1"/>
  <c r="D952" i="1"/>
  <c r="D951" i="1"/>
  <c r="D950" i="1"/>
  <c r="D949" i="1"/>
  <c r="D948" i="1"/>
  <c r="D947" i="1"/>
  <c r="D946" i="1"/>
  <c r="D945" i="1"/>
  <c r="D944" i="1"/>
  <c r="D943" i="1"/>
  <c r="D942" i="1"/>
  <c r="D941" i="1"/>
  <c r="D940" i="1"/>
  <c r="D939" i="1"/>
  <c r="D938" i="1"/>
  <c r="D937" i="1"/>
  <c r="D936" i="1"/>
  <c r="D935" i="1"/>
  <c r="D934" i="1"/>
  <c r="D933" i="1"/>
  <c r="D932" i="1"/>
  <c r="D931" i="1"/>
  <c r="D930" i="1"/>
  <c r="D929" i="1"/>
  <c r="D928" i="1"/>
  <c r="D927" i="1"/>
  <c r="D926" i="1"/>
  <c r="D925" i="1"/>
  <c r="D924" i="1"/>
  <c r="D923" i="1"/>
  <c r="D922" i="1"/>
  <c r="D921" i="1"/>
  <c r="D920" i="1"/>
  <c r="D919" i="1"/>
  <c r="D918" i="1"/>
  <c r="D917" i="1"/>
  <c r="D916" i="1"/>
  <c r="D915" i="1"/>
  <c r="D914" i="1"/>
  <c r="D913" i="1"/>
  <c r="D912" i="1"/>
  <c r="D911" i="1"/>
  <c r="D910" i="1"/>
  <c r="D909" i="1"/>
  <c r="D908" i="1"/>
  <c r="D907" i="1"/>
  <c r="D906" i="1"/>
  <c r="D905" i="1"/>
  <c r="D904" i="1"/>
  <c r="D903" i="1"/>
  <c r="D902" i="1"/>
  <c r="D901" i="1"/>
  <c r="D900" i="1"/>
  <c r="D899" i="1"/>
  <c r="D898" i="1"/>
  <c r="D897" i="1"/>
  <c r="D896" i="1"/>
  <c r="D895" i="1"/>
  <c r="D894" i="1"/>
  <c r="D893" i="1"/>
  <c r="D892" i="1"/>
  <c r="D891" i="1"/>
  <c r="D890" i="1"/>
  <c r="D889" i="1"/>
  <c r="D888" i="1"/>
  <c r="D887" i="1"/>
  <c r="D886" i="1"/>
  <c r="D885" i="1"/>
  <c r="D884" i="1"/>
  <c r="D883" i="1"/>
  <c r="D882" i="1"/>
  <c r="D881" i="1"/>
  <c r="D880" i="1"/>
  <c r="D879" i="1"/>
  <c r="D878" i="1"/>
  <c r="D877" i="1"/>
  <c r="D876" i="1"/>
  <c r="D875" i="1"/>
  <c r="D874" i="1"/>
  <c r="D873" i="1"/>
  <c r="D872" i="1"/>
  <c r="D871" i="1"/>
  <c r="D870" i="1"/>
  <c r="D869" i="1"/>
  <c r="D868" i="1"/>
  <c r="D867" i="1"/>
  <c r="D866" i="1"/>
  <c r="D865" i="1"/>
  <c r="D864" i="1"/>
  <c r="D863" i="1"/>
  <c r="D862" i="1"/>
  <c r="D861" i="1"/>
  <c r="D860" i="1"/>
  <c r="D859" i="1"/>
  <c r="D858" i="1"/>
  <c r="D857" i="1"/>
  <c r="D856" i="1"/>
  <c r="D855" i="1"/>
  <c r="D854" i="1"/>
  <c r="D853" i="1"/>
  <c r="D852" i="1"/>
  <c r="D851" i="1"/>
  <c r="D850" i="1"/>
  <c r="D849" i="1"/>
  <c r="D848" i="1"/>
  <c r="D847" i="1"/>
  <c r="D846" i="1"/>
  <c r="D845" i="1"/>
  <c r="D844" i="1"/>
  <c r="D843" i="1"/>
  <c r="D842" i="1"/>
  <c r="D841" i="1"/>
  <c r="D840" i="1"/>
  <c r="D839" i="1"/>
  <c r="D838" i="1"/>
  <c r="D837" i="1"/>
  <c r="D836" i="1"/>
  <c r="D835" i="1"/>
  <c r="D834" i="1"/>
  <c r="D833" i="1"/>
  <c r="D832" i="1"/>
  <c r="D831" i="1"/>
  <c r="D830"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5" i="1"/>
  <c r="D764" i="1"/>
  <c r="D763" i="1"/>
  <c r="D762" i="1"/>
  <c r="D761" i="1"/>
  <c r="D760" i="1"/>
  <c r="D759"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21" i="1"/>
  <c r="D720" i="1"/>
  <c r="D719" i="1"/>
  <c r="D718" i="1"/>
  <c r="D717" i="1"/>
  <c r="D716" i="1"/>
  <c r="D715" i="1"/>
  <c r="D714" i="1"/>
  <c r="D713" i="1"/>
  <c r="D712" i="1"/>
  <c r="D711" i="1"/>
  <c r="D710" i="1"/>
  <c r="D709" i="1"/>
  <c r="D708" i="1"/>
  <c r="D707" i="1"/>
  <c r="D706" i="1"/>
  <c r="D705" i="1"/>
  <c r="D704" i="1"/>
  <c r="D703" i="1"/>
  <c r="D702" i="1"/>
  <c r="D701" i="1"/>
  <c r="D700" i="1"/>
  <c r="D699" i="1"/>
  <c r="D698" i="1"/>
  <c r="D697" i="1"/>
  <c r="D696" i="1"/>
  <c r="D695" i="1"/>
  <c r="D694" i="1"/>
  <c r="D693" i="1"/>
  <c r="D692" i="1"/>
  <c r="D691" i="1"/>
  <c r="D690" i="1"/>
  <c r="D689" i="1"/>
  <c r="D688" i="1"/>
  <c r="D687" i="1"/>
  <c r="D686" i="1"/>
  <c r="D685" i="1"/>
  <c r="D684" i="1"/>
  <c r="D683" i="1"/>
  <c r="D682" i="1"/>
  <c r="D681" i="1"/>
  <c r="D680" i="1"/>
  <c r="D679" i="1"/>
  <c r="D678" i="1"/>
  <c r="D677" i="1"/>
  <c r="D676" i="1"/>
  <c r="D675" i="1"/>
  <c r="D674" i="1"/>
  <c r="D673" i="1"/>
  <c r="D672" i="1"/>
  <c r="D671" i="1"/>
  <c r="D670" i="1"/>
  <c r="D669" i="1"/>
  <c r="D668" i="1"/>
  <c r="D667" i="1"/>
  <c r="D666" i="1"/>
  <c r="D665" i="1"/>
  <c r="D664" i="1"/>
  <c r="D663" i="1"/>
  <c r="D662" i="1"/>
  <c r="D661" i="1"/>
  <c r="D660" i="1"/>
  <c r="D659" i="1"/>
  <c r="D658" i="1"/>
  <c r="D657" i="1"/>
  <c r="D656" i="1"/>
  <c r="D655" i="1"/>
  <c r="D654" i="1"/>
  <c r="D653" i="1"/>
  <c r="D652" i="1"/>
  <c r="D651" i="1"/>
  <c r="D650" i="1"/>
  <c r="D649" i="1"/>
  <c r="D648" i="1"/>
  <c r="D647" i="1"/>
  <c r="D646" i="1"/>
  <c r="D645" i="1"/>
  <c r="D644" i="1"/>
  <c r="D643" i="1"/>
  <c r="D642" i="1"/>
  <c r="D641" i="1"/>
  <c r="D640" i="1"/>
  <c r="D639" i="1"/>
  <c r="D638" i="1"/>
  <c r="D637" i="1"/>
  <c r="D636" i="1"/>
  <c r="D635" i="1"/>
  <c r="D634" i="1"/>
  <c r="D633" i="1"/>
  <c r="D632" i="1"/>
  <c r="D631" i="1"/>
  <c r="D630" i="1"/>
  <c r="D629" i="1"/>
  <c r="D628" i="1"/>
  <c r="D627" i="1"/>
  <c r="D626" i="1"/>
  <c r="D625" i="1"/>
  <c r="D624" i="1"/>
  <c r="D623" i="1"/>
  <c r="D622" i="1"/>
  <c r="D621" i="1"/>
  <c r="D620" i="1"/>
  <c r="D619" i="1"/>
  <c r="D618" i="1"/>
  <c r="D617" i="1"/>
  <c r="D616" i="1"/>
  <c r="D615" i="1"/>
  <c r="D614" i="1"/>
  <c r="D613" i="1"/>
  <c r="D612" i="1"/>
  <c r="D611" i="1"/>
  <c r="D610" i="1"/>
  <c r="D609" i="1"/>
  <c r="D608" i="1"/>
  <c r="D607" i="1"/>
  <c r="D606" i="1"/>
  <c r="D605" i="1"/>
  <c r="D604" i="1"/>
  <c r="D603" i="1"/>
  <c r="D602" i="1"/>
  <c r="D601" i="1"/>
  <c r="D600" i="1"/>
  <c r="D599" i="1"/>
  <c r="D598" i="1"/>
  <c r="D597" i="1"/>
  <c r="D596" i="1"/>
  <c r="D595" i="1"/>
  <c r="D594" i="1"/>
  <c r="D593" i="1"/>
  <c r="D592" i="1"/>
  <c r="D591" i="1"/>
  <c r="D590" i="1"/>
  <c r="D589"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D531" i="1"/>
  <c r="D530"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C9" i="13" l="1"/>
  <c r="B9" i="13"/>
  <c r="F994" i="1" l="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E14" i="1"/>
  <c r="F13" i="1"/>
  <c r="E13" i="1"/>
  <c r="F12" i="1"/>
  <c r="E12" i="1"/>
  <c r="A16" i="1" l="1"/>
  <c r="A15" i="1"/>
  <c r="A14" i="1"/>
  <c r="A13" i="1"/>
  <c r="A12" i="1"/>
  <c r="AA994" i="1" l="1"/>
  <c r="Z994" i="1"/>
  <c r="AA993" i="1"/>
  <c r="Z993" i="1"/>
  <c r="AA992" i="1"/>
  <c r="Z992" i="1"/>
  <c r="AA991" i="1"/>
  <c r="Z991" i="1"/>
  <c r="AA990" i="1"/>
  <c r="Z990" i="1"/>
  <c r="AA989" i="1"/>
  <c r="Z989" i="1"/>
  <c r="AA988" i="1"/>
  <c r="Z988" i="1"/>
  <c r="AA987" i="1"/>
  <c r="Z987" i="1"/>
  <c r="AA986" i="1"/>
  <c r="Z986" i="1"/>
  <c r="AA985" i="1"/>
  <c r="Z985" i="1"/>
  <c r="AA984" i="1"/>
  <c r="Z984" i="1"/>
  <c r="AA983" i="1"/>
  <c r="Z983" i="1"/>
  <c r="AA982" i="1"/>
  <c r="Z982" i="1"/>
  <c r="AA981" i="1"/>
  <c r="Z981" i="1"/>
  <c r="AA980" i="1"/>
  <c r="Z980" i="1"/>
  <c r="AA979" i="1"/>
  <c r="Z979" i="1"/>
  <c r="AA978" i="1"/>
  <c r="Z978" i="1"/>
  <c r="AA977" i="1"/>
  <c r="Z977" i="1"/>
  <c r="AA976" i="1"/>
  <c r="Z976" i="1"/>
  <c r="AA975" i="1"/>
  <c r="Z975" i="1"/>
  <c r="AA974" i="1"/>
  <c r="Z974" i="1"/>
  <c r="AA973" i="1"/>
  <c r="Z973" i="1"/>
  <c r="AA972" i="1"/>
  <c r="Z972" i="1"/>
  <c r="AA971" i="1"/>
  <c r="Z971" i="1"/>
  <c r="AA970" i="1"/>
  <c r="Z970" i="1"/>
  <c r="AA969" i="1"/>
  <c r="Z969" i="1"/>
  <c r="AA968" i="1"/>
  <c r="Z968" i="1"/>
  <c r="AA967" i="1"/>
  <c r="Z967" i="1"/>
  <c r="AA966" i="1"/>
  <c r="Z966" i="1"/>
  <c r="AA965" i="1"/>
  <c r="Z965" i="1"/>
  <c r="AA964" i="1"/>
  <c r="Z964" i="1"/>
  <c r="AA963" i="1"/>
  <c r="Z963" i="1"/>
  <c r="AA962" i="1"/>
  <c r="Z962" i="1"/>
  <c r="AA961" i="1"/>
  <c r="Z961" i="1"/>
  <c r="AA960" i="1"/>
  <c r="Z960" i="1"/>
  <c r="AA959" i="1"/>
  <c r="Z959" i="1"/>
  <c r="AA958" i="1"/>
  <c r="Z958" i="1"/>
  <c r="AA957" i="1"/>
  <c r="Z957" i="1"/>
  <c r="AA956" i="1"/>
  <c r="Z956" i="1"/>
  <c r="AA955" i="1"/>
  <c r="Z955" i="1"/>
  <c r="AA954" i="1"/>
  <c r="Z954" i="1"/>
  <c r="AA953" i="1"/>
  <c r="Z953" i="1"/>
  <c r="AA952" i="1"/>
  <c r="Z952" i="1"/>
  <c r="AA951" i="1"/>
  <c r="Z951" i="1"/>
  <c r="AA950" i="1"/>
  <c r="Z950" i="1"/>
  <c r="AA949" i="1"/>
  <c r="Z949" i="1"/>
  <c r="AA948" i="1"/>
  <c r="Z948" i="1"/>
  <c r="AA947" i="1"/>
  <c r="Z947" i="1"/>
  <c r="AA946" i="1"/>
  <c r="Z946" i="1"/>
  <c r="AA945" i="1"/>
  <c r="Z945" i="1"/>
  <c r="AA944" i="1"/>
  <c r="Z944" i="1"/>
  <c r="AA943" i="1"/>
  <c r="Z943" i="1"/>
  <c r="AA942" i="1"/>
  <c r="Z942" i="1"/>
  <c r="AA941" i="1"/>
  <c r="Z941" i="1"/>
  <c r="AA940" i="1"/>
  <c r="Z940" i="1"/>
  <c r="AA939" i="1"/>
  <c r="Z939" i="1"/>
  <c r="AA938" i="1"/>
  <c r="Z938" i="1"/>
  <c r="AA937" i="1"/>
  <c r="Z937" i="1"/>
  <c r="AA936" i="1"/>
  <c r="Z936" i="1"/>
  <c r="AA935" i="1"/>
  <c r="Z935" i="1"/>
  <c r="AA934" i="1"/>
  <c r="Z934" i="1"/>
  <c r="AA933" i="1"/>
  <c r="Z933" i="1"/>
  <c r="AA932" i="1"/>
  <c r="Z932" i="1"/>
  <c r="AA931" i="1"/>
  <c r="Z931" i="1"/>
  <c r="AA930" i="1"/>
  <c r="Z930" i="1"/>
  <c r="AA929" i="1"/>
  <c r="Z929" i="1"/>
  <c r="AA928" i="1"/>
  <c r="Z928" i="1"/>
  <c r="AA927" i="1"/>
  <c r="Z927" i="1"/>
  <c r="AA926" i="1"/>
  <c r="Z926" i="1"/>
  <c r="AA925" i="1"/>
  <c r="Z925" i="1"/>
  <c r="AA924" i="1"/>
  <c r="Z924" i="1"/>
  <c r="AA923" i="1"/>
  <c r="Z923" i="1"/>
  <c r="AA922" i="1"/>
  <c r="Z922" i="1"/>
  <c r="AA921" i="1"/>
  <c r="Z921" i="1"/>
  <c r="AA920" i="1"/>
  <c r="Z920" i="1"/>
  <c r="AA919" i="1"/>
  <c r="Z919" i="1"/>
  <c r="AA918" i="1"/>
  <c r="Z918" i="1"/>
  <c r="AA917" i="1"/>
  <c r="Z917" i="1"/>
  <c r="AA916" i="1"/>
  <c r="Z916" i="1"/>
  <c r="AA915" i="1"/>
  <c r="Z915" i="1"/>
  <c r="AA914" i="1"/>
  <c r="Z914" i="1"/>
  <c r="AA913" i="1"/>
  <c r="Z913" i="1"/>
  <c r="AA912" i="1"/>
  <c r="Z912" i="1"/>
  <c r="AA911" i="1"/>
  <c r="Z911" i="1"/>
  <c r="AA910" i="1"/>
  <c r="Z910" i="1"/>
  <c r="AA909" i="1"/>
  <c r="Z909" i="1"/>
  <c r="AA908" i="1"/>
  <c r="Z908" i="1"/>
  <c r="AA907" i="1"/>
  <c r="Z907" i="1"/>
  <c r="AA906" i="1"/>
  <c r="Z906" i="1"/>
  <c r="AA905" i="1"/>
  <c r="Z905" i="1"/>
  <c r="AA904" i="1"/>
  <c r="Z904" i="1"/>
  <c r="AA903" i="1"/>
  <c r="Z903" i="1"/>
  <c r="AA902" i="1"/>
  <c r="Z902" i="1"/>
  <c r="AA901" i="1"/>
  <c r="Z901" i="1"/>
  <c r="AA900" i="1"/>
  <c r="Z900" i="1"/>
  <c r="AA899" i="1"/>
  <c r="Z899" i="1"/>
  <c r="AA898" i="1"/>
  <c r="Z898" i="1"/>
  <c r="AA897" i="1"/>
  <c r="Z897" i="1"/>
  <c r="AA896" i="1"/>
  <c r="Z896" i="1"/>
  <c r="AA895" i="1"/>
  <c r="Z895" i="1"/>
  <c r="AA894" i="1"/>
  <c r="Z894" i="1"/>
  <c r="AA893" i="1"/>
  <c r="Z893" i="1"/>
  <c r="AA892" i="1"/>
  <c r="Z892" i="1"/>
  <c r="AA891" i="1"/>
  <c r="Z891" i="1"/>
  <c r="AA890" i="1"/>
  <c r="Z890" i="1"/>
  <c r="AA889" i="1"/>
  <c r="Z889" i="1"/>
  <c r="AA888" i="1"/>
  <c r="Z888" i="1"/>
  <c r="AA887" i="1"/>
  <c r="Z887" i="1"/>
  <c r="AA886" i="1"/>
  <c r="Z886" i="1"/>
  <c r="AA885" i="1"/>
  <c r="Z885" i="1"/>
  <c r="AA884" i="1"/>
  <c r="Z884" i="1"/>
  <c r="AA883" i="1"/>
  <c r="Z883" i="1"/>
  <c r="AA882" i="1"/>
  <c r="Z882" i="1"/>
  <c r="AA881" i="1"/>
  <c r="Z881" i="1"/>
  <c r="AA880" i="1"/>
  <c r="Z880" i="1"/>
  <c r="AA879" i="1"/>
  <c r="Z879" i="1"/>
  <c r="AA878" i="1"/>
  <c r="Z878" i="1"/>
  <c r="AA877" i="1"/>
  <c r="Z877" i="1"/>
  <c r="AA876" i="1"/>
  <c r="Z876" i="1"/>
  <c r="AA875" i="1"/>
  <c r="Z875" i="1"/>
  <c r="AA874" i="1"/>
  <c r="Z874" i="1"/>
  <c r="AA873" i="1"/>
  <c r="Z873" i="1"/>
  <c r="AA872" i="1"/>
  <c r="Z872" i="1"/>
  <c r="AA871" i="1"/>
  <c r="Z871" i="1"/>
  <c r="AA870" i="1"/>
  <c r="Z870" i="1"/>
  <c r="AA869" i="1"/>
  <c r="Z869" i="1"/>
  <c r="AA868" i="1"/>
  <c r="Z868" i="1"/>
  <c r="AA867" i="1"/>
  <c r="Z867" i="1"/>
  <c r="AA866" i="1"/>
  <c r="Z866" i="1"/>
  <c r="AA865" i="1"/>
  <c r="Z865" i="1"/>
  <c r="AA864" i="1"/>
  <c r="Z864" i="1"/>
  <c r="AA863" i="1"/>
  <c r="Z863" i="1"/>
  <c r="AA862" i="1"/>
  <c r="Z862" i="1"/>
  <c r="AA861" i="1"/>
  <c r="Z861" i="1"/>
  <c r="AA860" i="1"/>
  <c r="Z860" i="1"/>
  <c r="AA859" i="1"/>
  <c r="Z859" i="1"/>
  <c r="AA858" i="1"/>
  <c r="Z858" i="1"/>
  <c r="AA857" i="1"/>
  <c r="Z857" i="1"/>
  <c r="AA856" i="1"/>
  <c r="Z856" i="1"/>
  <c r="AA855" i="1"/>
  <c r="Z855" i="1"/>
  <c r="AA854" i="1"/>
  <c r="Z854" i="1"/>
  <c r="AA853" i="1"/>
  <c r="Z853" i="1"/>
  <c r="AA852" i="1"/>
  <c r="Z852" i="1"/>
  <c r="AA851" i="1"/>
  <c r="Z851" i="1"/>
  <c r="AA850" i="1"/>
  <c r="Z850" i="1"/>
  <c r="AA849" i="1"/>
  <c r="Z849" i="1"/>
  <c r="AA848" i="1"/>
  <c r="Z848" i="1"/>
  <c r="AA847" i="1"/>
  <c r="Z847" i="1"/>
  <c r="AA846" i="1"/>
  <c r="Z846" i="1"/>
  <c r="AA845" i="1"/>
  <c r="Z845" i="1"/>
  <c r="AA844" i="1"/>
  <c r="Z844" i="1"/>
  <c r="AA843" i="1"/>
  <c r="Z843" i="1"/>
  <c r="AA842" i="1"/>
  <c r="Z842" i="1"/>
  <c r="AA841" i="1"/>
  <c r="Z841" i="1"/>
  <c r="AA840" i="1"/>
  <c r="Z840" i="1"/>
  <c r="AA839" i="1"/>
  <c r="Z839" i="1"/>
  <c r="AA838" i="1"/>
  <c r="Z838" i="1"/>
  <c r="AA837" i="1"/>
  <c r="Z837" i="1"/>
  <c r="AA836" i="1"/>
  <c r="Z836" i="1"/>
  <c r="AA835" i="1"/>
  <c r="Z835" i="1"/>
  <c r="AA834" i="1"/>
  <c r="Z834" i="1"/>
  <c r="AA833" i="1"/>
  <c r="Z833" i="1"/>
  <c r="AA832" i="1"/>
  <c r="Z832" i="1"/>
  <c r="AA831" i="1"/>
  <c r="Z831" i="1"/>
  <c r="AA830" i="1"/>
  <c r="Z830" i="1"/>
  <c r="AA829" i="1"/>
  <c r="Z829" i="1"/>
  <c r="AA828" i="1"/>
  <c r="Z828" i="1"/>
  <c r="AA827" i="1"/>
  <c r="Z827" i="1"/>
  <c r="AA826" i="1"/>
  <c r="Z826" i="1"/>
  <c r="AA825" i="1"/>
  <c r="Z825" i="1"/>
  <c r="AA824" i="1"/>
  <c r="Z824" i="1"/>
  <c r="AA823" i="1"/>
  <c r="Z823" i="1"/>
  <c r="AA822" i="1"/>
  <c r="Z822" i="1"/>
  <c r="AA821" i="1"/>
  <c r="Z821" i="1"/>
  <c r="AA820" i="1"/>
  <c r="Z820" i="1"/>
  <c r="AA819" i="1"/>
  <c r="Z819" i="1"/>
  <c r="AA818" i="1"/>
  <c r="Z818" i="1"/>
  <c r="AA817" i="1"/>
  <c r="Z817" i="1"/>
  <c r="AA816" i="1"/>
  <c r="Z816" i="1"/>
  <c r="AA815" i="1"/>
  <c r="Z815" i="1"/>
  <c r="AA814" i="1"/>
  <c r="Z814" i="1"/>
  <c r="AA813" i="1"/>
  <c r="Z813" i="1"/>
  <c r="AA812" i="1"/>
  <c r="Z812" i="1"/>
  <c r="AA811" i="1"/>
  <c r="Z811" i="1"/>
  <c r="AA810" i="1"/>
  <c r="Z810" i="1"/>
  <c r="AA809" i="1"/>
  <c r="Z809" i="1"/>
  <c r="AA808" i="1"/>
  <c r="Z808" i="1"/>
  <c r="AA807" i="1"/>
  <c r="Z807" i="1"/>
  <c r="AA806" i="1"/>
  <c r="Z806" i="1"/>
  <c r="AA805" i="1"/>
  <c r="Z805" i="1"/>
  <c r="AA804" i="1"/>
  <c r="Z804" i="1"/>
  <c r="AA803" i="1"/>
  <c r="Z803" i="1"/>
  <c r="AA802" i="1"/>
  <c r="Z802" i="1"/>
  <c r="AA801" i="1"/>
  <c r="Z801" i="1"/>
  <c r="AA800" i="1"/>
  <c r="Z800" i="1"/>
  <c r="AA799" i="1"/>
  <c r="Z799" i="1"/>
  <c r="AA798" i="1"/>
  <c r="Z798" i="1"/>
  <c r="AA797" i="1"/>
  <c r="Z797" i="1"/>
  <c r="AA796" i="1"/>
  <c r="Z796" i="1"/>
  <c r="AA795" i="1"/>
  <c r="Z795" i="1"/>
  <c r="AA794" i="1"/>
  <c r="Z794" i="1"/>
  <c r="AA793" i="1"/>
  <c r="Z793" i="1"/>
  <c r="AA792" i="1"/>
  <c r="Z792" i="1"/>
  <c r="AA791" i="1"/>
  <c r="Z791" i="1"/>
  <c r="AA790" i="1"/>
  <c r="Z790" i="1"/>
  <c r="AA789" i="1"/>
  <c r="Z789" i="1"/>
  <c r="AA788" i="1"/>
  <c r="Z788" i="1"/>
  <c r="AA787" i="1"/>
  <c r="Z787" i="1"/>
  <c r="AA786" i="1"/>
  <c r="Z786" i="1"/>
  <c r="AA785" i="1"/>
  <c r="Z785" i="1"/>
  <c r="AA784" i="1"/>
  <c r="Z784" i="1"/>
  <c r="AA783" i="1"/>
  <c r="Z783" i="1"/>
  <c r="AA782" i="1"/>
  <c r="Z782" i="1"/>
  <c r="AA781" i="1"/>
  <c r="Z781" i="1"/>
  <c r="AA780" i="1"/>
  <c r="Z780" i="1"/>
  <c r="AA779" i="1"/>
  <c r="Z779" i="1"/>
  <c r="AA778" i="1"/>
  <c r="Z778" i="1"/>
  <c r="AA777" i="1"/>
  <c r="Z777" i="1"/>
  <c r="AA776" i="1"/>
  <c r="Z776" i="1"/>
  <c r="AA775" i="1"/>
  <c r="Z775" i="1"/>
  <c r="AA774" i="1"/>
  <c r="Z774" i="1"/>
  <c r="AA773" i="1"/>
  <c r="Z773" i="1"/>
  <c r="AA772" i="1"/>
  <c r="Z772" i="1"/>
  <c r="AA771" i="1"/>
  <c r="Z771" i="1"/>
  <c r="AA770" i="1"/>
  <c r="Z770" i="1"/>
  <c r="AA769" i="1"/>
  <c r="Z769" i="1"/>
  <c r="AA768" i="1"/>
  <c r="Z768" i="1"/>
  <c r="AA767" i="1"/>
  <c r="Z767" i="1"/>
  <c r="AA766" i="1"/>
  <c r="Z766" i="1"/>
  <c r="AA765" i="1"/>
  <c r="Z765" i="1"/>
  <c r="AA764" i="1"/>
  <c r="Z764" i="1"/>
  <c r="AA763" i="1"/>
  <c r="Z763" i="1"/>
  <c r="AA762" i="1"/>
  <c r="Z762" i="1"/>
  <c r="AA761" i="1"/>
  <c r="Z761" i="1"/>
  <c r="AA760" i="1"/>
  <c r="Z760" i="1"/>
  <c r="AA759" i="1"/>
  <c r="Z759" i="1"/>
  <c r="AA758" i="1"/>
  <c r="Z758" i="1"/>
  <c r="AA757" i="1"/>
  <c r="Z757" i="1"/>
  <c r="AA756" i="1"/>
  <c r="Z756" i="1"/>
  <c r="AA755" i="1"/>
  <c r="Z755" i="1"/>
  <c r="AA754" i="1"/>
  <c r="Z754" i="1"/>
  <c r="AA753" i="1"/>
  <c r="Z753" i="1"/>
  <c r="AA752" i="1"/>
  <c r="Z752" i="1"/>
  <c r="AA751" i="1"/>
  <c r="Z751" i="1"/>
  <c r="AA750" i="1"/>
  <c r="Z750" i="1"/>
  <c r="AA749" i="1"/>
  <c r="Z749" i="1"/>
  <c r="AA748" i="1"/>
  <c r="Z748" i="1"/>
  <c r="AA747" i="1"/>
  <c r="Z747" i="1"/>
  <c r="AA746" i="1"/>
  <c r="Z746" i="1"/>
  <c r="AA745" i="1"/>
  <c r="Z745" i="1"/>
  <c r="AA744" i="1"/>
  <c r="Z744" i="1"/>
  <c r="AA743" i="1"/>
  <c r="Z743" i="1"/>
  <c r="AA742" i="1"/>
  <c r="Z742" i="1"/>
  <c r="AA741" i="1"/>
  <c r="Z741" i="1"/>
  <c r="AA740" i="1"/>
  <c r="Z740" i="1"/>
  <c r="AA739" i="1"/>
  <c r="Z739" i="1"/>
  <c r="AA738" i="1"/>
  <c r="Z738" i="1"/>
  <c r="AA737" i="1"/>
  <c r="Z737" i="1"/>
  <c r="AA736" i="1"/>
  <c r="Z736" i="1"/>
  <c r="AA735" i="1"/>
  <c r="Z735" i="1"/>
  <c r="AA734" i="1"/>
  <c r="Z734" i="1"/>
  <c r="AA733" i="1"/>
  <c r="Z733" i="1"/>
  <c r="AA732" i="1"/>
  <c r="Z732" i="1"/>
  <c r="AA731" i="1"/>
  <c r="Z731" i="1"/>
  <c r="AA730" i="1"/>
  <c r="Z730" i="1"/>
  <c r="AA729" i="1"/>
  <c r="Z729" i="1"/>
  <c r="AA728" i="1"/>
  <c r="Z728" i="1"/>
  <c r="AA727" i="1"/>
  <c r="Z727" i="1"/>
  <c r="AA726" i="1"/>
  <c r="Z726" i="1"/>
  <c r="AA725" i="1"/>
  <c r="Z725" i="1"/>
  <c r="AA724" i="1"/>
  <c r="Z724" i="1"/>
  <c r="AA723" i="1"/>
  <c r="Z723" i="1"/>
  <c r="AA722" i="1"/>
  <c r="Z722" i="1"/>
  <c r="AA721" i="1"/>
  <c r="Z721" i="1"/>
  <c r="AA720" i="1"/>
  <c r="Z720" i="1"/>
  <c r="AA719" i="1"/>
  <c r="Z719" i="1"/>
  <c r="AA718" i="1"/>
  <c r="Z718" i="1"/>
  <c r="AA717" i="1"/>
  <c r="Z717" i="1"/>
  <c r="AA716" i="1"/>
  <c r="Z716" i="1"/>
  <c r="AA715" i="1"/>
  <c r="Z715" i="1"/>
  <c r="AA714" i="1"/>
  <c r="Z714" i="1"/>
  <c r="AA713" i="1"/>
  <c r="Z713" i="1"/>
  <c r="AA712" i="1"/>
  <c r="Z712" i="1"/>
  <c r="AA711" i="1"/>
  <c r="Z711" i="1"/>
  <c r="AA710" i="1"/>
  <c r="Z710" i="1"/>
  <c r="AA709" i="1"/>
  <c r="Z709" i="1"/>
  <c r="AA708" i="1"/>
  <c r="Z708" i="1"/>
  <c r="AA707" i="1"/>
  <c r="Z707" i="1"/>
  <c r="AA706" i="1"/>
  <c r="Z706" i="1"/>
  <c r="AA705" i="1"/>
  <c r="Z705" i="1"/>
  <c r="AA704" i="1"/>
  <c r="Z704" i="1"/>
  <c r="AA703" i="1"/>
  <c r="Z703" i="1"/>
  <c r="AA702" i="1"/>
  <c r="Z702" i="1"/>
  <c r="AA701" i="1"/>
  <c r="Z701" i="1"/>
  <c r="AA700" i="1"/>
  <c r="Z700" i="1"/>
  <c r="AA699" i="1"/>
  <c r="Z699" i="1"/>
  <c r="AA698" i="1"/>
  <c r="Z698" i="1"/>
  <c r="AA697" i="1"/>
  <c r="Z697" i="1"/>
  <c r="AA696" i="1"/>
  <c r="Z696" i="1"/>
  <c r="AA695" i="1"/>
  <c r="Z695" i="1"/>
  <c r="AA694" i="1"/>
  <c r="Z694" i="1"/>
  <c r="AA693" i="1"/>
  <c r="Z693" i="1"/>
  <c r="AA692" i="1"/>
  <c r="Z692" i="1"/>
  <c r="AA691" i="1"/>
  <c r="Z691" i="1"/>
  <c r="AA690" i="1"/>
  <c r="Z690" i="1"/>
  <c r="AA689" i="1"/>
  <c r="Z689" i="1"/>
  <c r="AA688" i="1"/>
  <c r="Z688" i="1"/>
  <c r="AA687" i="1"/>
  <c r="Z687" i="1"/>
  <c r="AA686" i="1"/>
  <c r="Z686" i="1"/>
  <c r="AA685" i="1"/>
  <c r="Z685" i="1"/>
  <c r="AA684" i="1"/>
  <c r="Z684" i="1"/>
  <c r="AA683" i="1"/>
  <c r="Z683" i="1"/>
  <c r="AA682" i="1"/>
  <c r="Z682" i="1"/>
  <c r="AA681" i="1"/>
  <c r="Z681" i="1"/>
  <c r="AA680" i="1"/>
  <c r="Z680" i="1"/>
  <c r="AA679" i="1"/>
  <c r="Z679" i="1"/>
  <c r="AA678" i="1"/>
  <c r="Z678" i="1"/>
  <c r="AA677" i="1"/>
  <c r="Z677" i="1"/>
  <c r="AA676" i="1"/>
  <c r="Z676" i="1"/>
  <c r="AA675" i="1"/>
  <c r="Z675" i="1"/>
  <c r="AA674" i="1"/>
  <c r="Z674" i="1"/>
  <c r="AA673" i="1"/>
  <c r="Z673" i="1"/>
  <c r="AA672" i="1"/>
  <c r="Z672" i="1"/>
  <c r="AA671" i="1"/>
  <c r="Z671" i="1"/>
  <c r="AA670" i="1"/>
  <c r="Z670" i="1"/>
  <c r="AA669" i="1"/>
  <c r="Z669" i="1"/>
  <c r="AA668" i="1"/>
  <c r="Z668" i="1"/>
  <c r="AA667" i="1"/>
  <c r="Z667" i="1"/>
  <c r="AA666" i="1"/>
  <c r="Z666" i="1"/>
  <c r="AA665" i="1"/>
  <c r="Z665" i="1"/>
  <c r="AA664" i="1"/>
  <c r="Z664" i="1"/>
  <c r="AA663" i="1"/>
  <c r="Z663" i="1"/>
  <c r="AA662" i="1"/>
  <c r="Z662" i="1"/>
  <c r="AA661" i="1"/>
  <c r="Z661" i="1"/>
  <c r="AA660" i="1"/>
  <c r="Z660" i="1"/>
  <c r="AA659" i="1"/>
  <c r="Z659" i="1"/>
  <c r="AA658" i="1"/>
  <c r="Z658" i="1"/>
  <c r="AA657" i="1"/>
  <c r="Z657" i="1"/>
  <c r="AA656" i="1"/>
  <c r="Z656" i="1"/>
  <c r="AA655" i="1"/>
  <c r="Z655" i="1"/>
  <c r="AA654" i="1"/>
  <c r="Z654" i="1"/>
  <c r="AA653" i="1"/>
  <c r="Z653" i="1"/>
  <c r="AA652" i="1"/>
  <c r="Z652" i="1"/>
  <c r="AA651" i="1"/>
  <c r="Z651" i="1"/>
  <c r="AA650" i="1"/>
  <c r="Z650" i="1"/>
  <c r="AA649" i="1"/>
  <c r="Z649" i="1"/>
  <c r="AA648" i="1"/>
  <c r="Z648" i="1"/>
  <c r="AA647" i="1"/>
  <c r="Z647" i="1"/>
  <c r="AA646" i="1"/>
  <c r="Z646" i="1"/>
  <c r="AA645" i="1"/>
  <c r="Z645" i="1"/>
  <c r="AA644" i="1"/>
  <c r="Z644" i="1"/>
  <c r="AA643" i="1"/>
  <c r="Z643" i="1"/>
  <c r="AA642" i="1"/>
  <c r="Z642" i="1"/>
  <c r="AA641" i="1"/>
  <c r="Z641" i="1"/>
  <c r="AA640" i="1"/>
  <c r="Z640" i="1"/>
  <c r="AA639" i="1"/>
  <c r="Z639" i="1"/>
  <c r="AA638" i="1"/>
  <c r="Z638" i="1"/>
  <c r="AA637" i="1"/>
  <c r="Z637" i="1"/>
  <c r="AA636" i="1"/>
  <c r="Z636" i="1"/>
  <c r="AA635" i="1"/>
  <c r="Z635" i="1"/>
  <c r="AA634" i="1"/>
  <c r="Z634" i="1"/>
  <c r="AA633" i="1"/>
  <c r="Z633" i="1"/>
  <c r="AA632" i="1"/>
  <c r="Z632" i="1"/>
  <c r="AA631" i="1"/>
  <c r="Z631" i="1"/>
  <c r="AA630" i="1"/>
  <c r="Z630" i="1"/>
  <c r="AA629" i="1"/>
  <c r="Z629" i="1"/>
  <c r="AA628" i="1"/>
  <c r="Z628" i="1"/>
  <c r="AA627" i="1"/>
  <c r="Z627" i="1"/>
  <c r="AA626" i="1"/>
  <c r="Z626" i="1"/>
  <c r="AA625" i="1"/>
  <c r="Z625" i="1"/>
  <c r="AA624" i="1"/>
  <c r="Z624" i="1"/>
  <c r="AA623" i="1"/>
  <c r="Z623" i="1"/>
  <c r="AA622" i="1"/>
  <c r="Z622" i="1"/>
  <c r="AA621" i="1"/>
  <c r="Z621" i="1"/>
  <c r="AA620" i="1"/>
  <c r="Z620" i="1"/>
  <c r="AA619" i="1"/>
  <c r="Z619" i="1"/>
  <c r="AA618" i="1"/>
  <c r="Z618" i="1"/>
  <c r="AA617" i="1"/>
  <c r="Z617" i="1"/>
  <c r="AA616" i="1"/>
  <c r="Z616" i="1"/>
  <c r="AA615" i="1"/>
  <c r="Z615" i="1"/>
  <c r="AA614" i="1"/>
  <c r="Z614" i="1"/>
  <c r="AA613" i="1"/>
  <c r="Z613" i="1"/>
  <c r="AA612" i="1"/>
  <c r="Z612" i="1"/>
  <c r="AA611" i="1"/>
  <c r="Z611" i="1"/>
  <c r="AA610" i="1"/>
  <c r="Z610" i="1"/>
  <c r="AA609" i="1"/>
  <c r="Z609" i="1"/>
  <c r="AA608" i="1"/>
  <c r="Z608" i="1"/>
  <c r="AA607" i="1"/>
  <c r="Z607" i="1"/>
  <c r="AA606" i="1"/>
  <c r="Z606" i="1"/>
  <c r="AA605" i="1"/>
  <c r="Z605" i="1"/>
  <c r="AA604" i="1"/>
  <c r="Z604" i="1"/>
  <c r="AA603" i="1"/>
  <c r="Z603" i="1"/>
  <c r="AA602" i="1"/>
  <c r="Z602" i="1"/>
  <c r="AA601" i="1"/>
  <c r="Z601" i="1"/>
  <c r="AA600" i="1"/>
  <c r="Z600" i="1"/>
  <c r="AA599" i="1"/>
  <c r="Z599" i="1"/>
  <c r="AA598" i="1"/>
  <c r="Z598" i="1"/>
  <c r="AA597" i="1"/>
  <c r="Z597" i="1"/>
  <c r="AA596" i="1"/>
  <c r="Z596" i="1"/>
  <c r="AA595" i="1"/>
  <c r="Z595" i="1"/>
  <c r="AA594" i="1"/>
  <c r="Z594" i="1"/>
  <c r="AA593" i="1"/>
  <c r="Z593" i="1"/>
  <c r="AA592" i="1"/>
  <c r="Z592" i="1"/>
  <c r="AA591" i="1"/>
  <c r="Z591" i="1"/>
  <c r="AA590" i="1"/>
  <c r="Z590" i="1"/>
  <c r="AA589" i="1"/>
  <c r="Z589" i="1"/>
  <c r="AA588" i="1"/>
  <c r="Z588" i="1"/>
  <c r="AA587" i="1"/>
  <c r="Z587" i="1"/>
  <c r="AA586" i="1"/>
  <c r="Z586" i="1"/>
  <c r="AA585" i="1"/>
  <c r="Z585" i="1"/>
  <c r="AA584" i="1"/>
  <c r="Z584" i="1"/>
  <c r="AA583" i="1"/>
  <c r="Z583" i="1"/>
  <c r="AA582" i="1"/>
  <c r="Z582" i="1"/>
  <c r="AA581" i="1"/>
  <c r="Z581" i="1"/>
  <c r="AA580" i="1"/>
  <c r="Z580" i="1"/>
  <c r="AA579" i="1"/>
  <c r="Z579" i="1"/>
  <c r="AA578" i="1"/>
  <c r="Z578" i="1"/>
  <c r="AA577" i="1"/>
  <c r="Z577" i="1"/>
  <c r="AA576" i="1"/>
  <c r="Z576" i="1"/>
  <c r="AA575" i="1"/>
  <c r="Z575" i="1"/>
  <c r="AA574" i="1"/>
  <c r="Z574" i="1"/>
  <c r="AA573" i="1"/>
  <c r="Z573" i="1"/>
  <c r="AA572" i="1"/>
  <c r="Z572" i="1"/>
  <c r="AA571" i="1"/>
  <c r="Z571" i="1"/>
  <c r="AA570" i="1"/>
  <c r="Z570" i="1"/>
  <c r="AA569" i="1"/>
  <c r="Z569" i="1"/>
  <c r="AA568" i="1"/>
  <c r="Z568" i="1"/>
  <c r="AA567" i="1"/>
  <c r="Z567" i="1"/>
  <c r="AA566" i="1"/>
  <c r="Z566" i="1"/>
  <c r="AA565" i="1"/>
  <c r="Z565" i="1"/>
  <c r="AA564" i="1"/>
  <c r="Z564" i="1"/>
  <c r="AA563" i="1"/>
  <c r="Z563" i="1"/>
  <c r="AA562" i="1"/>
  <c r="Z562" i="1"/>
  <c r="AA561" i="1"/>
  <c r="Z561" i="1"/>
  <c r="AA560" i="1"/>
  <c r="Z560" i="1"/>
  <c r="AA559" i="1"/>
  <c r="Z559" i="1"/>
  <c r="AA558" i="1"/>
  <c r="Z558" i="1"/>
  <c r="AA557" i="1"/>
  <c r="Z557" i="1"/>
  <c r="AA556" i="1"/>
  <c r="Z556" i="1"/>
  <c r="AA555" i="1"/>
  <c r="Z555" i="1"/>
  <c r="AA554" i="1"/>
  <c r="Z554" i="1"/>
  <c r="AA553" i="1"/>
  <c r="Z553" i="1"/>
  <c r="AA552" i="1"/>
  <c r="Z552" i="1"/>
  <c r="AA551" i="1"/>
  <c r="Z551" i="1"/>
  <c r="AA550" i="1"/>
  <c r="Z550" i="1"/>
  <c r="AA549" i="1"/>
  <c r="Z549" i="1"/>
  <c r="AA548" i="1"/>
  <c r="Z548" i="1"/>
  <c r="AA547" i="1"/>
  <c r="Z547" i="1"/>
  <c r="AA546" i="1"/>
  <c r="Z546" i="1"/>
  <c r="AA545" i="1"/>
  <c r="Z545" i="1"/>
  <c r="AA544" i="1"/>
  <c r="Z544" i="1"/>
  <c r="AA543" i="1"/>
  <c r="Z543" i="1"/>
  <c r="AA542" i="1"/>
  <c r="Z542" i="1"/>
  <c r="AA541" i="1"/>
  <c r="Z541" i="1"/>
  <c r="AA540" i="1"/>
  <c r="Z540" i="1"/>
  <c r="AA539" i="1"/>
  <c r="Z539" i="1"/>
  <c r="AA538" i="1"/>
  <c r="Z538" i="1"/>
  <c r="AA537" i="1"/>
  <c r="Z537" i="1"/>
  <c r="AA536" i="1"/>
  <c r="Z536" i="1"/>
  <c r="AA535" i="1"/>
  <c r="Z535" i="1"/>
  <c r="AA534" i="1"/>
  <c r="Z534" i="1"/>
  <c r="AA533" i="1"/>
  <c r="Z533" i="1"/>
  <c r="AA532" i="1"/>
  <c r="Z532" i="1"/>
  <c r="AA531" i="1"/>
  <c r="Z531" i="1"/>
  <c r="AA530" i="1"/>
  <c r="Z530" i="1"/>
  <c r="AA529" i="1"/>
  <c r="Z529" i="1"/>
  <c r="AA528" i="1"/>
  <c r="Z528" i="1"/>
  <c r="AA527" i="1"/>
  <c r="Z527" i="1"/>
  <c r="AA526" i="1"/>
  <c r="Z526" i="1"/>
  <c r="AA525" i="1"/>
  <c r="Z525" i="1"/>
  <c r="AA524" i="1"/>
  <c r="Z524" i="1"/>
  <c r="AA523" i="1"/>
  <c r="Z523" i="1"/>
  <c r="AA522" i="1"/>
  <c r="Z522" i="1"/>
  <c r="AA521" i="1"/>
  <c r="Z521" i="1"/>
  <c r="AA520" i="1"/>
  <c r="Z520" i="1"/>
  <c r="AA519" i="1"/>
  <c r="Z519" i="1"/>
  <c r="AA518" i="1"/>
  <c r="Z518" i="1"/>
  <c r="AA517" i="1"/>
  <c r="Z517" i="1"/>
  <c r="AA516" i="1"/>
  <c r="Z516" i="1"/>
  <c r="AA515" i="1"/>
  <c r="Z515" i="1"/>
  <c r="AA514" i="1"/>
  <c r="Z514" i="1"/>
  <c r="AA513" i="1"/>
  <c r="Z513" i="1"/>
  <c r="AA512" i="1"/>
  <c r="Z512" i="1"/>
  <c r="AA511" i="1"/>
  <c r="Z511" i="1"/>
  <c r="AA510" i="1"/>
  <c r="Z510" i="1"/>
  <c r="AA509" i="1"/>
  <c r="Z509" i="1"/>
  <c r="AA508" i="1"/>
  <c r="Z508" i="1"/>
  <c r="AA507" i="1"/>
  <c r="Z507" i="1"/>
  <c r="AA506" i="1"/>
  <c r="Z506" i="1"/>
  <c r="AA505" i="1"/>
  <c r="Z505" i="1"/>
  <c r="AA504" i="1"/>
  <c r="Z504" i="1"/>
  <c r="AA503" i="1"/>
  <c r="Z503" i="1"/>
  <c r="AA502" i="1"/>
  <c r="Z502" i="1"/>
  <c r="AA501" i="1"/>
  <c r="Z501" i="1"/>
  <c r="AA500" i="1"/>
  <c r="Z500" i="1"/>
  <c r="AA499" i="1"/>
  <c r="Z499" i="1"/>
  <c r="AA498" i="1"/>
  <c r="Z498" i="1"/>
  <c r="AA497" i="1"/>
  <c r="Z497" i="1"/>
  <c r="AA496" i="1"/>
  <c r="Z496" i="1"/>
  <c r="AA495" i="1"/>
  <c r="Z495" i="1"/>
  <c r="AA494" i="1"/>
  <c r="Z494" i="1"/>
  <c r="AA493" i="1"/>
  <c r="Z493" i="1"/>
  <c r="AA492" i="1"/>
  <c r="Z492" i="1"/>
  <c r="AA491" i="1"/>
  <c r="Z491" i="1"/>
  <c r="AA490" i="1"/>
  <c r="Z490" i="1"/>
  <c r="AA489" i="1"/>
  <c r="Z489" i="1"/>
  <c r="AA488" i="1"/>
  <c r="Z488" i="1"/>
  <c r="AA487" i="1"/>
  <c r="Z487" i="1"/>
  <c r="AA486" i="1"/>
  <c r="Z486" i="1"/>
  <c r="AA485" i="1"/>
  <c r="Z485" i="1"/>
  <c r="AA484" i="1"/>
  <c r="Z484" i="1"/>
  <c r="AA483" i="1"/>
  <c r="Z483" i="1"/>
  <c r="AA482" i="1"/>
  <c r="Z482" i="1"/>
  <c r="AA481" i="1"/>
  <c r="Z481" i="1"/>
  <c r="AA480" i="1"/>
  <c r="Z480" i="1"/>
  <c r="AA479" i="1"/>
  <c r="Z479" i="1"/>
  <c r="AA478" i="1"/>
  <c r="Z478" i="1"/>
  <c r="AA477" i="1"/>
  <c r="Z477" i="1"/>
  <c r="AA476" i="1"/>
  <c r="Z476" i="1"/>
  <c r="AA475" i="1"/>
  <c r="Z475" i="1"/>
  <c r="AA474" i="1"/>
  <c r="Z474" i="1"/>
  <c r="AA473" i="1"/>
  <c r="Z473" i="1"/>
  <c r="AA472" i="1"/>
  <c r="Z472" i="1"/>
  <c r="AA471" i="1"/>
  <c r="Z471" i="1"/>
  <c r="AA470" i="1"/>
  <c r="Z470" i="1"/>
  <c r="AA469" i="1"/>
  <c r="Z469" i="1"/>
  <c r="AA468" i="1"/>
  <c r="Z468" i="1"/>
  <c r="AA467" i="1"/>
  <c r="Z467" i="1"/>
  <c r="AA466" i="1"/>
  <c r="Z466" i="1"/>
  <c r="AA465" i="1"/>
  <c r="Z465" i="1"/>
  <c r="AA464" i="1"/>
  <c r="Z464" i="1"/>
  <c r="AA463" i="1"/>
  <c r="Z463" i="1"/>
  <c r="AA462" i="1"/>
  <c r="Z462" i="1"/>
  <c r="AA461" i="1"/>
  <c r="Z461" i="1"/>
  <c r="AA460" i="1"/>
  <c r="Z460" i="1"/>
  <c r="AA459" i="1"/>
  <c r="Z459" i="1"/>
  <c r="AA458" i="1"/>
  <c r="Z458" i="1"/>
  <c r="AA457" i="1"/>
  <c r="Z457" i="1"/>
  <c r="AA456" i="1"/>
  <c r="Z456" i="1"/>
  <c r="AA455" i="1"/>
  <c r="Z455" i="1"/>
  <c r="AA454" i="1"/>
  <c r="Z454" i="1"/>
  <c r="AA453" i="1"/>
  <c r="Z453" i="1"/>
  <c r="AA452" i="1"/>
  <c r="Z452" i="1"/>
  <c r="AA451" i="1"/>
  <c r="Z451" i="1"/>
  <c r="AA450" i="1"/>
  <c r="Z450" i="1"/>
  <c r="AA449" i="1"/>
  <c r="Z449" i="1"/>
  <c r="AA448" i="1"/>
  <c r="Z448" i="1"/>
  <c r="AA447" i="1"/>
  <c r="Z447" i="1"/>
  <c r="AA446" i="1"/>
  <c r="Z446" i="1"/>
  <c r="AA445" i="1"/>
  <c r="Z445" i="1"/>
  <c r="AA444" i="1"/>
  <c r="Z444" i="1"/>
  <c r="AA443" i="1"/>
  <c r="Z443" i="1"/>
  <c r="AA442" i="1"/>
  <c r="Z442" i="1"/>
  <c r="AA441" i="1"/>
  <c r="Z441" i="1"/>
  <c r="AA440" i="1"/>
  <c r="Z440" i="1"/>
  <c r="AA439" i="1"/>
  <c r="Z439" i="1"/>
  <c r="AA438" i="1"/>
  <c r="Z438" i="1"/>
  <c r="AA437" i="1"/>
  <c r="Z437" i="1"/>
  <c r="AA436" i="1"/>
  <c r="Z436" i="1"/>
  <c r="AA435" i="1"/>
  <c r="Z435" i="1"/>
  <c r="AA434" i="1"/>
  <c r="Z434" i="1"/>
  <c r="AA433" i="1"/>
  <c r="Z433" i="1"/>
  <c r="AA432" i="1"/>
  <c r="Z432" i="1"/>
  <c r="AA431" i="1"/>
  <c r="Z431" i="1"/>
  <c r="AA430" i="1"/>
  <c r="Z430" i="1"/>
  <c r="AA429" i="1"/>
  <c r="Z429" i="1"/>
  <c r="AA428" i="1"/>
  <c r="Z428" i="1"/>
  <c r="AA427" i="1"/>
  <c r="Z427" i="1"/>
  <c r="AA426" i="1"/>
  <c r="Z426" i="1"/>
  <c r="AA425" i="1"/>
  <c r="Z425" i="1"/>
  <c r="AA424" i="1"/>
  <c r="Z424" i="1"/>
  <c r="AA423" i="1"/>
  <c r="Z423" i="1"/>
  <c r="AA422" i="1"/>
  <c r="Z422" i="1"/>
  <c r="AA421" i="1"/>
  <c r="Z421" i="1"/>
  <c r="AA420" i="1"/>
  <c r="Z420" i="1"/>
  <c r="AA419" i="1"/>
  <c r="Z419" i="1"/>
  <c r="AA418" i="1"/>
  <c r="Z418" i="1"/>
  <c r="AA417" i="1"/>
  <c r="Z417" i="1"/>
  <c r="AA416" i="1"/>
  <c r="Z416" i="1"/>
  <c r="AA415" i="1"/>
  <c r="Z415" i="1"/>
  <c r="AA414" i="1"/>
  <c r="Z414" i="1"/>
  <c r="AA413" i="1"/>
  <c r="Z413" i="1"/>
  <c r="AA412" i="1"/>
  <c r="Z412" i="1"/>
  <c r="AA411" i="1"/>
  <c r="Z411" i="1"/>
  <c r="AA410" i="1"/>
  <c r="Z410" i="1"/>
  <c r="AA409" i="1"/>
  <c r="Z409" i="1"/>
  <c r="AA408" i="1"/>
  <c r="Z408" i="1"/>
  <c r="AA407" i="1"/>
  <c r="Z407" i="1"/>
  <c r="AA406" i="1"/>
  <c r="Z406" i="1"/>
  <c r="AA405" i="1"/>
  <c r="Z405" i="1"/>
  <c r="AA404" i="1"/>
  <c r="Z404" i="1"/>
  <c r="AA403" i="1"/>
  <c r="Z403" i="1"/>
  <c r="AA402" i="1"/>
  <c r="Z402" i="1"/>
  <c r="AA401" i="1"/>
  <c r="Z401" i="1"/>
  <c r="AA400" i="1"/>
  <c r="Z400" i="1"/>
  <c r="AA399" i="1"/>
  <c r="Z399" i="1"/>
  <c r="AA398" i="1"/>
  <c r="Z398" i="1"/>
  <c r="AA397" i="1"/>
  <c r="Z397" i="1"/>
  <c r="AA396" i="1"/>
  <c r="Z396" i="1"/>
  <c r="AA395" i="1"/>
  <c r="Z395" i="1"/>
  <c r="AA394" i="1"/>
  <c r="Z394" i="1"/>
  <c r="AA393" i="1"/>
  <c r="Z393" i="1"/>
  <c r="AA392" i="1"/>
  <c r="Z392" i="1"/>
  <c r="AA391" i="1"/>
  <c r="Z391" i="1"/>
  <c r="AA390" i="1"/>
  <c r="Z390" i="1"/>
  <c r="AA389" i="1"/>
  <c r="Z389" i="1"/>
  <c r="AA388" i="1"/>
  <c r="Z388" i="1"/>
  <c r="AA387" i="1"/>
  <c r="Z387" i="1"/>
  <c r="AA386" i="1"/>
  <c r="Z386" i="1"/>
  <c r="AA385" i="1"/>
  <c r="Z385" i="1"/>
  <c r="AA384" i="1"/>
  <c r="Z384" i="1"/>
  <c r="AA383" i="1"/>
  <c r="Z383" i="1"/>
  <c r="AA382" i="1"/>
  <c r="Z382" i="1"/>
  <c r="AA381" i="1"/>
  <c r="Z381" i="1"/>
  <c r="AA380" i="1"/>
  <c r="Z380" i="1"/>
  <c r="AA379" i="1"/>
  <c r="Z379" i="1"/>
  <c r="AA378" i="1"/>
  <c r="Z378" i="1"/>
  <c r="AA377" i="1"/>
  <c r="Z377" i="1"/>
  <c r="AA376" i="1"/>
  <c r="Z376" i="1"/>
  <c r="AA375" i="1"/>
  <c r="Z375" i="1"/>
  <c r="AA374" i="1"/>
  <c r="Z374" i="1"/>
  <c r="AA373" i="1"/>
  <c r="Z373" i="1"/>
  <c r="AA372" i="1"/>
  <c r="Z372" i="1"/>
  <c r="AA371" i="1"/>
  <c r="Z371" i="1"/>
  <c r="AA370" i="1"/>
  <c r="Z370" i="1"/>
  <c r="AA369" i="1"/>
  <c r="Z369" i="1"/>
  <c r="AA368" i="1"/>
  <c r="Z368" i="1"/>
  <c r="AA367" i="1"/>
  <c r="Z367" i="1"/>
  <c r="AA366" i="1"/>
  <c r="Z366" i="1"/>
  <c r="AA365" i="1"/>
  <c r="Z365" i="1"/>
  <c r="AA364" i="1"/>
  <c r="Z364" i="1"/>
  <c r="AA363" i="1"/>
  <c r="Z363" i="1"/>
  <c r="AA362" i="1"/>
  <c r="Z362" i="1"/>
  <c r="AA361" i="1"/>
  <c r="Z361" i="1"/>
  <c r="AA360" i="1"/>
  <c r="Z360" i="1"/>
  <c r="AA359" i="1"/>
  <c r="Z359" i="1"/>
  <c r="AA358" i="1"/>
  <c r="Z358" i="1"/>
  <c r="AA357" i="1"/>
  <c r="Z357" i="1"/>
  <c r="AA356" i="1"/>
  <c r="Z356" i="1"/>
  <c r="AA355" i="1"/>
  <c r="Z355" i="1"/>
  <c r="AA354" i="1"/>
  <c r="Z354" i="1"/>
  <c r="AA353" i="1"/>
  <c r="Z353" i="1"/>
  <c r="AA352" i="1"/>
  <c r="Z352" i="1"/>
  <c r="AA351" i="1"/>
  <c r="Z351" i="1"/>
  <c r="AA350" i="1"/>
  <c r="Z350" i="1"/>
  <c r="AA349" i="1"/>
  <c r="Z349" i="1"/>
  <c r="AA348" i="1"/>
  <c r="Z348" i="1"/>
  <c r="AA347" i="1"/>
  <c r="Z347" i="1"/>
  <c r="AA346" i="1"/>
  <c r="Z346" i="1"/>
  <c r="AA345" i="1"/>
  <c r="Z345" i="1"/>
  <c r="AA344" i="1"/>
  <c r="Z344" i="1"/>
  <c r="AA343" i="1"/>
  <c r="Z343" i="1"/>
  <c r="AA342" i="1"/>
  <c r="Z342" i="1"/>
  <c r="AA341" i="1"/>
  <c r="Z341" i="1"/>
  <c r="AA340" i="1"/>
  <c r="Z340" i="1"/>
  <c r="AA339" i="1"/>
  <c r="Z339" i="1"/>
  <c r="AA338" i="1"/>
  <c r="Z338" i="1"/>
  <c r="AA337" i="1"/>
  <c r="Z337" i="1"/>
  <c r="AA336" i="1"/>
  <c r="Z336" i="1"/>
  <c r="AA335" i="1"/>
  <c r="Z335" i="1"/>
  <c r="AA334" i="1"/>
  <c r="Z334" i="1"/>
  <c r="AA333" i="1"/>
  <c r="Z333" i="1"/>
  <c r="AA332" i="1"/>
  <c r="Z332" i="1"/>
  <c r="AA331" i="1"/>
  <c r="Z331" i="1"/>
  <c r="AA330" i="1"/>
  <c r="Z330" i="1"/>
  <c r="AA329" i="1"/>
  <c r="Z329" i="1"/>
  <c r="AA328" i="1"/>
  <c r="Z328" i="1"/>
  <c r="AA327" i="1"/>
  <c r="Z327" i="1"/>
  <c r="AA326" i="1"/>
  <c r="Z326" i="1"/>
  <c r="AA325" i="1"/>
  <c r="Z325" i="1"/>
  <c r="AA324" i="1"/>
  <c r="Z324" i="1"/>
  <c r="AA323" i="1"/>
  <c r="Z323" i="1"/>
  <c r="AA322" i="1"/>
  <c r="Z322" i="1"/>
  <c r="AA321" i="1"/>
  <c r="Z321" i="1"/>
  <c r="AA320" i="1"/>
  <c r="Z320" i="1"/>
  <c r="AA319" i="1"/>
  <c r="Z319" i="1"/>
  <c r="AA318" i="1"/>
  <c r="Z318" i="1"/>
  <c r="AA317" i="1"/>
  <c r="Z317" i="1"/>
  <c r="AA316" i="1"/>
  <c r="Z316" i="1"/>
  <c r="AA315" i="1"/>
  <c r="Z315" i="1"/>
  <c r="AA314" i="1"/>
  <c r="Z314" i="1"/>
  <c r="AA313" i="1"/>
  <c r="Z313" i="1"/>
  <c r="AA312" i="1"/>
  <c r="Z312" i="1"/>
  <c r="AA311" i="1"/>
  <c r="Z311" i="1"/>
  <c r="AA310" i="1"/>
  <c r="Z310" i="1"/>
  <c r="AA309" i="1"/>
  <c r="Z309" i="1"/>
  <c r="AA308" i="1"/>
  <c r="Z308" i="1"/>
  <c r="AA307" i="1"/>
  <c r="Z307" i="1"/>
  <c r="AA306" i="1"/>
  <c r="Z306" i="1"/>
  <c r="AA305" i="1"/>
  <c r="Z305" i="1"/>
  <c r="AA304" i="1"/>
  <c r="Z304" i="1"/>
  <c r="AA303" i="1"/>
  <c r="Z303" i="1"/>
  <c r="AA302" i="1"/>
  <c r="Z302" i="1"/>
  <c r="AA301" i="1"/>
  <c r="Z301" i="1"/>
  <c r="AA300" i="1"/>
  <c r="Z300" i="1"/>
  <c r="AA299" i="1"/>
  <c r="Z299" i="1"/>
  <c r="AA298" i="1"/>
  <c r="Z298" i="1"/>
  <c r="AA297" i="1"/>
  <c r="Z297" i="1"/>
  <c r="AA296" i="1"/>
  <c r="Z296" i="1"/>
  <c r="AA295" i="1"/>
  <c r="Z295" i="1"/>
  <c r="AA294" i="1"/>
  <c r="Z294" i="1"/>
  <c r="AA293" i="1"/>
  <c r="Z293" i="1"/>
  <c r="AA292" i="1"/>
  <c r="Z292" i="1"/>
  <c r="AA291" i="1"/>
  <c r="Z291" i="1"/>
  <c r="AA290" i="1"/>
  <c r="Z290" i="1"/>
  <c r="AA289" i="1"/>
  <c r="Z289" i="1"/>
  <c r="AA288" i="1"/>
  <c r="Z288" i="1"/>
  <c r="AA287" i="1"/>
  <c r="Z287" i="1"/>
  <c r="AA286" i="1"/>
  <c r="Z286" i="1"/>
  <c r="AA285" i="1"/>
  <c r="Z285" i="1"/>
  <c r="AA284" i="1"/>
  <c r="Z284" i="1"/>
  <c r="AA283" i="1"/>
  <c r="Z283" i="1"/>
  <c r="AA282" i="1"/>
  <c r="Z282" i="1"/>
  <c r="AA281" i="1"/>
  <c r="Z281" i="1"/>
  <c r="AA280" i="1"/>
  <c r="Z280" i="1"/>
  <c r="AA279" i="1"/>
  <c r="Z279" i="1"/>
  <c r="AA278" i="1"/>
  <c r="Z278" i="1"/>
  <c r="AA277" i="1"/>
  <c r="Z277" i="1"/>
  <c r="AA276" i="1"/>
  <c r="Z276" i="1"/>
  <c r="AA275" i="1"/>
  <c r="Z275" i="1"/>
  <c r="AA274" i="1"/>
  <c r="Z274" i="1"/>
  <c r="AA273" i="1"/>
  <c r="Z273" i="1"/>
  <c r="AA272" i="1"/>
  <c r="Z272" i="1"/>
  <c r="AA271" i="1"/>
  <c r="Z271" i="1"/>
  <c r="AA270" i="1"/>
  <c r="Z270" i="1"/>
  <c r="AA269" i="1"/>
  <c r="Z269" i="1"/>
  <c r="AA268" i="1"/>
  <c r="Z268" i="1"/>
  <c r="AA267" i="1"/>
  <c r="Z267" i="1"/>
  <c r="AA266" i="1"/>
  <c r="Z266" i="1"/>
  <c r="AA265" i="1"/>
  <c r="Z265" i="1"/>
  <c r="AA264" i="1"/>
  <c r="Z264" i="1"/>
  <c r="AA263" i="1"/>
  <c r="Z263" i="1"/>
  <c r="AA262" i="1"/>
  <c r="Z262" i="1"/>
  <c r="AA261" i="1"/>
  <c r="Z261" i="1"/>
  <c r="AA260" i="1"/>
  <c r="Z260" i="1"/>
  <c r="AA259" i="1"/>
  <c r="Z259" i="1"/>
  <c r="AA258" i="1"/>
  <c r="Z258" i="1"/>
  <c r="AA257" i="1"/>
  <c r="Z257" i="1"/>
  <c r="AA256" i="1"/>
  <c r="Z256" i="1"/>
  <c r="AA255" i="1"/>
  <c r="Z255" i="1"/>
  <c r="AA254" i="1"/>
  <c r="Z254" i="1"/>
  <c r="AA253" i="1"/>
  <c r="Z253" i="1"/>
  <c r="AA252" i="1"/>
  <c r="Z252" i="1"/>
  <c r="AA251" i="1"/>
  <c r="Z251" i="1"/>
  <c r="AA250" i="1"/>
  <c r="Z250" i="1"/>
  <c r="AA249" i="1"/>
  <c r="Z249" i="1"/>
  <c r="AA248" i="1"/>
  <c r="Z248" i="1"/>
  <c r="AA247" i="1"/>
  <c r="Z247" i="1"/>
  <c r="AA246" i="1"/>
  <c r="Z246" i="1"/>
  <c r="AA245" i="1"/>
  <c r="Z245" i="1"/>
  <c r="AA244" i="1"/>
  <c r="Z244" i="1"/>
  <c r="AA243" i="1"/>
  <c r="Z243" i="1"/>
  <c r="AA242" i="1"/>
  <c r="Z242" i="1"/>
  <c r="AA241" i="1"/>
  <c r="Z241" i="1"/>
  <c r="AA240" i="1"/>
  <c r="Z240" i="1"/>
  <c r="AA239" i="1"/>
  <c r="Z239" i="1"/>
  <c r="AA238" i="1"/>
  <c r="Z238" i="1"/>
  <c r="AA237" i="1"/>
  <c r="Z237" i="1"/>
  <c r="AA236" i="1"/>
  <c r="Z236" i="1"/>
  <c r="AA235" i="1"/>
  <c r="Z235" i="1"/>
  <c r="AA234" i="1"/>
  <c r="Z234" i="1"/>
  <c r="AA233" i="1"/>
  <c r="Z233" i="1"/>
  <c r="AA232" i="1"/>
  <c r="Z232" i="1"/>
  <c r="AA231" i="1"/>
  <c r="Z231" i="1"/>
  <c r="AA230" i="1"/>
  <c r="Z230" i="1"/>
  <c r="AA229" i="1"/>
  <c r="Z229" i="1"/>
  <c r="AA228" i="1"/>
  <c r="Z228" i="1"/>
  <c r="AA227" i="1"/>
  <c r="Z227" i="1"/>
  <c r="AA226" i="1"/>
  <c r="Z226" i="1"/>
  <c r="AA225" i="1"/>
  <c r="Z225" i="1"/>
  <c r="AA224" i="1"/>
  <c r="Z224" i="1"/>
  <c r="AA223" i="1"/>
  <c r="Z223" i="1"/>
  <c r="AA222" i="1"/>
  <c r="Z222" i="1"/>
  <c r="AA221" i="1"/>
  <c r="Z221" i="1"/>
  <c r="AA220" i="1"/>
  <c r="Z220" i="1"/>
  <c r="AA219" i="1"/>
  <c r="Z219" i="1"/>
  <c r="AA218" i="1"/>
  <c r="Z218" i="1"/>
  <c r="AA217" i="1"/>
  <c r="Z217" i="1"/>
  <c r="AA216" i="1"/>
  <c r="Z216" i="1"/>
  <c r="AA215" i="1"/>
  <c r="Z215" i="1"/>
  <c r="AA214" i="1"/>
  <c r="Z214" i="1"/>
  <c r="AA213" i="1"/>
  <c r="Z213" i="1"/>
  <c r="AA212" i="1"/>
  <c r="Z212" i="1"/>
  <c r="AA211" i="1"/>
  <c r="Z211" i="1"/>
  <c r="AA210" i="1"/>
  <c r="Z210" i="1"/>
  <c r="AA209" i="1"/>
  <c r="Z209" i="1"/>
  <c r="AA208" i="1"/>
  <c r="Z208" i="1"/>
  <c r="AA207" i="1"/>
  <c r="Z207" i="1"/>
  <c r="AA206" i="1"/>
  <c r="Z206" i="1"/>
  <c r="AA205" i="1"/>
  <c r="Z205" i="1"/>
  <c r="AA204" i="1"/>
  <c r="Z204" i="1"/>
  <c r="AA203" i="1"/>
  <c r="Z203" i="1"/>
  <c r="AA202" i="1"/>
  <c r="Z202" i="1"/>
  <c r="AA201" i="1"/>
  <c r="Z201" i="1"/>
  <c r="AA200" i="1"/>
  <c r="Z200" i="1"/>
  <c r="AA199" i="1"/>
  <c r="Z199" i="1"/>
  <c r="AA198" i="1"/>
  <c r="Z198" i="1"/>
  <c r="AA197" i="1"/>
  <c r="Z197" i="1"/>
  <c r="AA196" i="1"/>
  <c r="Z196" i="1"/>
  <c r="AA195" i="1"/>
  <c r="Z195" i="1"/>
  <c r="AA194" i="1"/>
  <c r="Z194" i="1"/>
  <c r="AA193" i="1"/>
  <c r="Z193" i="1"/>
  <c r="AA192" i="1"/>
  <c r="Z192" i="1"/>
  <c r="AA191" i="1"/>
  <c r="Z191" i="1"/>
  <c r="AA190" i="1"/>
  <c r="Z190" i="1"/>
  <c r="AA189" i="1"/>
  <c r="Z189" i="1"/>
  <c r="AA188" i="1"/>
  <c r="Z188" i="1"/>
  <c r="AA187" i="1"/>
  <c r="Z187" i="1"/>
  <c r="AA186" i="1"/>
  <c r="Z186" i="1"/>
  <c r="AA185" i="1"/>
  <c r="Z185" i="1"/>
  <c r="AA184" i="1"/>
  <c r="Z184" i="1"/>
  <c r="AA183" i="1"/>
  <c r="Z183" i="1"/>
  <c r="AA182" i="1"/>
  <c r="Z182" i="1"/>
  <c r="AA181" i="1"/>
  <c r="Z181" i="1"/>
  <c r="AA180" i="1"/>
  <c r="Z180" i="1"/>
  <c r="AA179" i="1"/>
  <c r="Z179" i="1"/>
  <c r="AA178" i="1"/>
  <c r="Z178" i="1"/>
  <c r="AA177" i="1"/>
  <c r="Z177" i="1"/>
  <c r="AA176" i="1"/>
  <c r="Z176" i="1"/>
  <c r="AA175" i="1"/>
  <c r="Z175" i="1"/>
  <c r="AA174" i="1"/>
  <c r="Z174" i="1"/>
  <c r="AA173" i="1"/>
  <c r="Z173" i="1"/>
  <c r="AA172" i="1"/>
  <c r="Z172" i="1"/>
  <c r="AA171" i="1"/>
  <c r="Z171" i="1"/>
  <c r="AA170" i="1"/>
  <c r="Z170" i="1"/>
  <c r="AA169" i="1"/>
  <c r="Z169" i="1"/>
  <c r="AA168" i="1"/>
  <c r="Z168" i="1"/>
  <c r="AA167" i="1"/>
  <c r="Z167" i="1"/>
  <c r="AA166" i="1"/>
  <c r="Z166" i="1"/>
  <c r="AA165" i="1"/>
  <c r="Z165" i="1"/>
  <c r="AA164" i="1"/>
  <c r="Z164" i="1"/>
  <c r="AA163" i="1"/>
  <c r="Z163" i="1"/>
  <c r="AA162" i="1"/>
  <c r="Z162" i="1"/>
  <c r="AA161" i="1"/>
  <c r="Z161" i="1"/>
  <c r="AA160" i="1"/>
  <c r="Z160" i="1"/>
  <c r="AA159" i="1"/>
  <c r="Z159" i="1"/>
  <c r="AA158" i="1"/>
  <c r="Z158" i="1"/>
  <c r="AA157" i="1"/>
  <c r="Z157" i="1"/>
  <c r="AA156" i="1"/>
  <c r="Z156" i="1"/>
  <c r="AA155" i="1"/>
  <c r="Z155" i="1"/>
  <c r="AA154" i="1"/>
  <c r="Z154" i="1"/>
  <c r="AA153" i="1"/>
  <c r="Z153" i="1"/>
  <c r="AA152" i="1"/>
  <c r="Z152" i="1"/>
  <c r="AA151" i="1"/>
  <c r="Z151" i="1"/>
  <c r="AA150" i="1"/>
  <c r="Z150" i="1"/>
  <c r="AA149" i="1"/>
  <c r="Z149" i="1"/>
  <c r="AA148" i="1"/>
  <c r="Z148" i="1"/>
  <c r="AA147" i="1"/>
  <c r="Z147" i="1"/>
  <c r="AA146" i="1"/>
  <c r="Z146" i="1"/>
  <c r="AA145" i="1"/>
  <c r="Z145" i="1"/>
  <c r="AA144" i="1"/>
  <c r="Z144" i="1"/>
  <c r="AA143" i="1"/>
  <c r="Z143" i="1"/>
  <c r="AA142" i="1"/>
  <c r="Z142" i="1"/>
  <c r="AA141" i="1"/>
  <c r="Z141" i="1"/>
  <c r="AA140" i="1"/>
  <c r="Z140" i="1"/>
  <c r="AA139" i="1"/>
  <c r="Z139" i="1"/>
  <c r="AA138" i="1"/>
  <c r="Z138" i="1"/>
  <c r="AA137" i="1"/>
  <c r="Z137" i="1"/>
  <c r="AA136" i="1"/>
  <c r="Z136" i="1"/>
  <c r="AA135" i="1"/>
  <c r="Z135" i="1"/>
  <c r="AA134" i="1"/>
  <c r="Z134" i="1"/>
  <c r="AA133" i="1"/>
  <c r="Z133" i="1"/>
  <c r="AA132" i="1"/>
  <c r="Z132" i="1"/>
  <c r="AA131" i="1"/>
  <c r="Z131" i="1"/>
  <c r="AA130" i="1"/>
  <c r="Z130" i="1"/>
  <c r="AA129" i="1"/>
  <c r="Z129" i="1"/>
  <c r="AA128" i="1"/>
  <c r="Z128" i="1"/>
  <c r="AA127" i="1"/>
  <c r="Z127" i="1"/>
  <c r="AA126" i="1"/>
  <c r="Z126" i="1"/>
  <c r="AA125" i="1"/>
  <c r="Z125" i="1"/>
  <c r="AA124" i="1"/>
  <c r="Z124" i="1"/>
  <c r="AA123" i="1"/>
  <c r="Z123" i="1"/>
  <c r="AA122" i="1"/>
  <c r="Z122" i="1"/>
  <c r="AA121" i="1"/>
  <c r="Z121" i="1"/>
  <c r="AA120" i="1"/>
  <c r="Z120" i="1"/>
  <c r="AA119" i="1"/>
  <c r="Z119" i="1"/>
  <c r="AA118" i="1"/>
  <c r="Z118" i="1"/>
  <c r="AA117" i="1"/>
  <c r="Z117" i="1"/>
  <c r="AA116" i="1"/>
  <c r="Z116" i="1"/>
  <c r="AA115" i="1"/>
  <c r="Z115" i="1"/>
  <c r="AA114" i="1"/>
  <c r="Z114" i="1"/>
  <c r="AA113" i="1"/>
  <c r="Z113" i="1"/>
  <c r="AA112" i="1"/>
  <c r="Z112" i="1"/>
  <c r="AA111" i="1"/>
  <c r="Z111" i="1"/>
  <c r="AA110" i="1"/>
  <c r="Z110" i="1"/>
  <c r="AA109" i="1"/>
  <c r="Z109" i="1"/>
  <c r="AA108" i="1"/>
  <c r="Z108" i="1"/>
  <c r="AA107" i="1"/>
  <c r="Z107" i="1"/>
  <c r="AA106" i="1"/>
  <c r="Z106" i="1"/>
  <c r="AA105" i="1"/>
  <c r="Z105" i="1"/>
  <c r="AA104" i="1"/>
  <c r="Z104" i="1"/>
  <c r="AA103" i="1"/>
  <c r="Z103" i="1"/>
  <c r="AA102" i="1"/>
  <c r="Z102" i="1"/>
  <c r="AA101" i="1"/>
  <c r="Z101" i="1"/>
  <c r="AA100" i="1"/>
  <c r="Z100" i="1"/>
  <c r="AA99" i="1"/>
  <c r="Z99" i="1"/>
  <c r="AA98" i="1"/>
  <c r="Z98" i="1"/>
  <c r="AA97" i="1"/>
  <c r="Z97" i="1"/>
  <c r="AA96" i="1"/>
  <c r="Z96" i="1"/>
  <c r="AA95" i="1"/>
  <c r="Z95" i="1"/>
  <c r="AA94" i="1"/>
  <c r="Z94" i="1"/>
  <c r="AA93" i="1"/>
  <c r="Z93" i="1"/>
  <c r="AA92" i="1"/>
  <c r="Z92" i="1"/>
  <c r="AA91" i="1"/>
  <c r="Z91" i="1"/>
  <c r="AA90" i="1"/>
  <c r="Z90" i="1"/>
  <c r="AA89" i="1"/>
  <c r="Z89" i="1"/>
  <c r="AA88" i="1"/>
  <c r="Z88" i="1"/>
  <c r="AA87" i="1"/>
  <c r="Z87" i="1"/>
  <c r="AA86" i="1"/>
  <c r="Z86" i="1"/>
  <c r="AA85" i="1"/>
  <c r="Z85" i="1"/>
  <c r="AA84" i="1"/>
  <c r="Z84" i="1"/>
  <c r="AA83" i="1"/>
  <c r="Z83" i="1"/>
  <c r="AA82" i="1"/>
  <c r="Z82" i="1"/>
  <c r="AA81" i="1"/>
  <c r="Z81" i="1"/>
  <c r="AA80" i="1"/>
  <c r="Z80" i="1"/>
  <c r="AA79" i="1"/>
  <c r="Z79" i="1"/>
  <c r="AA78" i="1"/>
  <c r="Z78" i="1"/>
  <c r="AA77" i="1"/>
  <c r="Z77" i="1"/>
  <c r="AA76" i="1"/>
  <c r="Z76" i="1"/>
  <c r="AA75" i="1"/>
  <c r="Z75" i="1"/>
  <c r="AA74" i="1"/>
  <c r="Z74" i="1"/>
  <c r="AA73" i="1"/>
  <c r="Z73" i="1"/>
  <c r="AA72" i="1"/>
  <c r="Z72" i="1"/>
  <c r="AA71" i="1"/>
  <c r="Z71" i="1"/>
  <c r="AA70" i="1"/>
  <c r="Z70" i="1"/>
  <c r="AA69" i="1"/>
  <c r="Z69" i="1"/>
  <c r="AA68" i="1"/>
  <c r="Z68" i="1"/>
  <c r="AA67" i="1"/>
  <c r="Z67" i="1"/>
  <c r="AA66" i="1"/>
  <c r="Z66" i="1"/>
  <c r="AA65" i="1"/>
  <c r="Z65" i="1"/>
  <c r="AA64" i="1"/>
  <c r="Z64" i="1"/>
  <c r="AA63" i="1"/>
  <c r="Z63" i="1"/>
  <c r="AA62" i="1"/>
  <c r="Z62" i="1"/>
  <c r="AA61" i="1"/>
  <c r="Z61" i="1"/>
  <c r="AA60" i="1"/>
  <c r="Z60" i="1"/>
  <c r="AA59" i="1"/>
  <c r="Z59" i="1"/>
  <c r="AA58" i="1"/>
  <c r="Z58" i="1"/>
  <c r="AA57" i="1"/>
  <c r="Z57" i="1"/>
  <c r="AA56" i="1"/>
  <c r="Z56" i="1"/>
  <c r="AA55" i="1"/>
  <c r="Z55" i="1"/>
  <c r="AA54" i="1"/>
  <c r="Z54" i="1"/>
  <c r="AA53" i="1"/>
  <c r="Z53" i="1"/>
  <c r="AA52" i="1"/>
  <c r="Z52" i="1"/>
  <c r="AA51" i="1"/>
  <c r="Z51" i="1"/>
  <c r="AA50" i="1"/>
  <c r="Z50" i="1"/>
  <c r="AA49" i="1"/>
  <c r="Z49" i="1"/>
  <c r="AA48" i="1"/>
  <c r="Z48" i="1"/>
  <c r="AA47" i="1"/>
  <c r="Z47" i="1"/>
  <c r="AA46" i="1"/>
  <c r="Z46" i="1"/>
  <c r="AA45" i="1"/>
  <c r="Z45" i="1"/>
  <c r="AA44" i="1"/>
  <c r="Z44" i="1"/>
  <c r="AA43" i="1"/>
  <c r="Z43" i="1"/>
  <c r="AA42" i="1"/>
  <c r="Z42" i="1"/>
  <c r="AA41" i="1"/>
  <c r="Z41" i="1"/>
  <c r="AA40" i="1"/>
  <c r="Z40" i="1"/>
  <c r="AA39" i="1"/>
  <c r="Z39" i="1"/>
  <c r="AA38" i="1"/>
  <c r="Z38" i="1"/>
  <c r="AA37" i="1"/>
  <c r="Z37" i="1"/>
  <c r="AA36" i="1"/>
  <c r="Z36" i="1"/>
  <c r="AA35" i="1"/>
  <c r="Z35" i="1"/>
  <c r="AA34" i="1"/>
  <c r="Z34" i="1"/>
  <c r="AA33" i="1"/>
  <c r="Z33" i="1"/>
  <c r="AA32" i="1"/>
  <c r="Z32" i="1"/>
  <c r="AA31" i="1"/>
  <c r="Z31" i="1"/>
  <c r="AA30" i="1"/>
  <c r="Z30" i="1"/>
  <c r="AA29" i="1"/>
  <c r="Z29" i="1"/>
  <c r="AA28" i="1"/>
  <c r="Z28" i="1"/>
  <c r="AA27" i="1"/>
  <c r="Z27" i="1"/>
  <c r="AA26" i="1"/>
  <c r="Z26" i="1"/>
  <c r="AA25" i="1"/>
  <c r="Z25" i="1"/>
  <c r="AA24" i="1"/>
  <c r="Z24" i="1"/>
  <c r="AA23" i="1"/>
  <c r="Z23" i="1"/>
  <c r="AA22" i="1"/>
  <c r="Z22" i="1"/>
  <c r="AA21" i="1"/>
  <c r="Z21" i="1"/>
  <c r="AA20" i="1"/>
  <c r="Z20" i="1"/>
  <c r="AA19" i="1"/>
  <c r="Z19" i="1"/>
  <c r="AA18" i="1"/>
  <c r="Z18" i="1"/>
  <c r="AA17" i="1"/>
  <c r="Z17" i="1"/>
  <c r="AA16" i="1"/>
  <c r="Z16" i="1"/>
  <c r="AA15" i="1"/>
  <c r="Z15" i="1"/>
  <c r="AA14" i="1"/>
  <c r="Z14" i="1"/>
  <c r="AA13" i="1"/>
  <c r="Z13" i="1"/>
  <c r="AA12" i="1"/>
  <c r="Z12" i="1"/>
  <c r="R12" i="1" l="1"/>
  <c r="M13" i="1"/>
  <c r="M15" i="1"/>
  <c r="M16" i="1"/>
  <c r="M17" i="1"/>
  <c r="R17" i="1" s="1"/>
  <c r="M18" i="1"/>
  <c r="P18" i="1" s="1"/>
  <c r="M19" i="1"/>
  <c r="W19" i="1" s="1"/>
  <c r="M20" i="1"/>
  <c r="M21" i="1"/>
  <c r="M22" i="1"/>
  <c r="V22" i="1" s="1"/>
  <c r="M23" i="1"/>
  <c r="P23" i="1" s="1"/>
  <c r="Q23" i="1" s="1"/>
  <c r="M24" i="1"/>
  <c r="W24" i="1" s="1"/>
  <c r="M25" i="1"/>
  <c r="R25" i="1" s="1"/>
  <c r="M26" i="1"/>
  <c r="M27" i="1"/>
  <c r="W27" i="1" s="1"/>
  <c r="M28" i="1"/>
  <c r="M29" i="1"/>
  <c r="M30" i="1"/>
  <c r="V30" i="1" s="1"/>
  <c r="M31" i="1"/>
  <c r="P31" i="1" s="1"/>
  <c r="M32" i="1"/>
  <c r="M33" i="1"/>
  <c r="R33" i="1" s="1"/>
  <c r="M34" i="1"/>
  <c r="R34" i="1" s="1"/>
  <c r="M35" i="1"/>
  <c r="W35" i="1" s="1"/>
  <c r="M36" i="1"/>
  <c r="R36" i="1" s="1"/>
  <c r="M37" i="1"/>
  <c r="M38" i="1"/>
  <c r="M39" i="1"/>
  <c r="M40" i="1"/>
  <c r="W40" i="1" s="1"/>
  <c r="M41" i="1"/>
  <c r="M42" i="1"/>
  <c r="M43" i="1"/>
  <c r="W43" i="1" s="1"/>
  <c r="M44" i="1"/>
  <c r="P44" i="1" s="1"/>
  <c r="M45" i="1"/>
  <c r="W45" i="1" s="1"/>
  <c r="M46" i="1"/>
  <c r="M47" i="1"/>
  <c r="M48" i="1"/>
  <c r="R48" i="1" s="1"/>
  <c r="M49" i="1"/>
  <c r="M50" i="1"/>
  <c r="M51" i="1"/>
  <c r="W51" i="1" s="1"/>
  <c r="M52" i="1"/>
  <c r="M53" i="1"/>
  <c r="M54" i="1"/>
  <c r="R54" i="1" s="1"/>
  <c r="M55" i="1"/>
  <c r="M56" i="1"/>
  <c r="W56" i="1" s="1"/>
  <c r="M57" i="1"/>
  <c r="M58" i="1"/>
  <c r="X58" i="1" s="1"/>
  <c r="T58" i="1" s="1"/>
  <c r="U58" i="1" s="1"/>
  <c r="M59" i="1"/>
  <c r="R59" i="1" s="1"/>
  <c r="M60" i="1"/>
  <c r="M61" i="1"/>
  <c r="V61" i="1" s="1"/>
  <c r="M62" i="1"/>
  <c r="P62" i="1" s="1"/>
  <c r="M63" i="1"/>
  <c r="M64" i="1"/>
  <c r="P64" i="1" s="1"/>
  <c r="M65" i="1"/>
  <c r="R65" i="1" s="1"/>
  <c r="M66" i="1"/>
  <c r="W66" i="1" s="1"/>
  <c r="M67" i="1"/>
  <c r="M68" i="1"/>
  <c r="M69" i="1"/>
  <c r="M70" i="1"/>
  <c r="X70" i="1" s="1"/>
  <c r="T70" i="1" s="1"/>
  <c r="U70" i="1" s="1"/>
  <c r="M71" i="1"/>
  <c r="X71" i="1" s="1"/>
  <c r="T71" i="1" s="1"/>
  <c r="U71" i="1" s="1"/>
  <c r="M72" i="1"/>
  <c r="W72" i="1" s="1"/>
  <c r="M73" i="1"/>
  <c r="X73" i="1" s="1"/>
  <c r="T73" i="1" s="1"/>
  <c r="U73" i="1" s="1"/>
  <c r="M74" i="1"/>
  <c r="X74" i="1" s="1"/>
  <c r="T74" i="1" s="1"/>
  <c r="U74" i="1" s="1"/>
  <c r="M75" i="1"/>
  <c r="V75" i="1" s="1"/>
  <c r="M76" i="1"/>
  <c r="W76" i="1" s="1"/>
  <c r="M77" i="1"/>
  <c r="M78" i="1"/>
  <c r="M79" i="1"/>
  <c r="P79" i="1" s="1"/>
  <c r="M80" i="1"/>
  <c r="W80" i="1" s="1"/>
  <c r="M81" i="1"/>
  <c r="M82" i="1"/>
  <c r="R82" i="1" s="1"/>
  <c r="M83" i="1"/>
  <c r="M84" i="1"/>
  <c r="M85" i="1"/>
  <c r="M86" i="1"/>
  <c r="X86" i="1" s="1"/>
  <c r="T86" i="1" s="1"/>
  <c r="U86" i="1" s="1"/>
  <c r="M87" i="1"/>
  <c r="R87" i="1" s="1"/>
  <c r="M88" i="1"/>
  <c r="M89" i="1"/>
  <c r="X89" i="1" s="1"/>
  <c r="T89" i="1" s="1"/>
  <c r="U89" i="1" s="1"/>
  <c r="M90" i="1"/>
  <c r="M91" i="1"/>
  <c r="M92" i="1"/>
  <c r="R92" i="1" s="1"/>
  <c r="M93" i="1"/>
  <c r="M94" i="1"/>
  <c r="W94" i="1" s="1"/>
  <c r="M95" i="1"/>
  <c r="V95" i="1" s="1"/>
  <c r="M96" i="1"/>
  <c r="M97" i="1"/>
  <c r="R97" i="1" s="1"/>
  <c r="M98" i="1"/>
  <c r="V98" i="1" s="1"/>
  <c r="M99" i="1"/>
  <c r="M100" i="1"/>
  <c r="M101" i="1"/>
  <c r="M102" i="1"/>
  <c r="V102" i="1" s="1"/>
  <c r="M103" i="1"/>
  <c r="M104" i="1"/>
  <c r="M105" i="1"/>
  <c r="P105" i="1" s="1"/>
  <c r="M106" i="1"/>
  <c r="V106" i="1" s="1"/>
  <c r="M107" i="1"/>
  <c r="R107" i="1" s="1"/>
  <c r="M108" i="1"/>
  <c r="V108" i="1" s="1"/>
  <c r="M109" i="1"/>
  <c r="V109" i="1" s="1"/>
  <c r="M110" i="1"/>
  <c r="W110" i="1" s="1"/>
  <c r="M111" i="1"/>
  <c r="M112" i="1"/>
  <c r="M113" i="1"/>
  <c r="M114" i="1"/>
  <c r="V114" i="1" s="1"/>
  <c r="M115" i="1"/>
  <c r="M116" i="1"/>
  <c r="W116" i="1" s="1"/>
  <c r="M117" i="1"/>
  <c r="X117" i="1" s="1"/>
  <c r="T117" i="1" s="1"/>
  <c r="U117" i="1" s="1"/>
  <c r="M118" i="1"/>
  <c r="X118" i="1" s="1"/>
  <c r="T118" i="1" s="1"/>
  <c r="U118" i="1" s="1"/>
  <c r="M119" i="1"/>
  <c r="R119" i="1" s="1"/>
  <c r="M120" i="1"/>
  <c r="X120" i="1" s="1"/>
  <c r="T120" i="1" s="1"/>
  <c r="U120" i="1" s="1"/>
  <c r="M121" i="1"/>
  <c r="M122" i="1"/>
  <c r="V122" i="1" s="1"/>
  <c r="M123" i="1"/>
  <c r="M124" i="1"/>
  <c r="X124" i="1" s="1"/>
  <c r="T124" i="1" s="1"/>
  <c r="U124" i="1" s="1"/>
  <c r="M125" i="1"/>
  <c r="M126" i="1"/>
  <c r="M127" i="1"/>
  <c r="R127" i="1" s="1"/>
  <c r="M128" i="1"/>
  <c r="V128" i="1" s="1"/>
  <c r="M129" i="1"/>
  <c r="M130" i="1"/>
  <c r="V130" i="1" s="1"/>
  <c r="M131" i="1"/>
  <c r="M132" i="1"/>
  <c r="V132" i="1" s="1"/>
  <c r="M133" i="1"/>
  <c r="X133" i="1" s="1"/>
  <c r="T133" i="1" s="1"/>
  <c r="U133" i="1" s="1"/>
  <c r="M134" i="1"/>
  <c r="V134" i="1" s="1"/>
  <c r="M135" i="1"/>
  <c r="V135" i="1" s="1"/>
  <c r="M136" i="1"/>
  <c r="M137" i="1"/>
  <c r="V137" i="1" s="1"/>
  <c r="M138" i="1"/>
  <c r="M139" i="1"/>
  <c r="V139" i="1" s="1"/>
  <c r="M140" i="1"/>
  <c r="M141" i="1"/>
  <c r="M142" i="1"/>
  <c r="M143" i="1"/>
  <c r="M144" i="1"/>
  <c r="M145" i="1"/>
  <c r="R145" i="1" s="1"/>
  <c r="M146" i="1"/>
  <c r="V146" i="1" s="1"/>
  <c r="M147" i="1"/>
  <c r="M148" i="1"/>
  <c r="M149" i="1"/>
  <c r="M150" i="1"/>
  <c r="M151" i="1"/>
  <c r="V151" i="1" s="1"/>
  <c r="M152" i="1"/>
  <c r="X152" i="1" s="1"/>
  <c r="T152" i="1" s="1"/>
  <c r="U152" i="1" s="1"/>
  <c r="M153" i="1"/>
  <c r="M154" i="1"/>
  <c r="W154" i="1" s="1"/>
  <c r="M155" i="1"/>
  <c r="P155" i="1" s="1"/>
  <c r="M156" i="1"/>
  <c r="M157" i="1"/>
  <c r="P157" i="1" s="1"/>
  <c r="M158" i="1"/>
  <c r="R158" i="1" s="1"/>
  <c r="M159" i="1"/>
  <c r="M160" i="1"/>
  <c r="V160" i="1" s="1"/>
  <c r="M161" i="1"/>
  <c r="R161" i="1" s="1"/>
  <c r="M162" i="1"/>
  <c r="V162" i="1" s="1"/>
  <c r="M163" i="1"/>
  <c r="M164" i="1"/>
  <c r="M165" i="1"/>
  <c r="M166" i="1"/>
  <c r="V166" i="1" s="1"/>
  <c r="M167" i="1"/>
  <c r="X167" i="1" s="1"/>
  <c r="T167" i="1" s="1"/>
  <c r="U167" i="1" s="1"/>
  <c r="M168" i="1"/>
  <c r="W168" i="1" s="1"/>
  <c r="M169" i="1"/>
  <c r="R169" i="1" s="1"/>
  <c r="M170" i="1"/>
  <c r="W170" i="1" s="1"/>
  <c r="M171" i="1"/>
  <c r="V171" i="1" s="1"/>
  <c r="M172" i="1"/>
  <c r="M173" i="1"/>
  <c r="M174" i="1"/>
  <c r="V174" i="1" s="1"/>
  <c r="M175" i="1"/>
  <c r="W175" i="1" s="1"/>
  <c r="M176" i="1"/>
  <c r="P176" i="1" s="1"/>
  <c r="S176" i="1" s="1"/>
  <c r="M177" i="1"/>
  <c r="R177" i="1" s="1"/>
  <c r="M178" i="1"/>
  <c r="W178" i="1" s="1"/>
  <c r="M179" i="1"/>
  <c r="M180" i="1"/>
  <c r="M181" i="1"/>
  <c r="V181" i="1" s="1"/>
  <c r="M182" i="1"/>
  <c r="X182" i="1" s="1"/>
  <c r="T182" i="1" s="1"/>
  <c r="U182" i="1" s="1"/>
  <c r="M183" i="1"/>
  <c r="P183" i="1" s="1"/>
  <c r="M184" i="1"/>
  <c r="M185" i="1"/>
  <c r="M186" i="1"/>
  <c r="X186" i="1" s="1"/>
  <c r="T186" i="1" s="1"/>
  <c r="U186" i="1" s="1"/>
  <c r="M187" i="1"/>
  <c r="M188" i="1"/>
  <c r="M189" i="1"/>
  <c r="M190" i="1"/>
  <c r="M191" i="1"/>
  <c r="M192" i="1"/>
  <c r="M193" i="1"/>
  <c r="V193" i="1" s="1"/>
  <c r="M194" i="1"/>
  <c r="X194" i="1" s="1"/>
  <c r="T194" i="1" s="1"/>
  <c r="U194" i="1" s="1"/>
  <c r="M195" i="1"/>
  <c r="M196" i="1"/>
  <c r="R196" i="1" s="1"/>
  <c r="M197" i="1"/>
  <c r="M198" i="1"/>
  <c r="M199" i="1"/>
  <c r="W199" i="1" s="1"/>
  <c r="M200" i="1"/>
  <c r="M201" i="1"/>
  <c r="V201" i="1" s="1"/>
  <c r="M202" i="1"/>
  <c r="P202" i="1" s="1"/>
  <c r="M203" i="1"/>
  <c r="M204" i="1"/>
  <c r="R204" i="1" s="1"/>
  <c r="M205" i="1"/>
  <c r="V205" i="1" s="1"/>
  <c r="M206" i="1"/>
  <c r="X206" i="1" s="1"/>
  <c r="T206" i="1" s="1"/>
  <c r="U206" i="1" s="1"/>
  <c r="M207" i="1"/>
  <c r="X207" i="1" s="1"/>
  <c r="T207" i="1" s="1"/>
  <c r="U207" i="1" s="1"/>
  <c r="M208" i="1"/>
  <c r="M209" i="1"/>
  <c r="M210" i="1"/>
  <c r="P210" i="1" s="1"/>
  <c r="M211" i="1"/>
  <c r="M212" i="1"/>
  <c r="M213" i="1"/>
  <c r="M214" i="1"/>
  <c r="M215" i="1"/>
  <c r="M216" i="1"/>
  <c r="M217" i="1"/>
  <c r="V217" i="1" s="1"/>
  <c r="M218" i="1"/>
  <c r="M219" i="1"/>
  <c r="M220" i="1"/>
  <c r="V220" i="1" s="1"/>
  <c r="M221" i="1"/>
  <c r="M222" i="1"/>
  <c r="M223" i="1"/>
  <c r="M224" i="1"/>
  <c r="M225" i="1"/>
  <c r="M226" i="1"/>
  <c r="P226" i="1" s="1"/>
  <c r="M227" i="1"/>
  <c r="V227" i="1" s="1"/>
  <c r="M228" i="1"/>
  <c r="M229" i="1"/>
  <c r="X229" i="1" s="1"/>
  <c r="T229" i="1" s="1"/>
  <c r="U229" i="1" s="1"/>
  <c r="M230" i="1"/>
  <c r="R230" i="1" s="1"/>
  <c r="M231" i="1"/>
  <c r="M232" i="1"/>
  <c r="M233" i="1"/>
  <c r="M234" i="1"/>
  <c r="V234" i="1" s="1"/>
  <c r="M235" i="1"/>
  <c r="M236" i="1"/>
  <c r="X236" i="1" s="1"/>
  <c r="T236" i="1" s="1"/>
  <c r="U236" i="1" s="1"/>
  <c r="M237" i="1"/>
  <c r="P237" i="1" s="1"/>
  <c r="M238" i="1"/>
  <c r="P238" i="1" s="1"/>
  <c r="M239" i="1"/>
  <c r="R239" i="1" s="1"/>
  <c r="M240" i="1"/>
  <c r="M241" i="1"/>
  <c r="M242" i="1"/>
  <c r="P242" i="1" s="1"/>
  <c r="M243" i="1"/>
  <c r="P243" i="1" s="1"/>
  <c r="M244" i="1"/>
  <c r="W244" i="1" s="1"/>
  <c r="M245" i="1"/>
  <c r="M246" i="1"/>
  <c r="M247" i="1"/>
  <c r="M248" i="1"/>
  <c r="X248" i="1" s="1"/>
  <c r="T248" i="1" s="1"/>
  <c r="U248" i="1" s="1"/>
  <c r="M249" i="1"/>
  <c r="V249" i="1" s="1"/>
  <c r="M250" i="1"/>
  <c r="M251" i="1"/>
  <c r="M252" i="1"/>
  <c r="M253" i="1"/>
  <c r="M254" i="1"/>
  <c r="X254" i="1" s="1"/>
  <c r="T254" i="1" s="1"/>
  <c r="U254" i="1" s="1"/>
  <c r="M255" i="1"/>
  <c r="R255" i="1" s="1"/>
  <c r="M256" i="1"/>
  <c r="X256" i="1" s="1"/>
  <c r="T256" i="1" s="1"/>
  <c r="U256" i="1" s="1"/>
  <c r="M257" i="1"/>
  <c r="M258" i="1"/>
  <c r="M259" i="1"/>
  <c r="W259" i="1" s="1"/>
  <c r="M260" i="1"/>
  <c r="M261" i="1"/>
  <c r="M262" i="1"/>
  <c r="M263" i="1"/>
  <c r="M264" i="1"/>
  <c r="M265" i="1"/>
  <c r="M266" i="1"/>
  <c r="X266" i="1" s="1"/>
  <c r="T266" i="1" s="1"/>
  <c r="U266" i="1" s="1"/>
  <c r="M267" i="1"/>
  <c r="W267" i="1" s="1"/>
  <c r="M268" i="1"/>
  <c r="M269" i="1"/>
  <c r="W269" i="1" s="1"/>
  <c r="M270" i="1"/>
  <c r="M271" i="1"/>
  <c r="W271" i="1" s="1"/>
  <c r="M272" i="1"/>
  <c r="P272" i="1" s="1"/>
  <c r="S272" i="1" s="1"/>
  <c r="M273" i="1"/>
  <c r="M274" i="1"/>
  <c r="M275" i="1"/>
  <c r="V275" i="1" s="1"/>
  <c r="M276" i="1"/>
  <c r="P276" i="1" s="1"/>
  <c r="M277" i="1"/>
  <c r="P277" i="1" s="1"/>
  <c r="S277" i="1" s="1"/>
  <c r="M278" i="1"/>
  <c r="M279" i="1"/>
  <c r="V279" i="1" s="1"/>
  <c r="M280" i="1"/>
  <c r="M281" i="1"/>
  <c r="P281" i="1" s="1"/>
  <c r="M282" i="1"/>
  <c r="X282" i="1" s="1"/>
  <c r="T282" i="1" s="1"/>
  <c r="U282" i="1" s="1"/>
  <c r="M283" i="1"/>
  <c r="M284" i="1"/>
  <c r="R284" i="1" s="1"/>
  <c r="M285" i="1"/>
  <c r="V285" i="1" s="1"/>
  <c r="M286" i="1"/>
  <c r="M287" i="1"/>
  <c r="M288" i="1"/>
  <c r="M289" i="1"/>
  <c r="P289" i="1" s="1"/>
  <c r="M290" i="1"/>
  <c r="M291" i="1"/>
  <c r="R291" i="1" s="1"/>
  <c r="M292" i="1"/>
  <c r="V292" i="1" s="1"/>
  <c r="M293" i="1"/>
  <c r="M294" i="1"/>
  <c r="M295" i="1"/>
  <c r="M296" i="1"/>
  <c r="M297" i="1"/>
  <c r="M298" i="1"/>
  <c r="X298" i="1" s="1"/>
  <c r="T298" i="1" s="1"/>
  <c r="U298" i="1" s="1"/>
  <c r="M299" i="1"/>
  <c r="V299" i="1" s="1"/>
  <c r="M300" i="1"/>
  <c r="M301" i="1"/>
  <c r="M302" i="1"/>
  <c r="M303" i="1"/>
  <c r="M304" i="1"/>
  <c r="M305" i="1"/>
  <c r="M306" i="1"/>
  <c r="V306" i="1" s="1"/>
  <c r="M307" i="1"/>
  <c r="W307" i="1" s="1"/>
  <c r="M308" i="1"/>
  <c r="R308" i="1" s="1"/>
  <c r="M309" i="1"/>
  <c r="W309" i="1" s="1"/>
  <c r="M310" i="1"/>
  <c r="P310" i="1" s="1"/>
  <c r="Q310" i="1" s="1"/>
  <c r="M311" i="1"/>
  <c r="R311" i="1" s="1"/>
  <c r="M312" i="1"/>
  <c r="M313" i="1"/>
  <c r="M314" i="1"/>
  <c r="X314" i="1" s="1"/>
  <c r="T314" i="1" s="1"/>
  <c r="U314" i="1" s="1"/>
  <c r="M315" i="1"/>
  <c r="M316" i="1"/>
  <c r="R316" i="1" s="1"/>
  <c r="M317" i="1"/>
  <c r="M318" i="1"/>
  <c r="M319" i="1"/>
  <c r="R319" i="1" s="1"/>
  <c r="M320" i="1"/>
  <c r="M321" i="1"/>
  <c r="M322" i="1"/>
  <c r="M323" i="1"/>
  <c r="M324" i="1"/>
  <c r="R324" i="1" s="1"/>
  <c r="M325" i="1"/>
  <c r="M326" i="1"/>
  <c r="M327" i="1"/>
  <c r="R327" i="1" s="1"/>
  <c r="M328" i="1"/>
  <c r="M329" i="1"/>
  <c r="M330" i="1"/>
  <c r="M331" i="1"/>
  <c r="M332" i="1"/>
  <c r="R332" i="1" s="1"/>
  <c r="M333" i="1"/>
  <c r="M334" i="1"/>
  <c r="R334" i="1" s="1"/>
  <c r="M335" i="1"/>
  <c r="R335" i="1" s="1"/>
  <c r="M336" i="1"/>
  <c r="R336" i="1" s="1"/>
  <c r="M337" i="1"/>
  <c r="W337" i="1" s="1"/>
  <c r="M338" i="1"/>
  <c r="M339" i="1"/>
  <c r="M340" i="1"/>
  <c r="M341" i="1"/>
  <c r="P341" i="1" s="1"/>
  <c r="M342" i="1"/>
  <c r="X342" i="1" s="1"/>
  <c r="T342" i="1" s="1"/>
  <c r="U342" i="1" s="1"/>
  <c r="M343" i="1"/>
  <c r="M344" i="1"/>
  <c r="M345" i="1"/>
  <c r="M346" i="1"/>
  <c r="M347" i="1"/>
  <c r="M348" i="1"/>
  <c r="M349" i="1"/>
  <c r="P349" i="1" s="1"/>
  <c r="M350" i="1"/>
  <c r="M351" i="1"/>
  <c r="R351" i="1" s="1"/>
  <c r="M352" i="1"/>
  <c r="X352" i="1" s="1"/>
  <c r="T352" i="1" s="1"/>
  <c r="U352" i="1" s="1"/>
  <c r="M353" i="1"/>
  <c r="M354" i="1"/>
  <c r="R354" i="1" s="1"/>
  <c r="M355" i="1"/>
  <c r="M356" i="1"/>
  <c r="M357" i="1"/>
  <c r="M358" i="1"/>
  <c r="X358" i="1" s="1"/>
  <c r="T358" i="1" s="1"/>
  <c r="U358" i="1" s="1"/>
  <c r="M359" i="1"/>
  <c r="W359" i="1" s="1"/>
  <c r="M360" i="1"/>
  <c r="M361" i="1"/>
  <c r="V361" i="1" s="1"/>
  <c r="M362" i="1"/>
  <c r="R362" i="1" s="1"/>
  <c r="M363" i="1"/>
  <c r="M364" i="1"/>
  <c r="M365" i="1"/>
  <c r="M366" i="1"/>
  <c r="X366" i="1" s="1"/>
  <c r="T366" i="1" s="1"/>
  <c r="U366" i="1" s="1"/>
  <c r="M367" i="1"/>
  <c r="R367" i="1" s="1"/>
  <c r="M368" i="1"/>
  <c r="X368" i="1" s="1"/>
  <c r="T368" i="1" s="1"/>
  <c r="U368" i="1" s="1"/>
  <c r="M369" i="1"/>
  <c r="M370" i="1"/>
  <c r="X370" i="1" s="1"/>
  <c r="T370" i="1" s="1"/>
  <c r="U370" i="1" s="1"/>
  <c r="M371" i="1"/>
  <c r="M372" i="1"/>
  <c r="V372" i="1" s="1"/>
  <c r="M373" i="1"/>
  <c r="W373" i="1" s="1"/>
  <c r="M374" i="1"/>
  <c r="M375" i="1"/>
  <c r="M376" i="1"/>
  <c r="X376" i="1" s="1"/>
  <c r="T376" i="1" s="1"/>
  <c r="U376" i="1" s="1"/>
  <c r="M377" i="1"/>
  <c r="M378" i="1"/>
  <c r="X378" i="1" s="1"/>
  <c r="T378" i="1" s="1"/>
  <c r="U378" i="1" s="1"/>
  <c r="M379" i="1"/>
  <c r="M380" i="1"/>
  <c r="M381" i="1"/>
  <c r="W381" i="1" s="1"/>
  <c r="M382" i="1"/>
  <c r="M383" i="1"/>
  <c r="R383" i="1" s="1"/>
  <c r="M384" i="1"/>
  <c r="M385" i="1"/>
  <c r="M386" i="1"/>
  <c r="M387" i="1"/>
  <c r="R387" i="1" s="1"/>
  <c r="M388" i="1"/>
  <c r="M389" i="1"/>
  <c r="P389" i="1" s="1"/>
  <c r="M390" i="1"/>
  <c r="M391" i="1"/>
  <c r="W391" i="1" s="1"/>
  <c r="M392" i="1"/>
  <c r="M393" i="1"/>
  <c r="W393" i="1" s="1"/>
  <c r="M394" i="1"/>
  <c r="M395" i="1"/>
  <c r="M396" i="1"/>
  <c r="R396" i="1" s="1"/>
  <c r="M397" i="1"/>
  <c r="M398" i="1"/>
  <c r="V398" i="1" s="1"/>
  <c r="M399" i="1"/>
  <c r="R399" i="1" s="1"/>
  <c r="M400" i="1"/>
  <c r="P400" i="1" s="1"/>
  <c r="M401" i="1"/>
  <c r="M402" i="1"/>
  <c r="R402" i="1" s="1"/>
  <c r="M403" i="1"/>
  <c r="R403" i="1" s="1"/>
  <c r="M404" i="1"/>
  <c r="M405" i="1"/>
  <c r="W405" i="1" s="1"/>
  <c r="M406" i="1"/>
  <c r="V406" i="1" s="1"/>
  <c r="M407" i="1"/>
  <c r="M408" i="1"/>
  <c r="M409" i="1"/>
  <c r="M410" i="1"/>
  <c r="W410" i="1" s="1"/>
  <c r="M411" i="1"/>
  <c r="M412" i="1"/>
  <c r="M413" i="1"/>
  <c r="M414" i="1"/>
  <c r="M415" i="1"/>
  <c r="W415" i="1" s="1"/>
  <c r="M416" i="1"/>
  <c r="W416" i="1" s="1"/>
  <c r="M417" i="1"/>
  <c r="M418" i="1"/>
  <c r="W418" i="1" s="1"/>
  <c r="M419" i="1"/>
  <c r="W419" i="1" s="1"/>
  <c r="M420" i="1"/>
  <c r="M421" i="1"/>
  <c r="X421" i="1" s="1"/>
  <c r="T421" i="1" s="1"/>
  <c r="U421" i="1" s="1"/>
  <c r="M422" i="1"/>
  <c r="W422" i="1" s="1"/>
  <c r="M423" i="1"/>
  <c r="M424" i="1"/>
  <c r="W424" i="1" s="1"/>
  <c r="M425" i="1"/>
  <c r="V425" i="1" s="1"/>
  <c r="M426" i="1"/>
  <c r="M427" i="1"/>
  <c r="M428" i="1"/>
  <c r="M429" i="1"/>
  <c r="R429" i="1" s="1"/>
  <c r="M430" i="1"/>
  <c r="M431" i="1"/>
  <c r="M432" i="1"/>
  <c r="W432" i="1" s="1"/>
  <c r="M433" i="1"/>
  <c r="V433" i="1" s="1"/>
  <c r="M434" i="1"/>
  <c r="M435" i="1"/>
  <c r="M436" i="1"/>
  <c r="V436" i="1" s="1"/>
  <c r="M437" i="1"/>
  <c r="M438" i="1"/>
  <c r="V438" i="1" s="1"/>
  <c r="M439" i="1"/>
  <c r="M440" i="1"/>
  <c r="M441" i="1"/>
  <c r="M442" i="1"/>
  <c r="W442" i="1" s="1"/>
  <c r="M443" i="1"/>
  <c r="R443" i="1" s="1"/>
  <c r="M444" i="1"/>
  <c r="M445" i="1"/>
  <c r="V445" i="1" s="1"/>
  <c r="M446" i="1"/>
  <c r="V446" i="1" s="1"/>
  <c r="M447" i="1"/>
  <c r="P447" i="1" s="1"/>
  <c r="M448" i="1"/>
  <c r="M449" i="1"/>
  <c r="W449" i="1" s="1"/>
  <c r="M450" i="1"/>
  <c r="M451" i="1"/>
  <c r="M452" i="1"/>
  <c r="M453" i="1"/>
  <c r="M454" i="1"/>
  <c r="X454" i="1" s="1"/>
  <c r="T454" i="1" s="1"/>
  <c r="U454" i="1" s="1"/>
  <c r="M455" i="1"/>
  <c r="M456" i="1"/>
  <c r="M457" i="1"/>
  <c r="X457" i="1" s="1"/>
  <c r="T457" i="1" s="1"/>
  <c r="U457" i="1" s="1"/>
  <c r="M458" i="1"/>
  <c r="V458" i="1" s="1"/>
  <c r="M459" i="1"/>
  <c r="X459" i="1" s="1"/>
  <c r="T459" i="1" s="1"/>
  <c r="U459" i="1" s="1"/>
  <c r="M460" i="1"/>
  <c r="W460" i="1" s="1"/>
  <c r="M461" i="1"/>
  <c r="M462" i="1"/>
  <c r="M463" i="1"/>
  <c r="V463" i="1" s="1"/>
  <c r="M464" i="1"/>
  <c r="X464" i="1" s="1"/>
  <c r="T464" i="1" s="1"/>
  <c r="U464" i="1" s="1"/>
  <c r="M465" i="1"/>
  <c r="M466" i="1"/>
  <c r="W466" i="1" s="1"/>
  <c r="M467" i="1"/>
  <c r="M468" i="1"/>
  <c r="M469" i="1"/>
  <c r="M470" i="1"/>
  <c r="M471" i="1"/>
  <c r="X471" i="1" s="1"/>
  <c r="T471" i="1" s="1"/>
  <c r="U471" i="1" s="1"/>
  <c r="M472" i="1"/>
  <c r="M473" i="1"/>
  <c r="V473" i="1" s="1"/>
  <c r="M474" i="1"/>
  <c r="M475" i="1"/>
  <c r="R475" i="1" s="1"/>
  <c r="M476" i="1"/>
  <c r="V476" i="1" s="1"/>
  <c r="M477" i="1"/>
  <c r="V477" i="1" s="1"/>
  <c r="M478" i="1"/>
  <c r="M479" i="1"/>
  <c r="M480" i="1"/>
  <c r="M481" i="1"/>
  <c r="M482" i="1"/>
  <c r="M483" i="1"/>
  <c r="X483" i="1" s="1"/>
  <c r="T483" i="1" s="1"/>
  <c r="U483" i="1" s="1"/>
  <c r="M484" i="1"/>
  <c r="V484" i="1" s="1"/>
  <c r="M485" i="1"/>
  <c r="X485" i="1" s="1"/>
  <c r="T485" i="1" s="1"/>
  <c r="U485" i="1" s="1"/>
  <c r="M486" i="1"/>
  <c r="M487" i="1"/>
  <c r="M488" i="1"/>
  <c r="M489" i="1"/>
  <c r="V489" i="1" s="1"/>
  <c r="M490" i="1"/>
  <c r="M491" i="1"/>
  <c r="M492" i="1"/>
  <c r="M493" i="1"/>
  <c r="M494" i="1"/>
  <c r="M495" i="1"/>
  <c r="M496" i="1"/>
  <c r="M497" i="1"/>
  <c r="W497" i="1" s="1"/>
  <c r="M498" i="1"/>
  <c r="M499" i="1"/>
  <c r="X499" i="1" s="1"/>
  <c r="T499" i="1" s="1"/>
  <c r="U499" i="1" s="1"/>
  <c r="M500" i="1"/>
  <c r="V500" i="1" s="1"/>
  <c r="M501" i="1"/>
  <c r="M502" i="1"/>
  <c r="M503" i="1"/>
  <c r="M504" i="1"/>
  <c r="M505" i="1"/>
  <c r="M506" i="1"/>
  <c r="X506" i="1" s="1"/>
  <c r="T506" i="1" s="1"/>
  <c r="U506" i="1" s="1"/>
  <c r="M507" i="1"/>
  <c r="R507" i="1" s="1"/>
  <c r="M508" i="1"/>
  <c r="V508" i="1" s="1"/>
  <c r="M509" i="1"/>
  <c r="M510" i="1"/>
  <c r="W510" i="1" s="1"/>
  <c r="M511" i="1"/>
  <c r="M512" i="1"/>
  <c r="P512" i="1" s="1"/>
  <c r="M513" i="1"/>
  <c r="W513" i="1" s="1"/>
  <c r="M514" i="1"/>
  <c r="X514" i="1" s="1"/>
  <c r="T514" i="1" s="1"/>
  <c r="U514" i="1" s="1"/>
  <c r="M515" i="1"/>
  <c r="P515" i="1" s="1"/>
  <c r="M516" i="1"/>
  <c r="V516" i="1" s="1"/>
  <c r="M517" i="1"/>
  <c r="M518" i="1"/>
  <c r="M519" i="1"/>
  <c r="V519" i="1" s="1"/>
  <c r="M520" i="1"/>
  <c r="P520" i="1" s="1"/>
  <c r="M521" i="1"/>
  <c r="M522" i="1"/>
  <c r="M523" i="1"/>
  <c r="M524" i="1"/>
  <c r="M525" i="1"/>
  <c r="M526" i="1"/>
  <c r="M527" i="1"/>
  <c r="V527" i="1" s="1"/>
  <c r="M528" i="1"/>
  <c r="M529" i="1"/>
  <c r="M530" i="1"/>
  <c r="M531" i="1"/>
  <c r="M532" i="1"/>
  <c r="M533" i="1"/>
  <c r="X533" i="1" s="1"/>
  <c r="T533" i="1" s="1"/>
  <c r="U533" i="1" s="1"/>
  <c r="M534" i="1"/>
  <c r="P534" i="1" s="1"/>
  <c r="Q534" i="1" s="1"/>
  <c r="M535" i="1"/>
  <c r="M536" i="1"/>
  <c r="P536" i="1" s="1"/>
  <c r="S536" i="1" s="1"/>
  <c r="M537" i="1"/>
  <c r="M538" i="1"/>
  <c r="M539" i="1"/>
  <c r="P539" i="1" s="1"/>
  <c r="M540" i="1"/>
  <c r="P540" i="1" s="1"/>
  <c r="M541" i="1"/>
  <c r="R541" i="1" s="1"/>
  <c r="M542" i="1"/>
  <c r="M543" i="1"/>
  <c r="M544" i="1"/>
  <c r="M545" i="1"/>
  <c r="M546" i="1"/>
  <c r="X546" i="1" s="1"/>
  <c r="T546" i="1" s="1"/>
  <c r="U546" i="1" s="1"/>
  <c r="M547" i="1"/>
  <c r="M548" i="1"/>
  <c r="M549" i="1"/>
  <c r="R549" i="1" s="1"/>
  <c r="M550" i="1"/>
  <c r="P550" i="1" s="1"/>
  <c r="M551" i="1"/>
  <c r="P551" i="1" s="1"/>
  <c r="S551" i="1" s="1"/>
  <c r="M552" i="1"/>
  <c r="M553" i="1"/>
  <c r="M554" i="1"/>
  <c r="M555" i="1"/>
  <c r="P555" i="1" s="1"/>
  <c r="M556" i="1"/>
  <c r="M557" i="1"/>
  <c r="R557" i="1" s="1"/>
  <c r="M558" i="1"/>
  <c r="W558" i="1" s="1"/>
  <c r="M559" i="1"/>
  <c r="W559" i="1" s="1"/>
  <c r="M560" i="1"/>
  <c r="R560" i="1" s="1"/>
  <c r="M561" i="1"/>
  <c r="M562" i="1"/>
  <c r="X562" i="1" s="1"/>
  <c r="T562" i="1" s="1"/>
  <c r="U562" i="1" s="1"/>
  <c r="M563" i="1"/>
  <c r="M564" i="1"/>
  <c r="M565" i="1"/>
  <c r="M566" i="1"/>
  <c r="X566" i="1" s="1"/>
  <c r="T566" i="1" s="1"/>
  <c r="U566" i="1" s="1"/>
  <c r="M567" i="1"/>
  <c r="W567" i="1" s="1"/>
  <c r="M568" i="1"/>
  <c r="M569" i="1"/>
  <c r="M570" i="1"/>
  <c r="M571" i="1"/>
  <c r="P571" i="1" s="1"/>
  <c r="M572" i="1"/>
  <c r="M573" i="1"/>
  <c r="M574" i="1"/>
  <c r="R574" i="1" s="1"/>
  <c r="M575" i="1"/>
  <c r="M576" i="1"/>
  <c r="R576" i="1" s="1"/>
  <c r="M577" i="1"/>
  <c r="M578" i="1"/>
  <c r="R578" i="1" s="1"/>
  <c r="M579" i="1"/>
  <c r="R579" i="1" s="1"/>
  <c r="M580" i="1"/>
  <c r="R580" i="1" s="1"/>
  <c r="M581" i="1"/>
  <c r="M582" i="1"/>
  <c r="X582" i="1" s="1"/>
  <c r="T582" i="1" s="1"/>
  <c r="U582" i="1" s="1"/>
  <c r="M583" i="1"/>
  <c r="M584" i="1"/>
  <c r="M585" i="1"/>
  <c r="W585" i="1" s="1"/>
  <c r="M586" i="1"/>
  <c r="P586" i="1" s="1"/>
  <c r="M587" i="1"/>
  <c r="M588" i="1"/>
  <c r="M589" i="1"/>
  <c r="M590" i="1"/>
  <c r="X590" i="1" s="1"/>
  <c r="T590" i="1" s="1"/>
  <c r="U590" i="1" s="1"/>
  <c r="M591" i="1"/>
  <c r="W591" i="1" s="1"/>
  <c r="M592" i="1"/>
  <c r="R592" i="1" s="1"/>
  <c r="M593" i="1"/>
  <c r="P593" i="1" s="1"/>
  <c r="M594" i="1"/>
  <c r="X594" i="1" s="1"/>
  <c r="T594" i="1" s="1"/>
  <c r="U594" i="1" s="1"/>
  <c r="M595" i="1"/>
  <c r="V595" i="1" s="1"/>
  <c r="M596" i="1"/>
  <c r="M597" i="1"/>
  <c r="R597" i="1" s="1"/>
  <c r="M598" i="1"/>
  <c r="M599" i="1"/>
  <c r="V599" i="1" s="1"/>
  <c r="M600" i="1"/>
  <c r="M601" i="1"/>
  <c r="V601" i="1" s="1"/>
  <c r="M602" i="1"/>
  <c r="M603" i="1"/>
  <c r="M604" i="1"/>
  <c r="M605" i="1"/>
  <c r="W605" i="1" s="1"/>
  <c r="M606" i="1"/>
  <c r="P606" i="1" s="1"/>
  <c r="M607" i="1"/>
  <c r="M608" i="1"/>
  <c r="M609" i="1"/>
  <c r="X609" i="1" s="1"/>
  <c r="T609" i="1" s="1"/>
  <c r="U609" i="1" s="1"/>
  <c r="M610" i="1"/>
  <c r="M611" i="1"/>
  <c r="M612" i="1"/>
  <c r="X612" i="1" s="1"/>
  <c r="T612" i="1" s="1"/>
  <c r="U612" i="1" s="1"/>
  <c r="M613" i="1"/>
  <c r="W613" i="1" s="1"/>
  <c r="M614" i="1"/>
  <c r="M615" i="1"/>
  <c r="M616" i="1"/>
  <c r="M617" i="1"/>
  <c r="M618" i="1"/>
  <c r="R618" i="1" s="1"/>
  <c r="M619" i="1"/>
  <c r="R619" i="1" s="1"/>
  <c r="M620" i="1"/>
  <c r="X620" i="1" s="1"/>
  <c r="T620" i="1" s="1"/>
  <c r="U620" i="1" s="1"/>
  <c r="M621" i="1"/>
  <c r="M622" i="1"/>
  <c r="X622" i="1" s="1"/>
  <c r="T622" i="1" s="1"/>
  <c r="U622" i="1" s="1"/>
  <c r="M623" i="1"/>
  <c r="V623" i="1" s="1"/>
  <c r="M624" i="1"/>
  <c r="V624" i="1" s="1"/>
  <c r="M625" i="1"/>
  <c r="W625" i="1" s="1"/>
  <c r="M626" i="1"/>
  <c r="P626" i="1" s="1"/>
  <c r="Q626" i="1" s="1"/>
  <c r="M627" i="1"/>
  <c r="P627" i="1" s="1"/>
  <c r="S627" i="1" s="1"/>
  <c r="M628" i="1"/>
  <c r="V628" i="1" s="1"/>
  <c r="M629" i="1"/>
  <c r="R629" i="1" s="1"/>
  <c r="M630" i="1"/>
  <c r="V630" i="1" s="1"/>
  <c r="M631" i="1"/>
  <c r="M632" i="1"/>
  <c r="M633" i="1"/>
  <c r="P633" i="1" s="1"/>
  <c r="S633" i="1" s="1"/>
  <c r="M634" i="1"/>
  <c r="M635" i="1"/>
  <c r="M636" i="1"/>
  <c r="M637" i="1"/>
  <c r="M638" i="1"/>
  <c r="X638" i="1" s="1"/>
  <c r="T638" i="1" s="1"/>
  <c r="U638" i="1" s="1"/>
  <c r="M639" i="1"/>
  <c r="M640" i="1"/>
  <c r="M641" i="1"/>
  <c r="W641" i="1" s="1"/>
  <c r="M642" i="1"/>
  <c r="M643" i="1"/>
  <c r="M644" i="1"/>
  <c r="M645" i="1"/>
  <c r="M646" i="1"/>
  <c r="M647" i="1"/>
  <c r="M648" i="1"/>
  <c r="V648" i="1" s="1"/>
  <c r="M649" i="1"/>
  <c r="M650" i="1"/>
  <c r="M651" i="1"/>
  <c r="M652" i="1"/>
  <c r="V652" i="1" s="1"/>
  <c r="M653" i="1"/>
  <c r="M654" i="1"/>
  <c r="M655" i="1"/>
  <c r="R655" i="1" s="1"/>
  <c r="M656" i="1"/>
  <c r="M657" i="1"/>
  <c r="W657" i="1" s="1"/>
  <c r="M658" i="1"/>
  <c r="M659" i="1"/>
  <c r="M660" i="1"/>
  <c r="M661" i="1"/>
  <c r="M662" i="1"/>
  <c r="M663" i="1"/>
  <c r="M664" i="1"/>
  <c r="R664" i="1" s="1"/>
  <c r="M665" i="1"/>
  <c r="R665" i="1" s="1"/>
  <c r="M666" i="1"/>
  <c r="M667" i="1"/>
  <c r="V667" i="1" s="1"/>
  <c r="M668" i="1"/>
  <c r="M669" i="1"/>
  <c r="M670" i="1"/>
  <c r="W670" i="1" s="1"/>
  <c r="M671" i="1"/>
  <c r="X671" i="1" s="1"/>
  <c r="T671" i="1" s="1"/>
  <c r="U671" i="1" s="1"/>
  <c r="M672" i="1"/>
  <c r="W672" i="1" s="1"/>
  <c r="M673" i="1"/>
  <c r="W673" i="1" s="1"/>
  <c r="M674" i="1"/>
  <c r="V674" i="1" s="1"/>
  <c r="M675" i="1"/>
  <c r="P675" i="1" s="1"/>
  <c r="S675" i="1" s="1"/>
  <c r="M676" i="1"/>
  <c r="W676" i="1" s="1"/>
  <c r="M677" i="1"/>
  <c r="M678" i="1"/>
  <c r="M679" i="1"/>
  <c r="X679" i="1" s="1"/>
  <c r="T679" i="1" s="1"/>
  <c r="U679" i="1" s="1"/>
  <c r="M680" i="1"/>
  <c r="M681" i="1"/>
  <c r="X681" i="1" s="1"/>
  <c r="T681" i="1" s="1"/>
  <c r="U681" i="1" s="1"/>
  <c r="M682" i="1"/>
  <c r="P682" i="1" s="1"/>
  <c r="M683" i="1"/>
  <c r="W683" i="1" s="1"/>
  <c r="M684" i="1"/>
  <c r="M685" i="1"/>
  <c r="M686" i="1"/>
  <c r="M687" i="1"/>
  <c r="M688" i="1"/>
  <c r="M689" i="1"/>
  <c r="W689" i="1" s="1"/>
  <c r="M690" i="1"/>
  <c r="M691" i="1"/>
  <c r="M692" i="1"/>
  <c r="M693" i="1"/>
  <c r="M694" i="1"/>
  <c r="M695" i="1"/>
  <c r="M696" i="1"/>
  <c r="M697" i="1"/>
  <c r="M698" i="1"/>
  <c r="M699" i="1"/>
  <c r="M700" i="1"/>
  <c r="M701" i="1"/>
  <c r="M702" i="1"/>
  <c r="R702" i="1" s="1"/>
  <c r="M703" i="1"/>
  <c r="W703" i="1" s="1"/>
  <c r="M704" i="1"/>
  <c r="R704" i="1" s="1"/>
  <c r="M705" i="1"/>
  <c r="M706" i="1"/>
  <c r="W706" i="1" s="1"/>
  <c r="M707" i="1"/>
  <c r="M708" i="1"/>
  <c r="M709" i="1"/>
  <c r="W709" i="1" s="1"/>
  <c r="M710" i="1"/>
  <c r="W710" i="1" s="1"/>
  <c r="M711" i="1"/>
  <c r="M712" i="1"/>
  <c r="V712" i="1" s="1"/>
  <c r="M713" i="1"/>
  <c r="M714" i="1"/>
  <c r="M715" i="1"/>
  <c r="M716" i="1"/>
  <c r="W716" i="1" s="1"/>
  <c r="M717" i="1"/>
  <c r="P717" i="1" s="1"/>
  <c r="M718" i="1"/>
  <c r="V718" i="1" s="1"/>
  <c r="M719" i="1"/>
  <c r="R719" i="1" s="1"/>
  <c r="M720" i="1"/>
  <c r="W720" i="1" s="1"/>
  <c r="M721" i="1"/>
  <c r="M722" i="1"/>
  <c r="M723" i="1"/>
  <c r="V723" i="1" s="1"/>
  <c r="M724" i="1"/>
  <c r="W724" i="1" s="1"/>
  <c r="M725" i="1"/>
  <c r="R725" i="1" s="1"/>
  <c r="M726" i="1"/>
  <c r="M727" i="1"/>
  <c r="R727" i="1" s="1"/>
  <c r="M728" i="1"/>
  <c r="M729" i="1"/>
  <c r="M730" i="1"/>
  <c r="M731" i="1"/>
  <c r="M732" i="1"/>
  <c r="M733" i="1"/>
  <c r="R733" i="1" s="1"/>
  <c r="M734" i="1"/>
  <c r="P734" i="1" s="1"/>
  <c r="M735" i="1"/>
  <c r="W735" i="1" s="1"/>
  <c r="M736" i="1"/>
  <c r="M737" i="1"/>
  <c r="M738" i="1"/>
  <c r="X738" i="1" s="1"/>
  <c r="T738" i="1" s="1"/>
  <c r="U738" i="1" s="1"/>
  <c r="M739" i="1"/>
  <c r="M740" i="1"/>
  <c r="V740" i="1" s="1"/>
  <c r="M741" i="1"/>
  <c r="W741" i="1" s="1"/>
  <c r="M742" i="1"/>
  <c r="W742" i="1" s="1"/>
  <c r="M743" i="1"/>
  <c r="P743" i="1" s="1"/>
  <c r="S743" i="1" s="1"/>
  <c r="M744" i="1"/>
  <c r="R744" i="1" s="1"/>
  <c r="M745" i="1"/>
  <c r="M746" i="1"/>
  <c r="M747" i="1"/>
  <c r="M748" i="1"/>
  <c r="X748" i="1" s="1"/>
  <c r="T748" i="1" s="1"/>
  <c r="U748" i="1" s="1"/>
  <c r="M749" i="1"/>
  <c r="R749" i="1" s="1"/>
  <c r="M750" i="1"/>
  <c r="P750" i="1" s="1"/>
  <c r="M751" i="1"/>
  <c r="X751" i="1" s="1"/>
  <c r="T751" i="1" s="1"/>
  <c r="U751" i="1" s="1"/>
  <c r="M752" i="1"/>
  <c r="X752" i="1" s="1"/>
  <c r="T752" i="1" s="1"/>
  <c r="U752" i="1" s="1"/>
  <c r="M753" i="1"/>
  <c r="V753" i="1" s="1"/>
  <c r="M754" i="1"/>
  <c r="M755" i="1"/>
  <c r="V755" i="1" s="1"/>
  <c r="M756" i="1"/>
  <c r="R756" i="1" s="1"/>
  <c r="M757" i="1"/>
  <c r="V757" i="1" s="1"/>
  <c r="M758" i="1"/>
  <c r="M759" i="1"/>
  <c r="R759" i="1" s="1"/>
  <c r="M760" i="1"/>
  <c r="P760" i="1" s="1"/>
  <c r="M761" i="1"/>
  <c r="W761" i="1" s="1"/>
  <c r="M762" i="1"/>
  <c r="M763" i="1"/>
  <c r="M764" i="1"/>
  <c r="V764" i="1" s="1"/>
  <c r="M765" i="1"/>
  <c r="M766" i="1"/>
  <c r="R766" i="1" s="1"/>
  <c r="M767" i="1"/>
  <c r="M768" i="1"/>
  <c r="M769" i="1"/>
  <c r="M770" i="1"/>
  <c r="M771" i="1"/>
  <c r="X771" i="1" s="1"/>
  <c r="T771" i="1" s="1"/>
  <c r="U771" i="1" s="1"/>
  <c r="M772" i="1"/>
  <c r="W772" i="1" s="1"/>
  <c r="M773" i="1"/>
  <c r="X773" i="1" s="1"/>
  <c r="T773" i="1" s="1"/>
  <c r="U773" i="1" s="1"/>
  <c r="M774" i="1"/>
  <c r="V774" i="1" s="1"/>
  <c r="M775" i="1"/>
  <c r="R775" i="1" s="1"/>
  <c r="M776" i="1"/>
  <c r="P776" i="1" s="1"/>
  <c r="S776" i="1" s="1"/>
  <c r="M777" i="1"/>
  <c r="M778" i="1"/>
  <c r="X778" i="1" s="1"/>
  <c r="T778" i="1" s="1"/>
  <c r="U778" i="1" s="1"/>
  <c r="M779" i="1"/>
  <c r="W779" i="1" s="1"/>
  <c r="M780" i="1"/>
  <c r="M781" i="1"/>
  <c r="W781" i="1" s="1"/>
  <c r="M782" i="1"/>
  <c r="W782" i="1" s="1"/>
  <c r="M783" i="1"/>
  <c r="X783" i="1" s="1"/>
  <c r="T783" i="1" s="1"/>
  <c r="U783" i="1" s="1"/>
  <c r="M784" i="1"/>
  <c r="X784" i="1" s="1"/>
  <c r="T784" i="1" s="1"/>
  <c r="U784" i="1" s="1"/>
  <c r="M785" i="1"/>
  <c r="R785" i="1" s="1"/>
  <c r="M786" i="1"/>
  <c r="M787" i="1"/>
  <c r="V787" i="1" s="1"/>
  <c r="M788" i="1"/>
  <c r="X788" i="1" s="1"/>
  <c r="T788" i="1" s="1"/>
  <c r="U788" i="1" s="1"/>
  <c r="M789" i="1"/>
  <c r="M790" i="1"/>
  <c r="R790" i="1" s="1"/>
  <c r="M791" i="1"/>
  <c r="W791" i="1" s="1"/>
  <c r="M792" i="1"/>
  <c r="P792" i="1" s="1"/>
  <c r="Q792" i="1" s="1"/>
  <c r="M793" i="1"/>
  <c r="P793" i="1" s="1"/>
  <c r="M794" i="1"/>
  <c r="R794" i="1" s="1"/>
  <c r="M795" i="1"/>
  <c r="W795" i="1" s="1"/>
  <c r="M796" i="1"/>
  <c r="M797" i="1"/>
  <c r="M798" i="1"/>
  <c r="M799" i="1"/>
  <c r="M800" i="1"/>
  <c r="M801" i="1"/>
  <c r="R801" i="1" s="1"/>
  <c r="M802" i="1"/>
  <c r="M803" i="1"/>
  <c r="W803" i="1" s="1"/>
  <c r="M804" i="1"/>
  <c r="R804" i="1" s="1"/>
  <c r="M805" i="1"/>
  <c r="M806" i="1"/>
  <c r="W806" i="1" s="1"/>
  <c r="M807" i="1"/>
  <c r="M808" i="1"/>
  <c r="R808" i="1" s="1"/>
  <c r="M809" i="1"/>
  <c r="R809" i="1" s="1"/>
  <c r="M810" i="1"/>
  <c r="X810" i="1" s="1"/>
  <c r="T810" i="1" s="1"/>
  <c r="U810" i="1" s="1"/>
  <c r="M811" i="1"/>
  <c r="M812" i="1"/>
  <c r="M813" i="1"/>
  <c r="M814" i="1"/>
  <c r="P814" i="1" s="1"/>
  <c r="M815" i="1"/>
  <c r="W815" i="1" s="1"/>
  <c r="M816" i="1"/>
  <c r="M817" i="1"/>
  <c r="P817" i="1" s="1"/>
  <c r="M818" i="1"/>
  <c r="P818" i="1" s="1"/>
  <c r="Q818" i="1" s="1"/>
  <c r="M819" i="1"/>
  <c r="M820" i="1"/>
  <c r="V820" i="1" s="1"/>
  <c r="M821" i="1"/>
  <c r="M822" i="1"/>
  <c r="V822" i="1" s="1"/>
  <c r="M823" i="1"/>
  <c r="W823" i="1" s="1"/>
  <c r="M824" i="1"/>
  <c r="M825" i="1"/>
  <c r="X825" i="1" s="1"/>
  <c r="T825" i="1" s="1"/>
  <c r="U825" i="1" s="1"/>
  <c r="M826" i="1"/>
  <c r="P826" i="1" s="1"/>
  <c r="Q826" i="1" s="1"/>
  <c r="M827" i="1"/>
  <c r="W827" i="1" s="1"/>
  <c r="M828" i="1"/>
  <c r="P828" i="1" s="1"/>
  <c r="M829" i="1"/>
  <c r="V829" i="1" s="1"/>
  <c r="M830" i="1"/>
  <c r="M831" i="1"/>
  <c r="W831" i="1" s="1"/>
  <c r="M832" i="1"/>
  <c r="M833" i="1"/>
  <c r="M834" i="1"/>
  <c r="M835" i="1"/>
  <c r="R835" i="1" s="1"/>
  <c r="M836" i="1"/>
  <c r="V836" i="1" s="1"/>
  <c r="M837" i="1"/>
  <c r="V837" i="1" s="1"/>
  <c r="M838" i="1"/>
  <c r="X838" i="1" s="1"/>
  <c r="T838" i="1" s="1"/>
  <c r="U838" i="1" s="1"/>
  <c r="M839" i="1"/>
  <c r="R839" i="1" s="1"/>
  <c r="M840" i="1"/>
  <c r="P840" i="1" s="1"/>
  <c r="M841" i="1"/>
  <c r="W841" i="1" s="1"/>
  <c r="M842" i="1"/>
  <c r="W842" i="1" s="1"/>
  <c r="M843" i="1"/>
  <c r="M844" i="1"/>
  <c r="M845" i="1"/>
  <c r="V845" i="1" s="1"/>
  <c r="M846" i="1"/>
  <c r="X846" i="1" s="1"/>
  <c r="T846" i="1" s="1"/>
  <c r="U846" i="1" s="1"/>
  <c r="M847" i="1"/>
  <c r="M848" i="1"/>
  <c r="X848" i="1" s="1"/>
  <c r="T848" i="1" s="1"/>
  <c r="U848" i="1" s="1"/>
  <c r="M849" i="1"/>
  <c r="X849" i="1" s="1"/>
  <c r="T849" i="1" s="1"/>
  <c r="U849" i="1" s="1"/>
  <c r="M850" i="1"/>
  <c r="W850" i="1" s="1"/>
  <c r="M851" i="1"/>
  <c r="M852" i="1"/>
  <c r="X852" i="1" s="1"/>
  <c r="T852" i="1" s="1"/>
  <c r="U852" i="1" s="1"/>
  <c r="M853" i="1"/>
  <c r="V853" i="1" s="1"/>
  <c r="M854" i="1"/>
  <c r="M855" i="1"/>
  <c r="M856" i="1"/>
  <c r="M857" i="1"/>
  <c r="X857" i="1" s="1"/>
  <c r="T857" i="1" s="1"/>
  <c r="U857" i="1" s="1"/>
  <c r="M858" i="1"/>
  <c r="M859" i="1"/>
  <c r="W859" i="1" s="1"/>
  <c r="M860" i="1"/>
  <c r="R860" i="1" s="1"/>
  <c r="M861" i="1"/>
  <c r="V861" i="1" s="1"/>
  <c r="M862" i="1"/>
  <c r="W862" i="1" s="1"/>
  <c r="M863" i="1"/>
  <c r="V863" i="1" s="1"/>
  <c r="M864" i="1"/>
  <c r="R864" i="1" s="1"/>
  <c r="M865" i="1"/>
  <c r="M866" i="1"/>
  <c r="P866" i="1" s="1"/>
  <c r="Q866" i="1" s="1"/>
  <c r="M867" i="1"/>
  <c r="W867" i="1" s="1"/>
  <c r="M868" i="1"/>
  <c r="M869" i="1"/>
  <c r="M870" i="1"/>
  <c r="X870" i="1" s="1"/>
  <c r="T870" i="1" s="1"/>
  <c r="U870" i="1" s="1"/>
  <c r="M871" i="1"/>
  <c r="X871" i="1" s="1"/>
  <c r="T871" i="1" s="1"/>
  <c r="U871" i="1" s="1"/>
  <c r="M872" i="1"/>
  <c r="R872" i="1" s="1"/>
  <c r="M873" i="1"/>
  <c r="M874" i="1"/>
  <c r="X874" i="1" s="1"/>
  <c r="T874" i="1" s="1"/>
  <c r="U874" i="1" s="1"/>
  <c r="M875" i="1"/>
  <c r="R875" i="1" s="1"/>
  <c r="M876" i="1"/>
  <c r="M877" i="1"/>
  <c r="V877" i="1" s="1"/>
  <c r="M878" i="1"/>
  <c r="W878" i="1" s="1"/>
  <c r="M879" i="1"/>
  <c r="M880" i="1"/>
  <c r="R880" i="1" s="1"/>
  <c r="M881" i="1"/>
  <c r="M882" i="1"/>
  <c r="X882" i="1" s="1"/>
  <c r="T882" i="1" s="1"/>
  <c r="U882" i="1" s="1"/>
  <c r="M883" i="1"/>
  <c r="W883" i="1" s="1"/>
  <c r="M884" i="1"/>
  <c r="R884" i="1" s="1"/>
  <c r="M885" i="1"/>
  <c r="W885" i="1" s="1"/>
  <c r="M886" i="1"/>
  <c r="W886" i="1" s="1"/>
  <c r="M887" i="1"/>
  <c r="R887" i="1" s="1"/>
  <c r="M888" i="1"/>
  <c r="W888" i="1" s="1"/>
  <c r="M889" i="1"/>
  <c r="V889" i="1" s="1"/>
  <c r="M890" i="1"/>
  <c r="R890" i="1" s="1"/>
  <c r="M891" i="1"/>
  <c r="W891" i="1" s="1"/>
  <c r="M892" i="1"/>
  <c r="P892" i="1" s="1"/>
  <c r="M893" i="1"/>
  <c r="W893" i="1" s="1"/>
  <c r="M894" i="1"/>
  <c r="R894" i="1" s="1"/>
  <c r="M895" i="1"/>
  <c r="R895" i="1" s="1"/>
  <c r="M896" i="1"/>
  <c r="M897" i="1"/>
  <c r="W897" i="1" s="1"/>
  <c r="M898" i="1"/>
  <c r="P898" i="1" s="1"/>
  <c r="M899" i="1"/>
  <c r="W899" i="1" s="1"/>
  <c r="M900" i="1"/>
  <c r="V900" i="1" s="1"/>
  <c r="M901" i="1"/>
  <c r="W901" i="1" s="1"/>
  <c r="M902" i="1"/>
  <c r="W902" i="1" s="1"/>
  <c r="M903" i="1"/>
  <c r="R903" i="1" s="1"/>
  <c r="M904" i="1"/>
  <c r="V904" i="1" s="1"/>
  <c r="M905" i="1"/>
  <c r="M906" i="1"/>
  <c r="V906" i="1" s="1"/>
  <c r="M907" i="1"/>
  <c r="R907" i="1" s="1"/>
  <c r="M908" i="1"/>
  <c r="R908" i="1" s="1"/>
  <c r="M909" i="1"/>
  <c r="V909" i="1" s="1"/>
  <c r="M910" i="1"/>
  <c r="W910" i="1" s="1"/>
  <c r="M911" i="1"/>
  <c r="X911" i="1" s="1"/>
  <c r="T911" i="1" s="1"/>
  <c r="U911" i="1" s="1"/>
  <c r="M912" i="1"/>
  <c r="R912" i="1" s="1"/>
  <c r="M913" i="1"/>
  <c r="M914" i="1"/>
  <c r="M915" i="1"/>
  <c r="W915" i="1" s="1"/>
  <c r="M916" i="1"/>
  <c r="X916" i="1" s="1"/>
  <c r="T916" i="1" s="1"/>
  <c r="U916" i="1" s="1"/>
  <c r="M917" i="1"/>
  <c r="W917" i="1" s="1"/>
  <c r="M918" i="1"/>
  <c r="W918" i="1" s="1"/>
  <c r="M919" i="1"/>
  <c r="R919" i="1" s="1"/>
  <c r="M920" i="1"/>
  <c r="W920" i="1" s="1"/>
  <c r="M921" i="1"/>
  <c r="V921" i="1" s="1"/>
  <c r="M922" i="1"/>
  <c r="W922" i="1" s="1"/>
  <c r="M923" i="1"/>
  <c r="W923" i="1" s="1"/>
  <c r="M924" i="1"/>
  <c r="P924" i="1" s="1"/>
  <c r="M925" i="1"/>
  <c r="M926" i="1"/>
  <c r="W926" i="1" s="1"/>
  <c r="M927" i="1"/>
  <c r="R927" i="1" s="1"/>
  <c r="M928" i="1"/>
  <c r="M929" i="1"/>
  <c r="W929" i="1" s="1"/>
  <c r="M930" i="1"/>
  <c r="P930" i="1" s="1"/>
  <c r="M931" i="1"/>
  <c r="W931" i="1" s="1"/>
  <c r="M932" i="1"/>
  <c r="P932" i="1" s="1"/>
  <c r="S932" i="1" s="1"/>
  <c r="M933" i="1"/>
  <c r="W933" i="1" s="1"/>
  <c r="M934" i="1"/>
  <c r="W934" i="1" s="1"/>
  <c r="M935" i="1"/>
  <c r="M936" i="1"/>
  <c r="W936" i="1" s="1"/>
  <c r="M937" i="1"/>
  <c r="W937" i="1" s="1"/>
  <c r="M938" i="1"/>
  <c r="R938" i="1" s="1"/>
  <c r="M939" i="1"/>
  <c r="M940" i="1"/>
  <c r="W940" i="1" s="1"/>
  <c r="M941" i="1"/>
  <c r="W941" i="1" s="1"/>
  <c r="M942" i="1"/>
  <c r="W942" i="1" s="1"/>
  <c r="M943" i="1"/>
  <c r="M944" i="1"/>
  <c r="X944" i="1" s="1"/>
  <c r="T944" i="1" s="1"/>
  <c r="U944" i="1" s="1"/>
  <c r="M945" i="1"/>
  <c r="W945" i="1" s="1"/>
  <c r="M946" i="1"/>
  <c r="V946" i="1" s="1"/>
  <c r="M947" i="1"/>
  <c r="R947" i="1" s="1"/>
  <c r="M948" i="1"/>
  <c r="M949" i="1"/>
  <c r="M950" i="1"/>
  <c r="X950" i="1" s="1"/>
  <c r="T950" i="1" s="1"/>
  <c r="U950" i="1" s="1"/>
  <c r="M951" i="1"/>
  <c r="M952" i="1"/>
  <c r="P952" i="1" s="1"/>
  <c r="M953" i="1"/>
  <c r="W953" i="1" s="1"/>
  <c r="M954" i="1"/>
  <c r="R954" i="1" s="1"/>
  <c r="M955" i="1"/>
  <c r="R955" i="1" s="1"/>
  <c r="M956" i="1"/>
  <c r="W956" i="1" s="1"/>
  <c r="M957" i="1"/>
  <c r="W957" i="1" s="1"/>
  <c r="M958" i="1"/>
  <c r="W958" i="1" s="1"/>
  <c r="M959" i="1"/>
  <c r="M960" i="1"/>
  <c r="P960" i="1" s="1"/>
  <c r="M961" i="1"/>
  <c r="W961" i="1" s="1"/>
  <c r="M962" i="1"/>
  <c r="V962" i="1" s="1"/>
  <c r="M963" i="1"/>
  <c r="M964" i="1"/>
  <c r="W964" i="1" s="1"/>
  <c r="M965" i="1"/>
  <c r="M966" i="1"/>
  <c r="W966" i="1" s="1"/>
  <c r="M967" i="1"/>
  <c r="M968" i="1"/>
  <c r="M969" i="1"/>
  <c r="V969" i="1" s="1"/>
  <c r="M970" i="1"/>
  <c r="P970" i="1" s="1"/>
  <c r="M971" i="1"/>
  <c r="R971" i="1" s="1"/>
  <c r="M972" i="1"/>
  <c r="W972" i="1" s="1"/>
  <c r="M973" i="1"/>
  <c r="V973" i="1" s="1"/>
  <c r="M974" i="1"/>
  <c r="M975" i="1"/>
  <c r="R975" i="1" s="1"/>
  <c r="M976" i="1"/>
  <c r="R976" i="1" s="1"/>
  <c r="M977" i="1"/>
  <c r="W977" i="1" s="1"/>
  <c r="M978" i="1"/>
  <c r="R978" i="1" s="1"/>
  <c r="M979" i="1"/>
  <c r="R979" i="1" s="1"/>
  <c r="M980" i="1"/>
  <c r="R980" i="1" s="1"/>
  <c r="M981" i="1"/>
  <c r="V981" i="1" s="1"/>
  <c r="M982" i="1"/>
  <c r="X982" i="1" s="1"/>
  <c r="T982" i="1" s="1"/>
  <c r="U982" i="1" s="1"/>
  <c r="M983" i="1"/>
  <c r="R983" i="1" s="1"/>
  <c r="M984" i="1"/>
  <c r="R984" i="1" s="1"/>
  <c r="M985" i="1"/>
  <c r="W985" i="1" s="1"/>
  <c r="M986" i="1"/>
  <c r="P986" i="1" s="1"/>
  <c r="M987" i="1"/>
  <c r="R987" i="1" s="1"/>
  <c r="M988" i="1"/>
  <c r="V988" i="1" s="1"/>
  <c r="M989" i="1"/>
  <c r="V989" i="1" s="1"/>
  <c r="M990" i="1"/>
  <c r="R990" i="1" s="1"/>
  <c r="M991" i="1"/>
  <c r="M992" i="1"/>
  <c r="R992" i="1" s="1"/>
  <c r="M993" i="1"/>
  <c r="V993" i="1" s="1"/>
  <c r="M994" i="1"/>
  <c r="H7" i="15"/>
  <c r="G7" i="15"/>
  <c r="W13" i="1" l="1"/>
  <c r="R16" i="1"/>
  <c r="R14" i="1"/>
  <c r="W368" i="1"/>
  <c r="X743" i="1"/>
  <c r="T743" i="1" s="1"/>
  <c r="U743" i="1" s="1"/>
  <c r="V368" i="1"/>
  <c r="P40" i="1"/>
  <c r="Q40" i="1" s="1"/>
  <c r="V752" i="1"/>
  <c r="P160" i="1"/>
  <c r="S160" i="1" s="1"/>
  <c r="X34" i="1"/>
  <c r="T34" i="1" s="1"/>
  <c r="U34" i="1" s="1"/>
  <c r="V513" i="1"/>
  <c r="P186" i="1"/>
  <c r="S186" i="1" s="1"/>
  <c r="R944" i="1"/>
  <c r="V911" i="1"/>
  <c r="X790" i="1"/>
  <c r="T790" i="1" s="1"/>
  <c r="U790" i="1" s="1"/>
  <c r="V24" i="1"/>
  <c r="W160" i="1"/>
  <c r="V62" i="1"/>
  <c r="R160" i="1"/>
  <c r="W674" i="1"/>
  <c r="X72" i="1"/>
  <c r="T72" i="1" s="1"/>
  <c r="U72" i="1" s="1"/>
  <c r="R24" i="1"/>
  <c r="X954" i="1"/>
  <c r="T954" i="1" s="1"/>
  <c r="U954" i="1" s="1"/>
  <c r="X95" i="1"/>
  <c r="T95" i="1" s="1"/>
  <c r="U95" i="1" s="1"/>
  <c r="W86" i="1"/>
  <c r="X44" i="1"/>
  <c r="T44" i="1" s="1"/>
  <c r="U44" i="1" s="1"/>
  <c r="V954" i="1"/>
  <c r="V45" i="1"/>
  <c r="X704" i="1"/>
  <c r="T704" i="1" s="1"/>
  <c r="U704" i="1" s="1"/>
  <c r="X549" i="1"/>
  <c r="T549" i="1" s="1"/>
  <c r="U549" i="1" s="1"/>
  <c r="V779" i="1"/>
  <c r="R551" i="1"/>
  <c r="R292" i="1"/>
  <c r="W291" i="1"/>
  <c r="R254" i="1"/>
  <c r="P106" i="1"/>
  <c r="Q106" i="1" s="1"/>
  <c r="R75" i="1"/>
  <c r="V48" i="1"/>
  <c r="P292" i="1"/>
  <c r="S292" i="1" s="1"/>
  <c r="V291" i="1"/>
  <c r="X628" i="1"/>
  <c r="T628" i="1" s="1"/>
  <c r="U628" i="1" s="1"/>
  <c r="V536" i="1"/>
  <c r="P166" i="1"/>
  <c r="Q166" i="1" s="1"/>
  <c r="W114" i="1"/>
  <c r="P73" i="1"/>
  <c r="Q73" i="1" s="1"/>
  <c r="X40" i="1"/>
  <c r="T40" i="1" s="1"/>
  <c r="U40" i="1" s="1"/>
  <c r="V12" i="1"/>
  <c r="W106" i="1"/>
  <c r="R956" i="1"/>
  <c r="W551" i="1"/>
  <c r="Q536" i="1"/>
  <c r="R667" i="1"/>
  <c r="V551" i="1"/>
  <c r="W550" i="1"/>
  <c r="X292" i="1"/>
  <c r="T292" i="1" s="1"/>
  <c r="U292" i="1" s="1"/>
  <c r="X237" i="1"/>
  <c r="T237" i="1" s="1"/>
  <c r="U237" i="1" s="1"/>
  <c r="W120" i="1"/>
  <c r="R106" i="1"/>
  <c r="X75" i="1"/>
  <c r="T75" i="1" s="1"/>
  <c r="U75" i="1" s="1"/>
  <c r="X56" i="1"/>
  <c r="T56" i="1" s="1"/>
  <c r="U56" i="1" s="1"/>
  <c r="P36" i="1"/>
  <c r="S36" i="1" s="1"/>
  <c r="X806" i="1"/>
  <c r="T806" i="1" s="1"/>
  <c r="U806" i="1" s="1"/>
  <c r="R761" i="1"/>
  <c r="V760" i="1"/>
  <c r="R720" i="1"/>
  <c r="W719" i="1"/>
  <c r="W718" i="1"/>
  <c r="W717" i="1"/>
  <c r="V689" i="1"/>
  <c r="X277" i="1"/>
  <c r="T277" i="1" s="1"/>
  <c r="U277" i="1" s="1"/>
  <c r="P982" i="1"/>
  <c r="Q982" i="1" s="1"/>
  <c r="W921" i="1"/>
  <c r="R850" i="1"/>
  <c r="W849" i="1"/>
  <c r="X992" i="1"/>
  <c r="T992" i="1" s="1"/>
  <c r="U992" i="1" s="1"/>
  <c r="V806" i="1"/>
  <c r="R774" i="1"/>
  <c r="P720" i="1"/>
  <c r="S720" i="1" s="1"/>
  <c r="P718" i="1"/>
  <c r="Q718" i="1" s="1"/>
  <c r="X716" i="1"/>
  <c r="T716" i="1" s="1"/>
  <c r="U716" i="1" s="1"/>
  <c r="R703" i="1"/>
  <c r="R689" i="1"/>
  <c r="X475" i="1"/>
  <c r="T475" i="1" s="1"/>
  <c r="U475" i="1" s="1"/>
  <c r="W367" i="1"/>
  <c r="P362" i="1"/>
  <c r="S362" i="1" s="1"/>
  <c r="W277" i="1"/>
  <c r="X160" i="1"/>
  <c r="T160" i="1" s="1"/>
  <c r="U160" i="1" s="1"/>
  <c r="W73" i="1"/>
  <c r="V73" i="1"/>
  <c r="X62" i="1"/>
  <c r="T62" i="1" s="1"/>
  <c r="U62" i="1" s="1"/>
  <c r="P56" i="1"/>
  <c r="S56" i="1" s="1"/>
  <c r="R40" i="1"/>
  <c r="P34" i="1"/>
  <c r="Q34" i="1" s="1"/>
  <c r="P24" i="1"/>
  <c r="Q24" i="1" s="1"/>
  <c r="W12" i="1"/>
  <c r="R73" i="1"/>
  <c r="W62" i="1"/>
  <c r="P954" i="1"/>
  <c r="S954" i="1" s="1"/>
  <c r="V910" i="1"/>
  <c r="X839" i="1"/>
  <c r="T839" i="1" s="1"/>
  <c r="U839" i="1" s="1"/>
  <c r="V744" i="1"/>
  <c r="R674" i="1"/>
  <c r="X673" i="1"/>
  <c r="T673" i="1" s="1"/>
  <c r="U673" i="1" s="1"/>
  <c r="X630" i="1"/>
  <c r="T630" i="1" s="1"/>
  <c r="U630" i="1" s="1"/>
  <c r="W595" i="1"/>
  <c r="W520" i="1"/>
  <c r="W519" i="1"/>
  <c r="X403" i="1"/>
  <c r="T403" i="1" s="1"/>
  <c r="U403" i="1" s="1"/>
  <c r="W152" i="1"/>
  <c r="W151" i="1"/>
  <c r="R120" i="1"/>
  <c r="W839" i="1"/>
  <c r="P674" i="1"/>
  <c r="Q674" i="1" s="1"/>
  <c r="R595" i="1"/>
  <c r="R520" i="1"/>
  <c r="R519" i="1"/>
  <c r="P433" i="1"/>
  <c r="S433" i="1" s="1"/>
  <c r="W403" i="1"/>
  <c r="W255" i="1"/>
  <c r="R238" i="1"/>
  <c r="P152" i="1"/>
  <c r="Q152" i="1" s="1"/>
  <c r="P151" i="1"/>
  <c r="Q151" i="1" s="1"/>
  <c r="P120" i="1"/>
  <c r="Q120" i="1" s="1"/>
  <c r="P87" i="1"/>
  <c r="S87" i="1" s="1"/>
  <c r="P82" i="1"/>
  <c r="S82" i="1" s="1"/>
  <c r="X986" i="1"/>
  <c r="T986" i="1" s="1"/>
  <c r="U986" i="1" s="1"/>
  <c r="W981" i="1"/>
  <c r="V920" i="1"/>
  <c r="X792" i="1"/>
  <c r="T792" i="1" s="1"/>
  <c r="U792" i="1" s="1"/>
  <c r="W760" i="1"/>
  <c r="X759" i="1"/>
  <c r="T759" i="1" s="1"/>
  <c r="U759" i="1" s="1"/>
  <c r="X720" i="1"/>
  <c r="T720" i="1" s="1"/>
  <c r="U720" i="1" s="1"/>
  <c r="X689" i="1"/>
  <c r="T689" i="1" s="1"/>
  <c r="U689" i="1" s="1"/>
  <c r="P595" i="1"/>
  <c r="S595" i="1" s="1"/>
  <c r="S792" i="1"/>
  <c r="S626" i="1"/>
  <c r="X910" i="1"/>
  <c r="T910" i="1" s="1"/>
  <c r="U910" i="1" s="1"/>
  <c r="P886" i="1"/>
  <c r="Q886" i="1" s="1"/>
  <c r="P772" i="1"/>
  <c r="R740" i="1"/>
  <c r="R735" i="1"/>
  <c r="W609" i="1"/>
  <c r="V580" i="1"/>
  <c r="X559" i="1"/>
  <c r="T559" i="1" s="1"/>
  <c r="U559" i="1" s="1"/>
  <c r="V421" i="1"/>
  <c r="X387" i="1"/>
  <c r="T387" i="1" s="1"/>
  <c r="U387" i="1" s="1"/>
  <c r="X334" i="1"/>
  <c r="T334" i="1" s="1"/>
  <c r="U334" i="1" s="1"/>
  <c r="R285" i="1"/>
  <c r="R266" i="1"/>
  <c r="R234" i="1"/>
  <c r="P207" i="1"/>
  <c r="S207" i="1" s="1"/>
  <c r="W145" i="1"/>
  <c r="P119" i="1"/>
  <c r="Q119" i="1" s="1"/>
  <c r="R118" i="1"/>
  <c r="W65" i="1"/>
  <c r="V609" i="1"/>
  <c r="W512" i="1"/>
  <c r="X396" i="1"/>
  <c r="T396" i="1" s="1"/>
  <c r="U396" i="1" s="1"/>
  <c r="V334" i="1"/>
  <c r="X272" i="1"/>
  <c r="T272" i="1" s="1"/>
  <c r="U272" i="1" s="1"/>
  <c r="R940" i="1"/>
  <c r="W907" i="1"/>
  <c r="X890" i="1"/>
  <c r="T890" i="1" s="1"/>
  <c r="U890" i="1" s="1"/>
  <c r="W882" i="1"/>
  <c r="W860" i="1"/>
  <c r="V839" i="1"/>
  <c r="X808" i="1"/>
  <c r="T808" i="1" s="1"/>
  <c r="U808" i="1" s="1"/>
  <c r="R806" i="1"/>
  <c r="R760" i="1"/>
  <c r="W759" i="1"/>
  <c r="W743" i="1"/>
  <c r="X724" i="1"/>
  <c r="T724" i="1" s="1"/>
  <c r="U724" i="1" s="1"/>
  <c r="P704" i="1"/>
  <c r="S704" i="1" s="1"/>
  <c r="R630" i="1"/>
  <c r="W628" i="1"/>
  <c r="P557" i="1"/>
  <c r="S557" i="1" s="1"/>
  <c r="W527" i="1"/>
  <c r="P519" i="1"/>
  <c r="S519" i="1" s="1"/>
  <c r="R447" i="1"/>
  <c r="V403" i="1"/>
  <c r="R368" i="1"/>
  <c r="W358" i="1"/>
  <c r="V272" i="1"/>
  <c r="P630" i="1"/>
  <c r="S630" i="1" s="1"/>
  <c r="W622" i="1"/>
  <c r="P527" i="1"/>
  <c r="Q527" i="1" s="1"/>
  <c r="R419" i="1"/>
  <c r="X309" i="1"/>
  <c r="T309" i="1" s="1"/>
  <c r="U309" i="1" s="1"/>
  <c r="R272" i="1"/>
  <c r="X271" i="1"/>
  <c r="T271" i="1" s="1"/>
  <c r="U271" i="1" s="1"/>
  <c r="V207" i="1"/>
  <c r="W205" i="1"/>
  <c r="P134" i="1"/>
  <c r="S134" i="1" s="1"/>
  <c r="V966" i="1"/>
  <c r="V890" i="1"/>
  <c r="X884" i="1"/>
  <c r="T884" i="1" s="1"/>
  <c r="U884" i="1" s="1"/>
  <c r="P882" i="1"/>
  <c r="Q882" i="1" s="1"/>
  <c r="W818" i="1"/>
  <c r="P808" i="1"/>
  <c r="Q808" i="1" s="1"/>
  <c r="R772" i="1"/>
  <c r="W725" i="1"/>
  <c r="V724" i="1"/>
  <c r="W971" i="1"/>
  <c r="X886" i="1"/>
  <c r="T886" i="1" s="1"/>
  <c r="U886" i="1" s="1"/>
  <c r="V885" i="1"/>
  <c r="W884" i="1"/>
  <c r="V818" i="1"/>
  <c r="P724" i="1"/>
  <c r="Q724" i="1" s="1"/>
  <c r="X618" i="1"/>
  <c r="T618" i="1" s="1"/>
  <c r="U618" i="1" s="1"/>
  <c r="X580" i="1"/>
  <c r="T580" i="1" s="1"/>
  <c r="U580" i="1" s="1"/>
  <c r="X285" i="1"/>
  <c r="T285" i="1" s="1"/>
  <c r="U285" i="1" s="1"/>
  <c r="Q272" i="1"/>
  <c r="P271" i="1"/>
  <c r="Q271" i="1" s="1"/>
  <c r="R207" i="1"/>
  <c r="P205" i="1"/>
  <c r="S205" i="1" s="1"/>
  <c r="X135" i="1"/>
  <c r="T135" i="1" s="1"/>
  <c r="U135" i="1" s="1"/>
  <c r="V120" i="1"/>
  <c r="W118" i="1"/>
  <c r="R64" i="1"/>
  <c r="R974" i="1"/>
  <c r="P974" i="1"/>
  <c r="Q974" i="1" s="1"/>
  <c r="V974" i="1"/>
  <c r="R914" i="1"/>
  <c r="W914" i="1"/>
  <c r="X802" i="1"/>
  <c r="T802" i="1" s="1"/>
  <c r="U802" i="1" s="1"/>
  <c r="V802" i="1"/>
  <c r="X467" i="1"/>
  <c r="T467" i="1" s="1"/>
  <c r="U467" i="1" s="1"/>
  <c r="V467" i="1"/>
  <c r="V908" i="1"/>
  <c r="R826" i="1"/>
  <c r="W812" i="1"/>
  <c r="V812" i="1"/>
  <c r="X812" i="1"/>
  <c r="T812" i="1" s="1"/>
  <c r="U812" i="1" s="1"/>
  <c r="R812" i="1"/>
  <c r="P749" i="1"/>
  <c r="Q749" i="1" s="1"/>
  <c r="W663" i="1"/>
  <c r="P663" i="1"/>
  <c r="S663" i="1" s="1"/>
  <c r="V525" i="1"/>
  <c r="X525" i="1"/>
  <c r="T525" i="1" s="1"/>
  <c r="U525" i="1" s="1"/>
  <c r="P504" i="1"/>
  <c r="S504" i="1" s="1"/>
  <c r="V504" i="1"/>
  <c r="X462" i="1"/>
  <c r="T462" i="1" s="1"/>
  <c r="U462" i="1" s="1"/>
  <c r="W462" i="1"/>
  <c r="R462" i="1"/>
  <c r="X355" i="1"/>
  <c r="T355" i="1" s="1"/>
  <c r="U355" i="1" s="1"/>
  <c r="P355" i="1"/>
  <c r="Q355" i="1" s="1"/>
  <c r="W355" i="1"/>
  <c r="W338" i="1"/>
  <c r="R338" i="1"/>
  <c r="V338" i="1"/>
  <c r="X338" i="1"/>
  <c r="T338" i="1" s="1"/>
  <c r="U338" i="1" s="1"/>
  <c r="P338" i="1"/>
  <c r="S338" i="1" s="1"/>
  <c r="R252" i="1"/>
  <c r="P252" i="1"/>
  <c r="Q252" i="1" s="1"/>
  <c r="X252" i="1"/>
  <c r="T252" i="1" s="1"/>
  <c r="U252" i="1" s="1"/>
  <c r="W240" i="1"/>
  <c r="X240" i="1"/>
  <c r="T240" i="1" s="1"/>
  <c r="U240" i="1" s="1"/>
  <c r="V68" i="1"/>
  <c r="X68" i="1"/>
  <c r="T68" i="1" s="1"/>
  <c r="U68" i="1" s="1"/>
  <c r="W728" i="1"/>
  <c r="V728" i="1"/>
  <c r="V660" i="1"/>
  <c r="R660" i="1"/>
  <c r="W660" i="1"/>
  <c r="R898" i="1"/>
  <c r="V898" i="1"/>
  <c r="V767" i="1"/>
  <c r="P767" i="1"/>
  <c r="S767" i="1" s="1"/>
  <c r="X767" i="1"/>
  <c r="T767" i="1" s="1"/>
  <c r="U767" i="1" s="1"/>
  <c r="X712" i="1"/>
  <c r="T712" i="1" s="1"/>
  <c r="U712" i="1" s="1"/>
  <c r="P712" i="1"/>
  <c r="S712" i="1" s="1"/>
  <c r="R712" i="1"/>
  <c r="V451" i="1"/>
  <c r="X451" i="1"/>
  <c r="T451" i="1" s="1"/>
  <c r="U451" i="1" s="1"/>
  <c r="W32" i="1"/>
  <c r="R32" i="1"/>
  <c r="R963" i="1"/>
  <c r="V963" i="1"/>
  <c r="X968" i="1"/>
  <c r="T968" i="1" s="1"/>
  <c r="U968" i="1" s="1"/>
  <c r="R968" i="1"/>
  <c r="R842" i="1"/>
  <c r="X842" i="1"/>
  <c r="T842" i="1" s="1"/>
  <c r="U842" i="1" s="1"/>
  <c r="V815" i="1"/>
  <c r="W750" i="1"/>
  <c r="W711" i="1"/>
  <c r="X711" i="1"/>
  <c r="T711" i="1" s="1"/>
  <c r="U711" i="1" s="1"/>
  <c r="P634" i="1"/>
  <c r="S634" i="1" s="1"/>
  <c r="X634" i="1"/>
  <c r="T634" i="1" s="1"/>
  <c r="U634" i="1" s="1"/>
  <c r="W479" i="1"/>
  <c r="X479" i="1"/>
  <c r="T479" i="1" s="1"/>
  <c r="U479" i="1" s="1"/>
  <c r="R479" i="1"/>
  <c r="W441" i="1"/>
  <c r="P441" i="1"/>
  <c r="S441" i="1" s="1"/>
  <c r="V441" i="1"/>
  <c r="X441" i="1"/>
  <c r="T441" i="1" s="1"/>
  <c r="U441" i="1" s="1"/>
  <c r="R371" i="1"/>
  <c r="V371" i="1"/>
  <c r="W371" i="1"/>
  <c r="X371" i="1"/>
  <c r="T371" i="1" s="1"/>
  <c r="U371" i="1" s="1"/>
  <c r="S281" i="1"/>
  <c r="Q281" i="1"/>
  <c r="X262" i="1"/>
  <c r="T262" i="1" s="1"/>
  <c r="U262" i="1" s="1"/>
  <c r="P262" i="1"/>
  <c r="S262" i="1" s="1"/>
  <c r="R262" i="1"/>
  <c r="P221" i="1"/>
  <c r="Q221" i="1" s="1"/>
  <c r="W221" i="1"/>
  <c r="X172" i="1"/>
  <c r="T172" i="1" s="1"/>
  <c r="U172" i="1" s="1"/>
  <c r="V172" i="1"/>
  <c r="S202" i="1"/>
  <c r="Q202" i="1"/>
  <c r="V198" i="1"/>
  <c r="X198" i="1"/>
  <c r="T198" i="1" s="1"/>
  <c r="U198" i="1" s="1"/>
  <c r="W121" i="1"/>
  <c r="R121" i="1"/>
  <c r="W103" i="1"/>
  <c r="P103" i="1"/>
  <c r="S103" i="1" s="1"/>
  <c r="X103" i="1"/>
  <c r="T103" i="1" s="1"/>
  <c r="U103" i="1" s="1"/>
  <c r="V83" i="1"/>
  <c r="P83" i="1"/>
  <c r="S83" i="1" s="1"/>
  <c r="W83" i="1"/>
  <c r="W69" i="1"/>
  <c r="R69" i="1"/>
  <c r="X596" i="1"/>
  <c r="T596" i="1" s="1"/>
  <c r="U596" i="1" s="1"/>
  <c r="W596" i="1"/>
  <c r="V596" i="1"/>
  <c r="R670" i="1"/>
  <c r="X670" i="1"/>
  <c r="T670" i="1" s="1"/>
  <c r="U670" i="1" s="1"/>
  <c r="W501" i="1"/>
  <c r="X501" i="1"/>
  <c r="T501" i="1" s="1"/>
  <c r="U501" i="1" s="1"/>
  <c r="R501" i="1"/>
  <c r="W948" i="1"/>
  <c r="V948" i="1"/>
  <c r="W826" i="1"/>
  <c r="V826" i="1"/>
  <c r="V729" i="1"/>
  <c r="R729" i="1"/>
  <c r="V684" i="1"/>
  <c r="R684" i="1"/>
  <c r="W684" i="1"/>
  <c r="W616" i="1"/>
  <c r="R616" i="1"/>
  <c r="R590" i="1"/>
  <c r="V590" i="1"/>
  <c r="W590" i="1"/>
  <c r="P590" i="1"/>
  <c r="Q590" i="1" s="1"/>
  <c r="X502" i="1"/>
  <c r="T502" i="1" s="1"/>
  <c r="U502" i="1" s="1"/>
  <c r="P502" i="1"/>
  <c r="Q502" i="1" s="1"/>
  <c r="W502" i="1"/>
  <c r="W468" i="1"/>
  <c r="V468" i="1"/>
  <c r="V353" i="1"/>
  <c r="W353" i="1"/>
  <c r="W246" i="1"/>
  <c r="V246" i="1"/>
  <c r="X246" i="1"/>
  <c r="T246" i="1" s="1"/>
  <c r="U246" i="1" s="1"/>
  <c r="R246" i="1"/>
  <c r="R203" i="1"/>
  <c r="X203" i="1"/>
  <c r="T203" i="1" s="1"/>
  <c r="U203" i="1" s="1"/>
  <c r="P203" i="1"/>
  <c r="Q203" i="1" s="1"/>
  <c r="R104" i="1"/>
  <c r="W104" i="1"/>
  <c r="X104" i="1"/>
  <c r="T104" i="1" s="1"/>
  <c r="U104" i="1" s="1"/>
  <c r="P90" i="1"/>
  <c r="Q90" i="1" s="1"/>
  <c r="W90" i="1"/>
  <c r="X90" i="1"/>
  <c r="T90" i="1" s="1"/>
  <c r="U90" i="1" s="1"/>
  <c r="R50" i="1"/>
  <c r="V50" i="1"/>
  <c r="W993" i="1"/>
  <c r="X974" i="1"/>
  <c r="T974" i="1" s="1"/>
  <c r="U974" i="1" s="1"/>
  <c r="R939" i="1"/>
  <c r="V939" i="1"/>
  <c r="V842" i="1"/>
  <c r="X841" i="1"/>
  <c r="T841" i="1" s="1"/>
  <c r="U841" i="1" s="1"/>
  <c r="P812" i="1"/>
  <c r="Q812" i="1" s="1"/>
  <c r="R768" i="1"/>
  <c r="W768" i="1"/>
  <c r="W649" i="1"/>
  <c r="P649" i="1"/>
  <c r="Q649" i="1" s="1"/>
  <c r="R636" i="1"/>
  <c r="W636" i="1"/>
  <c r="R525" i="1"/>
  <c r="X264" i="1"/>
  <c r="T264" i="1" s="1"/>
  <c r="U264" i="1" s="1"/>
  <c r="R264" i="1"/>
  <c r="R46" i="1"/>
  <c r="W46" i="1"/>
  <c r="X46" i="1"/>
  <c r="T46" i="1" s="1"/>
  <c r="U46" i="1" s="1"/>
  <c r="S606" i="1"/>
  <c r="Q606" i="1"/>
  <c r="W496" i="1"/>
  <c r="V496" i="1"/>
  <c r="W925" i="1"/>
  <c r="V925" i="1"/>
  <c r="W974" i="1"/>
  <c r="W932" i="1"/>
  <c r="P612" i="1"/>
  <c r="S612" i="1" s="1"/>
  <c r="R612" i="1"/>
  <c r="V606" i="1"/>
  <c r="W606" i="1"/>
  <c r="R561" i="1"/>
  <c r="X561" i="1"/>
  <c r="T561" i="1" s="1"/>
  <c r="U561" i="1" s="1"/>
  <c r="R524" i="1"/>
  <c r="V524" i="1"/>
  <c r="X469" i="1"/>
  <c r="T469" i="1" s="1"/>
  <c r="U469" i="1" s="1"/>
  <c r="R469" i="1"/>
  <c r="W461" i="1"/>
  <c r="X461" i="1"/>
  <c r="T461" i="1" s="1"/>
  <c r="U461" i="1" s="1"/>
  <c r="P461" i="1"/>
  <c r="S461" i="1" s="1"/>
  <c r="P390" i="1"/>
  <c r="Q390" i="1" s="1"/>
  <c r="R390" i="1"/>
  <c r="V390" i="1"/>
  <c r="V67" i="1"/>
  <c r="W67" i="1"/>
  <c r="W41" i="1"/>
  <c r="R41" i="1"/>
  <c r="W615" i="1"/>
  <c r="V615" i="1"/>
  <c r="X547" i="1"/>
  <c r="T547" i="1" s="1"/>
  <c r="U547" i="1" s="1"/>
  <c r="P547" i="1"/>
  <c r="Q547" i="1" s="1"/>
  <c r="X509" i="1"/>
  <c r="T509" i="1" s="1"/>
  <c r="U509" i="1" s="1"/>
  <c r="R509" i="1"/>
  <c r="V509" i="1"/>
  <c r="X892" i="1"/>
  <c r="T892" i="1" s="1"/>
  <c r="U892" i="1" s="1"/>
  <c r="V892" i="1"/>
  <c r="R892" i="1"/>
  <c r="W330" i="1"/>
  <c r="V330" i="1"/>
  <c r="X330" i="1"/>
  <c r="T330" i="1" s="1"/>
  <c r="U330" i="1" s="1"/>
  <c r="P330" i="1"/>
  <c r="S330" i="1" s="1"/>
  <c r="R330" i="1"/>
  <c r="V874" i="1"/>
  <c r="P874" i="1"/>
  <c r="Q874" i="1" s="1"/>
  <c r="W675" i="1"/>
  <c r="X675" i="1"/>
  <c r="T675" i="1" s="1"/>
  <c r="U675" i="1" s="1"/>
  <c r="W661" i="1"/>
  <c r="P661" i="1"/>
  <c r="Q661" i="1" s="1"/>
  <c r="R661" i="1"/>
  <c r="X661" i="1"/>
  <c r="T661" i="1" s="1"/>
  <c r="U661" i="1" s="1"/>
  <c r="V322" i="1"/>
  <c r="W322" i="1"/>
  <c r="X322" i="1"/>
  <c r="T322" i="1" s="1"/>
  <c r="U322" i="1" s="1"/>
  <c r="W968" i="1"/>
  <c r="X898" i="1"/>
  <c r="T898" i="1" s="1"/>
  <c r="U898" i="1" s="1"/>
  <c r="P842" i="1"/>
  <c r="Q842" i="1" s="1"/>
  <c r="X826" i="1"/>
  <c r="T826" i="1" s="1"/>
  <c r="U826" i="1" s="1"/>
  <c r="X804" i="1"/>
  <c r="T804" i="1" s="1"/>
  <c r="U804" i="1" s="1"/>
  <c r="W804" i="1"/>
  <c r="V952" i="1"/>
  <c r="W950" i="1"/>
  <c r="P950" i="1"/>
  <c r="S950" i="1" s="1"/>
  <c r="R942" i="1"/>
  <c r="W898" i="1"/>
  <c r="W892" i="1"/>
  <c r="R891" i="1"/>
  <c r="V857" i="1"/>
  <c r="R857" i="1"/>
  <c r="P857" i="1"/>
  <c r="S857" i="1" s="1"/>
  <c r="R748" i="1"/>
  <c r="W712" i="1"/>
  <c r="W700" i="1"/>
  <c r="P700" i="1"/>
  <c r="S700" i="1" s="1"/>
  <c r="R654" i="1"/>
  <c r="P654" i="1"/>
  <c r="S654" i="1" s="1"/>
  <c r="W654" i="1"/>
  <c r="P650" i="1"/>
  <c r="S650" i="1" s="1"/>
  <c r="R650" i="1"/>
  <c r="V583" i="1"/>
  <c r="W583" i="1"/>
  <c r="W486" i="1"/>
  <c r="X486" i="1"/>
  <c r="T486" i="1" s="1"/>
  <c r="U486" i="1" s="1"/>
  <c r="V431" i="1"/>
  <c r="W431" i="1"/>
  <c r="P431" i="1"/>
  <c r="S431" i="1" s="1"/>
  <c r="R382" i="1"/>
  <c r="P382" i="1"/>
  <c r="S382" i="1" s="1"/>
  <c r="V382" i="1"/>
  <c r="X328" i="1"/>
  <c r="T328" i="1" s="1"/>
  <c r="U328" i="1" s="1"/>
  <c r="R328" i="1"/>
  <c r="W328" i="1"/>
  <c r="R280" i="1"/>
  <c r="V280" i="1"/>
  <c r="X280" i="1"/>
  <c r="T280" i="1" s="1"/>
  <c r="U280" i="1" s="1"/>
  <c r="P216" i="1"/>
  <c r="S216" i="1" s="1"/>
  <c r="W216" i="1"/>
  <c r="R216" i="1"/>
  <c r="X143" i="1"/>
  <c r="T143" i="1" s="1"/>
  <c r="U143" i="1" s="1"/>
  <c r="P143" i="1"/>
  <c r="Q143" i="1" s="1"/>
  <c r="R47" i="1"/>
  <c r="V47" i="1"/>
  <c r="W47" i="1"/>
  <c r="X47" i="1"/>
  <c r="T47" i="1" s="1"/>
  <c r="U47" i="1" s="1"/>
  <c r="X772" i="1"/>
  <c r="T772" i="1" s="1"/>
  <c r="U772" i="1" s="1"/>
  <c r="X595" i="1"/>
  <c r="T595" i="1" s="1"/>
  <c r="U595" i="1" s="1"/>
  <c r="X551" i="1"/>
  <c r="T551" i="1" s="1"/>
  <c r="U551" i="1" s="1"/>
  <c r="R923" i="1"/>
  <c r="P910" i="1"/>
  <c r="Q910" i="1" s="1"/>
  <c r="P900" i="1"/>
  <c r="S900" i="1" s="1"/>
  <c r="P884" i="1"/>
  <c r="Q884" i="1" s="1"/>
  <c r="R867" i="1"/>
  <c r="X862" i="1"/>
  <c r="T862" i="1" s="1"/>
  <c r="U862" i="1" s="1"/>
  <c r="P839" i="1"/>
  <c r="Q839" i="1" s="1"/>
  <c r="P820" i="1"/>
  <c r="Q820" i="1" s="1"/>
  <c r="R818" i="1"/>
  <c r="R776" i="1"/>
  <c r="P689" i="1"/>
  <c r="Q689" i="1" s="1"/>
  <c r="P628" i="1"/>
  <c r="S628" i="1" s="1"/>
  <c r="V546" i="1"/>
  <c r="X477" i="1"/>
  <c r="T477" i="1" s="1"/>
  <c r="U477" i="1" s="1"/>
  <c r="W443" i="1"/>
  <c r="V442" i="1"/>
  <c r="V415" i="1"/>
  <c r="W387" i="1"/>
  <c r="V336" i="1"/>
  <c r="P285" i="1"/>
  <c r="S285" i="1" s="1"/>
  <c r="V277" i="1"/>
  <c r="W237" i="1"/>
  <c r="V177" i="1"/>
  <c r="X176" i="1"/>
  <c r="T176" i="1" s="1"/>
  <c r="U176" i="1" s="1"/>
  <c r="V169" i="1"/>
  <c r="V168" i="1"/>
  <c r="R135" i="1"/>
  <c r="X449" i="1"/>
  <c r="T449" i="1" s="1"/>
  <c r="U449" i="1" s="1"/>
  <c r="P443" i="1"/>
  <c r="Q443" i="1" s="1"/>
  <c r="R442" i="1"/>
  <c r="V429" i="1"/>
  <c r="P415" i="1"/>
  <c r="Q415" i="1" s="1"/>
  <c r="W399" i="1"/>
  <c r="V387" i="1"/>
  <c r="R381" i="1"/>
  <c r="W352" i="1"/>
  <c r="P336" i="1"/>
  <c r="S336" i="1" s="1"/>
  <c r="R277" i="1"/>
  <c r="W176" i="1"/>
  <c r="V170" i="1"/>
  <c r="P168" i="1"/>
  <c r="S168" i="1" s="1"/>
  <c r="P135" i="1"/>
  <c r="S135" i="1" s="1"/>
  <c r="V110" i="1"/>
  <c r="V720" i="1"/>
  <c r="X106" i="1"/>
  <c r="T106" i="1" s="1"/>
  <c r="U106" i="1" s="1"/>
  <c r="X834" i="1"/>
  <c r="T834" i="1" s="1"/>
  <c r="U834" i="1" s="1"/>
  <c r="P834" i="1"/>
  <c r="Q834" i="1" s="1"/>
  <c r="X677" i="1"/>
  <c r="T677" i="1" s="1"/>
  <c r="U677" i="1" s="1"/>
  <c r="V677" i="1"/>
  <c r="W677" i="1"/>
  <c r="P677" i="1"/>
  <c r="Q677" i="1" s="1"/>
  <c r="W876" i="1"/>
  <c r="R876" i="1"/>
  <c r="V705" i="1"/>
  <c r="W705" i="1"/>
  <c r="R666" i="1"/>
  <c r="P666" i="1"/>
  <c r="Q666" i="1" s="1"/>
  <c r="P865" i="1"/>
  <c r="S865" i="1" s="1"/>
  <c r="W865" i="1"/>
  <c r="W727" i="1"/>
  <c r="R608" i="1"/>
  <c r="V608" i="1"/>
  <c r="X608" i="1"/>
  <c r="T608" i="1" s="1"/>
  <c r="U608" i="1" s="1"/>
  <c r="V598" i="1"/>
  <c r="P598" i="1"/>
  <c r="S598" i="1" s="1"/>
  <c r="R598" i="1"/>
  <c r="W598" i="1"/>
  <c r="Q586" i="1"/>
  <c r="S586" i="1"/>
  <c r="P568" i="1"/>
  <c r="S568" i="1" s="1"/>
  <c r="X568" i="1"/>
  <c r="T568" i="1" s="1"/>
  <c r="U568" i="1" s="1"/>
  <c r="V495" i="1"/>
  <c r="W495" i="1"/>
  <c r="X495" i="1"/>
  <c r="T495" i="1" s="1"/>
  <c r="U495" i="1" s="1"/>
  <c r="P495" i="1"/>
  <c r="S495" i="1" s="1"/>
  <c r="R495" i="1"/>
  <c r="P478" i="1"/>
  <c r="S478" i="1" s="1"/>
  <c r="W478" i="1"/>
  <c r="X478" i="1"/>
  <c r="T478" i="1" s="1"/>
  <c r="U478" i="1" s="1"/>
  <c r="V971" i="1"/>
  <c r="V968" i="1"/>
  <c r="X966" i="1"/>
  <c r="T966" i="1" s="1"/>
  <c r="U966" i="1" s="1"/>
  <c r="V964" i="1"/>
  <c r="R952" i="1"/>
  <c r="P944" i="1"/>
  <c r="Q944" i="1" s="1"/>
  <c r="P942" i="1"/>
  <c r="Q942" i="1" s="1"/>
  <c r="X932" i="1"/>
  <c r="T932" i="1" s="1"/>
  <c r="U932" i="1" s="1"/>
  <c r="R920" i="1"/>
  <c r="R910" i="1"/>
  <c r="P908" i="1"/>
  <c r="Q908" i="1" s="1"/>
  <c r="V884" i="1"/>
  <c r="V882" i="1"/>
  <c r="R874" i="1"/>
  <c r="W874" i="1"/>
  <c r="P850" i="1"/>
  <c r="Q850" i="1" s="1"/>
  <c r="W776" i="1"/>
  <c r="R753" i="1"/>
  <c r="W753" i="1"/>
  <c r="R742" i="1"/>
  <c r="R694" i="1"/>
  <c r="P694" i="1"/>
  <c r="Q694" i="1" s="1"/>
  <c r="X694" i="1"/>
  <c r="T694" i="1" s="1"/>
  <c r="U694" i="1" s="1"/>
  <c r="W664" i="1"/>
  <c r="V664" i="1"/>
  <c r="P664" i="1"/>
  <c r="S664" i="1" s="1"/>
  <c r="W610" i="1"/>
  <c r="X610" i="1"/>
  <c r="T610" i="1" s="1"/>
  <c r="U610" i="1" s="1"/>
  <c r="R564" i="1"/>
  <c r="V564" i="1"/>
  <c r="P517" i="1"/>
  <c r="S517" i="1" s="1"/>
  <c r="V517" i="1"/>
  <c r="W517" i="1"/>
  <c r="X517" i="1"/>
  <c r="T517" i="1" s="1"/>
  <c r="U517" i="1" s="1"/>
  <c r="V511" i="1"/>
  <c r="W511" i="1"/>
  <c r="X511" i="1"/>
  <c r="T511" i="1" s="1"/>
  <c r="U511" i="1" s="1"/>
  <c r="P511" i="1"/>
  <c r="S511" i="1" s="1"/>
  <c r="R511" i="1"/>
  <c r="W360" i="1"/>
  <c r="R360" i="1"/>
  <c r="V360" i="1"/>
  <c r="P360" i="1"/>
  <c r="Q360" i="1" s="1"/>
  <c r="W344" i="1"/>
  <c r="R344" i="1"/>
  <c r="P344" i="1"/>
  <c r="S344" i="1" s="1"/>
  <c r="V344" i="1"/>
  <c r="V163" i="1"/>
  <c r="P163" i="1"/>
  <c r="S163" i="1" s="1"/>
  <c r="X163" i="1"/>
  <c r="T163" i="1" s="1"/>
  <c r="U163" i="1" s="1"/>
  <c r="W992" i="1"/>
  <c r="P971" i="1"/>
  <c r="P968" i="1"/>
  <c r="S968" i="1" s="1"/>
  <c r="P966" i="1"/>
  <c r="Q966" i="1" s="1"/>
  <c r="X960" i="1"/>
  <c r="T960" i="1" s="1"/>
  <c r="U960" i="1" s="1"/>
  <c r="V932" i="1"/>
  <c r="W924" i="1"/>
  <c r="V914" i="1"/>
  <c r="X876" i="1"/>
  <c r="T876" i="1" s="1"/>
  <c r="U876" i="1" s="1"/>
  <c r="P841" i="1"/>
  <c r="Q841" i="1" s="1"/>
  <c r="X840" i="1"/>
  <c r="T840" i="1" s="1"/>
  <c r="U840" i="1" s="1"/>
  <c r="W814" i="1"/>
  <c r="R814" i="1"/>
  <c r="X814" i="1"/>
  <c r="T814" i="1" s="1"/>
  <c r="U814" i="1" s="1"/>
  <c r="V781" i="1"/>
  <c r="P781" i="1"/>
  <c r="X744" i="1"/>
  <c r="T744" i="1" s="1"/>
  <c r="U744" i="1" s="1"/>
  <c r="W744" i="1"/>
  <c r="R678" i="1"/>
  <c r="P678" i="1"/>
  <c r="S678" i="1" s="1"/>
  <c r="V678" i="1"/>
  <c r="X678" i="1"/>
  <c r="T678" i="1" s="1"/>
  <c r="U678" i="1" s="1"/>
  <c r="R641" i="1"/>
  <c r="X641" i="1"/>
  <c r="T641" i="1" s="1"/>
  <c r="U641" i="1" s="1"/>
  <c r="V641" i="1"/>
  <c r="W604" i="1"/>
  <c r="X604" i="1"/>
  <c r="T604" i="1" s="1"/>
  <c r="U604" i="1" s="1"/>
  <c r="X570" i="1"/>
  <c r="T570" i="1" s="1"/>
  <c r="U570" i="1" s="1"/>
  <c r="P570" i="1"/>
  <c r="Q570" i="1" s="1"/>
  <c r="V521" i="1"/>
  <c r="W521" i="1"/>
  <c r="R521" i="1"/>
  <c r="X518" i="1"/>
  <c r="T518" i="1" s="1"/>
  <c r="U518" i="1" s="1"/>
  <c r="P518" i="1"/>
  <c r="Q518" i="1" s="1"/>
  <c r="W518" i="1"/>
  <c r="V492" i="1"/>
  <c r="R492" i="1"/>
  <c r="R481" i="1"/>
  <c r="V481" i="1"/>
  <c r="W481" i="1"/>
  <c r="V374" i="1"/>
  <c r="P374" i="1"/>
  <c r="Q374" i="1" s="1"/>
  <c r="R374" i="1"/>
  <c r="W374" i="1"/>
  <c r="X374" i="1"/>
  <c r="T374" i="1" s="1"/>
  <c r="U374" i="1" s="1"/>
  <c r="V325" i="1"/>
  <c r="X325" i="1"/>
  <c r="T325" i="1" s="1"/>
  <c r="U325" i="1" s="1"/>
  <c r="P325" i="1"/>
  <c r="S325" i="1" s="1"/>
  <c r="W325" i="1"/>
  <c r="V126" i="1"/>
  <c r="R126" i="1"/>
  <c r="W126" i="1"/>
  <c r="P126" i="1"/>
  <c r="Q126" i="1" s="1"/>
  <c r="X126" i="1"/>
  <c r="T126" i="1" s="1"/>
  <c r="U126" i="1" s="1"/>
  <c r="R879" i="1"/>
  <c r="V879" i="1"/>
  <c r="W868" i="1"/>
  <c r="R868" i="1"/>
  <c r="V833" i="1"/>
  <c r="P833" i="1"/>
  <c r="Q833" i="1" s="1"/>
  <c r="W833" i="1"/>
  <c r="V754" i="1"/>
  <c r="P754" i="1"/>
  <c r="Q754" i="1" s="1"/>
  <c r="X754" i="1"/>
  <c r="T754" i="1" s="1"/>
  <c r="U754" i="1" s="1"/>
  <c r="R232" i="1"/>
  <c r="V232" i="1"/>
  <c r="W232" i="1"/>
  <c r="V84" i="1"/>
  <c r="W84" i="1"/>
  <c r="R84" i="1"/>
  <c r="V992" i="1"/>
  <c r="R932" i="1"/>
  <c r="X922" i="1"/>
  <c r="T922" i="1" s="1"/>
  <c r="U922" i="1" s="1"/>
  <c r="R916" i="1"/>
  <c r="V876" i="1"/>
  <c r="P860" i="1"/>
  <c r="S860" i="1" s="1"/>
  <c r="V860" i="1"/>
  <c r="V413" i="1"/>
  <c r="X413" i="1"/>
  <c r="T413" i="1" s="1"/>
  <c r="U413" i="1" s="1"/>
  <c r="X379" i="1"/>
  <c r="T379" i="1" s="1"/>
  <c r="U379" i="1" s="1"/>
  <c r="V379" i="1"/>
  <c r="X85" i="1"/>
  <c r="T85" i="1" s="1"/>
  <c r="U85" i="1" s="1"/>
  <c r="V85" i="1"/>
  <c r="X28" i="1"/>
  <c r="T28" i="1" s="1"/>
  <c r="U28" i="1" s="1"/>
  <c r="V28" i="1"/>
  <c r="P992" i="1"/>
  <c r="S992" i="1" s="1"/>
  <c r="V960" i="1"/>
  <c r="X958" i="1"/>
  <c r="T958" i="1" s="1"/>
  <c r="U958" i="1" s="1"/>
  <c r="W954" i="1"/>
  <c r="V947" i="1"/>
  <c r="V936" i="1"/>
  <c r="R924" i="1"/>
  <c r="V922" i="1"/>
  <c r="P916" i="1"/>
  <c r="Q916" i="1" s="1"/>
  <c r="X887" i="1"/>
  <c r="T887" i="1" s="1"/>
  <c r="U887" i="1" s="1"/>
  <c r="P876" i="1"/>
  <c r="S876" i="1" s="1"/>
  <c r="W875" i="1"/>
  <c r="X868" i="1"/>
  <c r="T868" i="1" s="1"/>
  <c r="U868" i="1" s="1"/>
  <c r="R865" i="1"/>
  <c r="X850" i="1"/>
  <c r="T850" i="1" s="1"/>
  <c r="U850" i="1" s="1"/>
  <c r="V831" i="1"/>
  <c r="W819" i="1"/>
  <c r="R819" i="1"/>
  <c r="W809" i="1"/>
  <c r="V794" i="1"/>
  <c r="W754" i="1"/>
  <c r="W751" i="1"/>
  <c r="V743" i="1"/>
  <c r="R743" i="1"/>
  <c r="V735" i="1"/>
  <c r="P735" i="1"/>
  <c r="Q735" i="1" s="1"/>
  <c r="X735" i="1"/>
  <c r="T735" i="1" s="1"/>
  <c r="U735" i="1" s="1"/>
  <c r="V701" i="1"/>
  <c r="P701" i="1"/>
  <c r="S701" i="1" s="1"/>
  <c r="R701" i="1"/>
  <c r="W679" i="1"/>
  <c r="P679" i="1"/>
  <c r="Q679" i="1" s="1"/>
  <c r="X648" i="1"/>
  <c r="T648" i="1" s="1"/>
  <c r="U648" i="1" s="1"/>
  <c r="R627" i="1"/>
  <c r="X598" i="1"/>
  <c r="T598" i="1" s="1"/>
  <c r="U598" i="1" s="1"/>
  <c r="P408" i="1"/>
  <c r="S408" i="1" s="1"/>
  <c r="V408" i="1"/>
  <c r="W408" i="1"/>
  <c r="X936" i="1"/>
  <c r="T936" i="1" s="1"/>
  <c r="U936" i="1" s="1"/>
  <c r="P620" i="1"/>
  <c r="S620" i="1" s="1"/>
  <c r="R620" i="1"/>
  <c r="V620" i="1"/>
  <c r="W535" i="1"/>
  <c r="V535" i="1"/>
  <c r="X535" i="1"/>
  <c r="T535" i="1" s="1"/>
  <c r="U535" i="1" s="1"/>
  <c r="W987" i="1"/>
  <c r="P786" i="1"/>
  <c r="W786" i="1"/>
  <c r="X782" i="1"/>
  <c r="T782" i="1" s="1"/>
  <c r="U782" i="1" s="1"/>
  <c r="X776" i="1"/>
  <c r="T776" i="1" s="1"/>
  <c r="U776" i="1" s="1"/>
  <c r="V776" i="1"/>
  <c r="X758" i="1"/>
  <c r="T758" i="1" s="1"/>
  <c r="U758" i="1" s="1"/>
  <c r="W758" i="1"/>
  <c r="P707" i="1"/>
  <c r="S707" i="1" s="1"/>
  <c r="V707" i="1"/>
  <c r="W638" i="1"/>
  <c r="V638" i="1"/>
  <c r="P638" i="1"/>
  <c r="S638" i="1" s="1"/>
  <c r="P625" i="1"/>
  <c r="S625" i="1" s="1"/>
  <c r="V625" i="1"/>
  <c r="V607" i="1"/>
  <c r="W607" i="1"/>
  <c r="W453" i="1"/>
  <c r="P453" i="1"/>
  <c r="Q453" i="1" s="1"/>
  <c r="V453" i="1"/>
  <c r="W200" i="1"/>
  <c r="V200" i="1"/>
  <c r="R858" i="1"/>
  <c r="V858" i="1"/>
  <c r="X858" i="1"/>
  <c r="T858" i="1" s="1"/>
  <c r="U858" i="1" s="1"/>
  <c r="W651" i="1"/>
  <c r="X651" i="1"/>
  <c r="T651" i="1" s="1"/>
  <c r="U651" i="1" s="1"/>
  <c r="P651" i="1"/>
  <c r="S651" i="1" s="1"/>
  <c r="P569" i="1"/>
  <c r="S569" i="1" s="1"/>
  <c r="X569" i="1"/>
  <c r="T569" i="1" s="1"/>
  <c r="U569" i="1" s="1"/>
  <c r="W487" i="1"/>
  <c r="P487" i="1"/>
  <c r="S487" i="1" s="1"/>
  <c r="V487" i="1"/>
  <c r="X474" i="1"/>
  <c r="T474" i="1" s="1"/>
  <c r="U474" i="1" s="1"/>
  <c r="W474" i="1"/>
  <c r="W455" i="1"/>
  <c r="R455" i="1"/>
  <c r="X455" i="1"/>
  <c r="T455" i="1" s="1"/>
  <c r="U455" i="1" s="1"/>
  <c r="P455" i="1"/>
  <c r="R211" i="1"/>
  <c r="X211" i="1"/>
  <c r="T211" i="1" s="1"/>
  <c r="U211" i="1" s="1"/>
  <c r="P211" i="1"/>
  <c r="S211" i="1" s="1"/>
  <c r="V197" i="1"/>
  <c r="R197" i="1"/>
  <c r="W197" i="1"/>
  <c r="X197" i="1"/>
  <c r="T197" i="1" s="1"/>
  <c r="U197" i="1" s="1"/>
  <c r="P197" i="1"/>
  <c r="S197" i="1" s="1"/>
  <c r="W960" i="1"/>
  <c r="V924" i="1"/>
  <c r="V727" i="1"/>
  <c r="P727" i="1"/>
  <c r="S727" i="1" s="1"/>
  <c r="X642" i="1"/>
  <c r="T642" i="1" s="1"/>
  <c r="U642" i="1" s="1"/>
  <c r="P642" i="1"/>
  <c r="Q642" i="1" s="1"/>
  <c r="V642" i="1"/>
  <c r="R960" i="1"/>
  <c r="V958" i="1"/>
  <c r="X942" i="1"/>
  <c r="T942" i="1" s="1"/>
  <c r="U942" i="1" s="1"/>
  <c r="R936" i="1"/>
  <c r="R922" i="1"/>
  <c r="V887" i="1"/>
  <c r="X879" i="1"/>
  <c r="T879" i="1" s="1"/>
  <c r="U879" i="1" s="1"/>
  <c r="V868" i="1"/>
  <c r="R863" i="1"/>
  <c r="P863" i="1"/>
  <c r="S863" i="1" s="1"/>
  <c r="W863" i="1"/>
  <c r="V850" i="1"/>
  <c r="X833" i="1"/>
  <c r="T833" i="1" s="1"/>
  <c r="U833" i="1" s="1"/>
  <c r="W830" i="1"/>
  <c r="X830" i="1"/>
  <c r="T830" i="1" s="1"/>
  <c r="U830" i="1" s="1"/>
  <c r="V987" i="1"/>
  <c r="R982" i="1"/>
  <c r="X981" i="1"/>
  <c r="T981" i="1" s="1"/>
  <c r="U981" i="1" s="1"/>
  <c r="V980" i="1"/>
  <c r="X971" i="1"/>
  <c r="T971" i="1" s="1"/>
  <c r="U971" i="1" s="1"/>
  <c r="P958" i="1"/>
  <c r="S958" i="1" s="1"/>
  <c r="W952" i="1"/>
  <c r="V950" i="1"/>
  <c r="V942" i="1"/>
  <c r="V940" i="1"/>
  <c r="W939" i="1"/>
  <c r="P936" i="1"/>
  <c r="Q936" i="1" s="1"/>
  <c r="P922" i="1"/>
  <c r="S922" i="1" s="1"/>
  <c r="X921" i="1"/>
  <c r="T921" i="1" s="1"/>
  <c r="U921" i="1" s="1"/>
  <c r="X920" i="1"/>
  <c r="T920" i="1" s="1"/>
  <c r="U920" i="1" s="1"/>
  <c r="R900" i="1"/>
  <c r="W890" i="1"/>
  <c r="W889" i="1"/>
  <c r="P887" i="1"/>
  <c r="Q887" i="1" s="1"/>
  <c r="R886" i="1"/>
  <c r="W879" i="1"/>
  <c r="P868" i="1"/>
  <c r="S868" i="1" s="1"/>
  <c r="X860" i="1"/>
  <c r="T860" i="1" s="1"/>
  <c r="U860" i="1" s="1"/>
  <c r="W858" i="1"/>
  <c r="R834" i="1"/>
  <c r="R833" i="1"/>
  <c r="V814" i="1"/>
  <c r="P809" i="1"/>
  <c r="R781" i="1"/>
  <c r="X768" i="1"/>
  <c r="T768" i="1" s="1"/>
  <c r="U768" i="1" s="1"/>
  <c r="V768" i="1"/>
  <c r="P768" i="1"/>
  <c r="S768" i="1" s="1"/>
  <c r="R764" i="1"/>
  <c r="V759" i="1"/>
  <c r="P759" i="1"/>
  <c r="Q759" i="1" s="1"/>
  <c r="R754" i="1"/>
  <c r="V749" i="1"/>
  <c r="W749" i="1"/>
  <c r="W748" i="1"/>
  <c r="P748" i="1"/>
  <c r="S748" i="1" s="1"/>
  <c r="X740" i="1"/>
  <c r="T740" i="1" s="1"/>
  <c r="U740" i="1" s="1"/>
  <c r="X727" i="1"/>
  <c r="T727" i="1" s="1"/>
  <c r="U727" i="1" s="1"/>
  <c r="R677" i="1"/>
  <c r="V651" i="1"/>
  <c r="P632" i="1"/>
  <c r="Q632" i="1" s="1"/>
  <c r="X632" i="1"/>
  <c r="T632" i="1" s="1"/>
  <c r="U632" i="1" s="1"/>
  <c r="R632" i="1"/>
  <c r="V563" i="1"/>
  <c r="X563" i="1"/>
  <c r="T563" i="1" s="1"/>
  <c r="U563" i="1" s="1"/>
  <c r="P490" i="1"/>
  <c r="S490" i="1" s="1"/>
  <c r="W490" i="1"/>
  <c r="X490" i="1"/>
  <c r="T490" i="1" s="1"/>
  <c r="U490" i="1" s="1"/>
  <c r="X487" i="1"/>
  <c r="T487" i="1" s="1"/>
  <c r="U487" i="1" s="1"/>
  <c r="P472" i="1"/>
  <c r="S472" i="1" s="1"/>
  <c r="V472" i="1"/>
  <c r="W472" i="1"/>
  <c r="P423" i="1"/>
  <c r="S423" i="1" s="1"/>
  <c r="V423" i="1"/>
  <c r="V347" i="1"/>
  <c r="W347" i="1"/>
  <c r="X663" i="1"/>
  <c r="T663" i="1" s="1"/>
  <c r="U663" i="1" s="1"/>
  <c r="W592" i="1"/>
  <c r="P592" i="1"/>
  <c r="S592" i="1" s="1"/>
  <c r="P580" i="1"/>
  <c r="Q580" i="1" s="1"/>
  <c r="W580" i="1"/>
  <c r="W556" i="1"/>
  <c r="X556" i="1"/>
  <c r="T556" i="1" s="1"/>
  <c r="U556" i="1" s="1"/>
  <c r="X522" i="1"/>
  <c r="T522" i="1" s="1"/>
  <c r="U522" i="1" s="1"/>
  <c r="P522" i="1"/>
  <c r="S522" i="1" s="1"/>
  <c r="X510" i="1"/>
  <c r="T510" i="1" s="1"/>
  <c r="U510" i="1" s="1"/>
  <c r="P510" i="1"/>
  <c r="Q510" i="1" s="1"/>
  <c r="V493" i="1"/>
  <c r="R493" i="1"/>
  <c r="V479" i="1"/>
  <c r="P479" i="1"/>
  <c r="S479" i="1" s="1"/>
  <c r="W473" i="1"/>
  <c r="R473" i="1"/>
  <c r="P384" i="1"/>
  <c r="S384" i="1" s="1"/>
  <c r="W384" i="1"/>
  <c r="X384" i="1"/>
  <c r="T384" i="1" s="1"/>
  <c r="U384" i="1" s="1"/>
  <c r="R384" i="1"/>
  <c r="V384" i="1"/>
  <c r="R323" i="1"/>
  <c r="V323" i="1"/>
  <c r="W323" i="1"/>
  <c r="W304" i="1"/>
  <c r="P304" i="1"/>
  <c r="S304" i="1" s="1"/>
  <c r="R304" i="1"/>
  <c r="W250" i="1"/>
  <c r="R250" i="1"/>
  <c r="X250" i="1"/>
  <c r="T250" i="1" s="1"/>
  <c r="U250" i="1" s="1"/>
  <c r="V191" i="1"/>
  <c r="X191" i="1"/>
  <c r="T191" i="1" s="1"/>
  <c r="U191" i="1" s="1"/>
  <c r="R191" i="1"/>
  <c r="P191" i="1"/>
  <c r="S191" i="1" s="1"/>
  <c r="W191" i="1"/>
  <c r="X665" i="1"/>
  <c r="T665" i="1" s="1"/>
  <c r="U665" i="1" s="1"/>
  <c r="P665" i="1"/>
  <c r="S665" i="1" s="1"/>
  <c r="P585" i="1"/>
  <c r="Q585" i="1" s="1"/>
  <c r="V585" i="1"/>
  <c r="V571" i="1"/>
  <c r="R571" i="1"/>
  <c r="X565" i="1"/>
  <c r="T565" i="1" s="1"/>
  <c r="U565" i="1" s="1"/>
  <c r="P565" i="1"/>
  <c r="X543" i="1"/>
  <c r="T543" i="1" s="1"/>
  <c r="U543" i="1" s="1"/>
  <c r="W543" i="1"/>
  <c r="R543" i="1"/>
  <c r="R450" i="1"/>
  <c r="W450" i="1"/>
  <c r="P444" i="1"/>
  <c r="Q444" i="1" s="1"/>
  <c r="V444" i="1"/>
  <c r="X436" i="1"/>
  <c r="T436" i="1" s="1"/>
  <c r="U436" i="1" s="1"/>
  <c r="P436" i="1"/>
  <c r="Q436" i="1" s="1"/>
  <c r="V385" i="1"/>
  <c r="W385" i="1"/>
  <c r="P366" i="1"/>
  <c r="S366" i="1" s="1"/>
  <c r="R366" i="1"/>
  <c r="V366" i="1"/>
  <c r="W366" i="1"/>
  <c r="X318" i="1"/>
  <c r="T318" i="1" s="1"/>
  <c r="U318" i="1" s="1"/>
  <c r="V318" i="1"/>
  <c r="R251" i="1"/>
  <c r="X251" i="1"/>
  <c r="T251" i="1" s="1"/>
  <c r="U251" i="1" s="1"/>
  <c r="P192" i="1"/>
  <c r="S192" i="1" s="1"/>
  <c r="V192" i="1"/>
  <c r="R192" i="1"/>
  <c r="W192" i="1"/>
  <c r="S183" i="1"/>
  <c r="Q183" i="1"/>
  <c r="V147" i="1"/>
  <c r="X147" i="1"/>
  <c r="T147" i="1" s="1"/>
  <c r="U147" i="1" s="1"/>
  <c r="P147" i="1"/>
  <c r="V60" i="1"/>
  <c r="W60" i="1"/>
  <c r="X60" i="1"/>
  <c r="T60" i="1" s="1"/>
  <c r="U60" i="1" s="1"/>
  <c r="P60" i="1"/>
  <c r="Q60" i="1" s="1"/>
  <c r="R60" i="1"/>
  <c r="R21" i="1"/>
  <c r="W21" i="1"/>
  <c r="W16" i="1"/>
  <c r="V16" i="1"/>
  <c r="X16" i="1"/>
  <c r="T16" i="1" s="1"/>
  <c r="U16" i="1" s="1"/>
  <c r="P16" i="1"/>
  <c r="Q16" i="1" s="1"/>
  <c r="R716" i="1"/>
  <c r="W704" i="1"/>
  <c r="W634" i="1"/>
  <c r="R634" i="1"/>
  <c r="R573" i="1"/>
  <c r="W573" i="1"/>
  <c r="P496" i="1"/>
  <c r="S496" i="1" s="1"/>
  <c r="R496" i="1"/>
  <c r="R483" i="1"/>
  <c r="P483" i="1"/>
  <c r="Q483" i="1" s="1"/>
  <c r="V483" i="1"/>
  <c r="W425" i="1"/>
  <c r="X425" i="1"/>
  <c r="T425" i="1" s="1"/>
  <c r="U425" i="1" s="1"/>
  <c r="W411" i="1"/>
  <c r="R411" i="1"/>
  <c r="P376" i="1"/>
  <c r="S376" i="1" s="1"/>
  <c r="R376" i="1"/>
  <c r="V376" i="1"/>
  <c r="W376" i="1"/>
  <c r="R283" i="1"/>
  <c r="V283" i="1"/>
  <c r="V253" i="1"/>
  <c r="W253" i="1"/>
  <c r="P253" i="1"/>
  <c r="S253" i="1" s="1"/>
  <c r="R253" i="1"/>
  <c r="P184" i="1"/>
  <c r="V184" i="1"/>
  <c r="W184" i="1"/>
  <c r="R184" i="1"/>
  <c r="W93" i="1"/>
  <c r="P93" i="1"/>
  <c r="Q93" i="1" s="1"/>
  <c r="P716" i="1"/>
  <c r="S716" i="1" s="1"/>
  <c r="V704" i="1"/>
  <c r="R675" i="1"/>
  <c r="V675" i="1"/>
  <c r="X667" i="1"/>
  <c r="T667" i="1" s="1"/>
  <c r="U667" i="1" s="1"/>
  <c r="W637" i="1"/>
  <c r="R637" i="1"/>
  <c r="P636" i="1"/>
  <c r="Q636" i="1" s="1"/>
  <c r="V636" i="1"/>
  <c r="V574" i="1"/>
  <c r="W574" i="1"/>
  <c r="X574" i="1"/>
  <c r="T574" i="1" s="1"/>
  <c r="U574" i="1" s="1"/>
  <c r="P574" i="1"/>
  <c r="S574" i="1" s="1"/>
  <c r="P554" i="1"/>
  <c r="Q554" i="1" s="1"/>
  <c r="W554" i="1"/>
  <c r="W540" i="1"/>
  <c r="R540" i="1"/>
  <c r="V540" i="1"/>
  <c r="X540" i="1"/>
  <c r="T540" i="1" s="1"/>
  <c r="U540" i="1" s="1"/>
  <c r="R491" i="1"/>
  <c r="P491" i="1"/>
  <c r="S491" i="1" s="1"/>
  <c r="V491" i="1"/>
  <c r="W452" i="1"/>
  <c r="X452" i="1"/>
  <c r="T452" i="1" s="1"/>
  <c r="U452" i="1" s="1"/>
  <c r="W426" i="1"/>
  <c r="V426" i="1"/>
  <c r="P346" i="1"/>
  <c r="S346" i="1" s="1"/>
  <c r="W346" i="1"/>
  <c r="R346" i="1"/>
  <c r="V346" i="1"/>
  <c r="X346" i="1"/>
  <c r="T346" i="1" s="1"/>
  <c r="U346" i="1" s="1"/>
  <c r="P326" i="1"/>
  <c r="Q326" i="1" s="1"/>
  <c r="X326" i="1"/>
  <c r="T326" i="1" s="1"/>
  <c r="U326" i="1" s="1"/>
  <c r="R302" i="1"/>
  <c r="X302" i="1"/>
  <c r="T302" i="1" s="1"/>
  <c r="U302" i="1" s="1"/>
  <c r="P302" i="1"/>
  <c r="Q302" i="1" s="1"/>
  <c r="V302" i="1"/>
  <c r="P164" i="1"/>
  <c r="S164" i="1" s="1"/>
  <c r="V164" i="1"/>
  <c r="X164" i="1"/>
  <c r="T164" i="1" s="1"/>
  <c r="U164" i="1" s="1"/>
  <c r="X63" i="1"/>
  <c r="T63" i="1" s="1"/>
  <c r="U63" i="1" s="1"/>
  <c r="V63" i="1"/>
  <c r="W63" i="1"/>
  <c r="W52" i="1"/>
  <c r="R52" i="1"/>
  <c r="R29" i="1"/>
  <c r="W29" i="1"/>
  <c r="V29" i="1"/>
  <c r="W857" i="1"/>
  <c r="X818" i="1"/>
  <c r="T818" i="1" s="1"/>
  <c r="U818" i="1" s="1"/>
  <c r="R700" i="1"/>
  <c r="W630" i="1"/>
  <c r="W561" i="1"/>
  <c r="P561" i="1"/>
  <c r="S561" i="1" s="1"/>
  <c r="V534" i="1"/>
  <c r="R534" i="1"/>
  <c r="W534" i="1"/>
  <c r="X534" i="1"/>
  <c r="T534" i="1" s="1"/>
  <c r="U534" i="1" s="1"/>
  <c r="R515" i="1"/>
  <c r="X515" i="1"/>
  <c r="T515" i="1" s="1"/>
  <c r="U515" i="1" s="1"/>
  <c r="W427" i="1"/>
  <c r="P427" i="1"/>
  <c r="Q427" i="1" s="1"/>
  <c r="R427" i="1"/>
  <c r="W394" i="1"/>
  <c r="X394" i="1"/>
  <c r="T394" i="1" s="1"/>
  <c r="U394" i="1" s="1"/>
  <c r="R320" i="1"/>
  <c r="W320" i="1"/>
  <c r="X260" i="1"/>
  <c r="T260" i="1" s="1"/>
  <c r="U260" i="1" s="1"/>
  <c r="P260" i="1"/>
  <c r="S260" i="1" s="1"/>
  <c r="P224" i="1"/>
  <c r="V224" i="1"/>
  <c r="R115" i="1"/>
  <c r="P115" i="1"/>
  <c r="Q115" i="1" s="1"/>
  <c r="V115" i="1"/>
  <c r="X115" i="1"/>
  <c r="T115" i="1" s="1"/>
  <c r="U115" i="1" s="1"/>
  <c r="R343" i="1"/>
  <c r="W343" i="1"/>
  <c r="W342" i="1"/>
  <c r="V342" i="1"/>
  <c r="P342" i="1"/>
  <c r="Q342" i="1" s="1"/>
  <c r="W173" i="1"/>
  <c r="V173" i="1"/>
  <c r="R89" i="1"/>
  <c r="V89" i="1"/>
  <c r="W89" i="1"/>
  <c r="P89" i="1"/>
  <c r="Q89" i="1" s="1"/>
  <c r="W57" i="1"/>
  <c r="X57" i="1"/>
  <c r="T57" i="1" s="1"/>
  <c r="U57" i="1" s="1"/>
  <c r="V612" i="1"/>
  <c r="V557" i="1"/>
  <c r="R527" i="1"/>
  <c r="V520" i="1"/>
  <c r="X519" i="1"/>
  <c r="T519" i="1" s="1"/>
  <c r="U519" i="1" s="1"/>
  <c r="V447" i="1"/>
  <c r="X446" i="1"/>
  <c r="T446" i="1" s="1"/>
  <c r="U446" i="1" s="1"/>
  <c r="V443" i="1"/>
  <c r="W433" i="1"/>
  <c r="R415" i="1"/>
  <c r="V396" i="1"/>
  <c r="W285" i="1"/>
  <c r="W272" i="1"/>
  <c r="V230" i="1"/>
  <c r="X230" i="1"/>
  <c r="T230" i="1" s="1"/>
  <c r="U230" i="1" s="1"/>
  <c r="P230" i="1"/>
  <c r="Q230" i="1" s="1"/>
  <c r="W207" i="1"/>
  <c r="W98" i="1"/>
  <c r="X98" i="1"/>
  <c r="T98" i="1" s="1"/>
  <c r="U98" i="1" s="1"/>
  <c r="P98" i="1"/>
  <c r="S98" i="1" s="1"/>
  <c r="R98" i="1"/>
  <c r="P368" i="1"/>
  <c r="S368" i="1" s="1"/>
  <c r="W362" i="1"/>
  <c r="X362" i="1"/>
  <c r="T362" i="1" s="1"/>
  <c r="U362" i="1" s="1"/>
  <c r="R342" i="1"/>
  <c r="X306" i="1"/>
  <c r="T306" i="1" s="1"/>
  <c r="U306" i="1" s="1"/>
  <c r="P306" i="1"/>
  <c r="S306" i="1" s="1"/>
  <c r="W252" i="1"/>
  <c r="V252" i="1"/>
  <c r="P246" i="1"/>
  <c r="S246" i="1" s="1"/>
  <c r="R214" i="1"/>
  <c r="X214" i="1"/>
  <c r="T214" i="1" s="1"/>
  <c r="U214" i="1" s="1"/>
  <c r="P198" i="1"/>
  <c r="Q198" i="1" s="1"/>
  <c r="P173" i="1"/>
  <c r="Q173" i="1" s="1"/>
  <c r="P172" i="1"/>
  <c r="Q172" i="1" s="1"/>
  <c r="P137" i="1"/>
  <c r="R137" i="1"/>
  <c r="P129" i="1"/>
  <c r="V129" i="1"/>
  <c r="W129" i="1"/>
  <c r="V117" i="1"/>
  <c r="R117" i="1"/>
  <c r="W117" i="1"/>
  <c r="P117" i="1"/>
  <c r="P114" i="1"/>
  <c r="X114" i="1"/>
  <c r="T114" i="1" s="1"/>
  <c r="U114" i="1" s="1"/>
  <c r="R94" i="1"/>
  <c r="X94" i="1"/>
  <c r="T94" i="1" s="1"/>
  <c r="U94" i="1" s="1"/>
  <c r="P94" i="1"/>
  <c r="Q94" i="1" s="1"/>
  <c r="V94" i="1"/>
  <c r="W79" i="1"/>
  <c r="X79" i="1"/>
  <c r="T79" i="1" s="1"/>
  <c r="U79" i="1" s="1"/>
  <c r="P57" i="1"/>
  <c r="Q57" i="1" s="1"/>
  <c r="V37" i="1"/>
  <c r="W37" i="1"/>
  <c r="X18" i="1"/>
  <c r="T18" i="1" s="1"/>
  <c r="U18" i="1" s="1"/>
  <c r="R18" i="1"/>
  <c r="W18" i="1"/>
  <c r="R550" i="1"/>
  <c r="V549" i="1"/>
  <c r="R513" i="1"/>
  <c r="V512" i="1"/>
  <c r="R504" i="1"/>
  <c r="P501" i="1"/>
  <c r="S501" i="1" s="1"/>
  <c r="W489" i="1"/>
  <c r="P475" i="1"/>
  <c r="Q475" i="1" s="1"/>
  <c r="X382" i="1"/>
  <c r="T382" i="1" s="1"/>
  <c r="U382" i="1" s="1"/>
  <c r="V354" i="1"/>
  <c r="P354" i="1"/>
  <c r="S354" i="1" s="1"/>
  <c r="X336" i="1"/>
  <c r="T336" i="1" s="1"/>
  <c r="U336" i="1" s="1"/>
  <c r="W262" i="1"/>
  <c r="V262" i="1"/>
  <c r="X227" i="1"/>
  <c r="T227" i="1" s="1"/>
  <c r="U227" i="1" s="1"/>
  <c r="P227" i="1"/>
  <c r="S227" i="1" s="1"/>
  <c r="V221" i="1"/>
  <c r="R221" i="1"/>
  <c r="P169" i="1"/>
  <c r="S169" i="1" s="1"/>
  <c r="W169" i="1"/>
  <c r="W158" i="1"/>
  <c r="X158" i="1"/>
  <c r="T158" i="1" s="1"/>
  <c r="U158" i="1" s="1"/>
  <c r="W138" i="1"/>
  <c r="V138" i="1"/>
  <c r="V44" i="1"/>
  <c r="R44" i="1"/>
  <c r="W44" i="1"/>
  <c r="X527" i="1"/>
  <c r="T527" i="1" s="1"/>
  <c r="U527" i="1" s="1"/>
  <c r="X415" i="1"/>
  <c r="T415" i="1" s="1"/>
  <c r="U415" i="1" s="1"/>
  <c r="W382" i="1"/>
  <c r="W336" i="1"/>
  <c r="R310" i="1"/>
  <c r="V310" i="1"/>
  <c r="V256" i="1"/>
  <c r="R256" i="1"/>
  <c r="X238" i="1"/>
  <c r="T238" i="1" s="1"/>
  <c r="U238" i="1" s="1"/>
  <c r="W238" i="1"/>
  <c r="V143" i="1"/>
  <c r="R143" i="1"/>
  <c r="W135" i="1"/>
  <c r="V56" i="1"/>
  <c r="X36" i="1"/>
  <c r="T36" i="1" s="1"/>
  <c r="U36" i="1" s="1"/>
  <c r="W34" i="1"/>
  <c r="R83" i="1"/>
  <c r="R56" i="1"/>
  <c r="W36" i="1"/>
  <c r="V34" i="1"/>
  <c r="V32" i="1"/>
  <c r="V124" i="1"/>
  <c r="X109" i="1"/>
  <c r="T109" i="1" s="1"/>
  <c r="U109" i="1" s="1"/>
  <c r="V104" i="1"/>
  <c r="W128" i="1"/>
  <c r="P124" i="1"/>
  <c r="Q124" i="1" s="1"/>
  <c r="X83" i="1"/>
  <c r="T83" i="1" s="1"/>
  <c r="U83" i="1" s="1"/>
  <c r="P72" i="1"/>
  <c r="Q72" i="1" s="1"/>
  <c r="V71" i="1"/>
  <c r="R62" i="1"/>
  <c r="R61" i="1"/>
  <c r="P58" i="1"/>
  <c r="Q58" i="1" s="1"/>
  <c r="P46" i="1"/>
  <c r="Q46" i="1" s="1"/>
  <c r="S793" i="1"/>
  <c r="Q793" i="1"/>
  <c r="X938" i="1"/>
  <c r="T938" i="1" s="1"/>
  <c r="U938" i="1" s="1"/>
  <c r="W799" i="1"/>
  <c r="V799" i="1"/>
  <c r="R763" i="1"/>
  <c r="V763" i="1"/>
  <c r="P763" i="1"/>
  <c r="S763" i="1" s="1"/>
  <c r="W763" i="1"/>
  <c r="P736" i="1"/>
  <c r="R736" i="1"/>
  <c r="X979" i="1"/>
  <c r="T979" i="1" s="1"/>
  <c r="U979" i="1" s="1"/>
  <c r="W938" i="1"/>
  <c r="X906" i="1"/>
  <c r="T906" i="1" s="1"/>
  <c r="U906" i="1" s="1"/>
  <c r="R855" i="1"/>
  <c r="P855" i="1"/>
  <c r="S855" i="1" s="1"/>
  <c r="R847" i="1"/>
  <c r="V847" i="1"/>
  <c r="W847" i="1"/>
  <c r="V979" i="1"/>
  <c r="V976" i="1"/>
  <c r="R973" i="1"/>
  <c r="W962" i="1"/>
  <c r="W955" i="1"/>
  <c r="R930" i="1"/>
  <c r="P990" i="1"/>
  <c r="Q990" i="1" s="1"/>
  <c r="X989" i="1"/>
  <c r="T989" i="1" s="1"/>
  <c r="U989" i="1" s="1"/>
  <c r="W982" i="1"/>
  <c r="P979" i="1"/>
  <c r="P973" i="1"/>
  <c r="R972" i="1"/>
  <c r="R962" i="1"/>
  <c r="R946" i="1"/>
  <c r="W944" i="1"/>
  <c r="R926" i="1"/>
  <c r="P918" i="1"/>
  <c r="S918" i="1" s="1"/>
  <c r="V917" i="1"/>
  <c r="W916" i="1"/>
  <c r="R911" i="1"/>
  <c r="W911" i="1"/>
  <c r="W909" i="1"/>
  <c r="X908" i="1"/>
  <c r="T908" i="1" s="1"/>
  <c r="U908" i="1" s="1"/>
  <c r="R906" i="1"/>
  <c r="V903" i="1"/>
  <c r="X900" i="1"/>
  <c r="T900" i="1" s="1"/>
  <c r="U900" i="1" s="1"/>
  <c r="V893" i="1"/>
  <c r="P878" i="1"/>
  <c r="Q878" i="1" s="1"/>
  <c r="W877" i="1"/>
  <c r="R866" i="1"/>
  <c r="W855" i="1"/>
  <c r="R851" i="1"/>
  <c r="W851" i="1"/>
  <c r="R843" i="1"/>
  <c r="W843" i="1"/>
  <c r="R836" i="1"/>
  <c r="W835" i="1"/>
  <c r="V828" i="1"/>
  <c r="V825" i="1"/>
  <c r="R825" i="1"/>
  <c r="W825" i="1"/>
  <c r="P825" i="1"/>
  <c r="S825" i="1" s="1"/>
  <c r="R823" i="1"/>
  <c r="X823" i="1"/>
  <c r="T823" i="1" s="1"/>
  <c r="U823" i="1" s="1"/>
  <c r="V823" i="1"/>
  <c r="R810" i="1"/>
  <c r="X763" i="1"/>
  <c r="T763" i="1" s="1"/>
  <c r="U763" i="1" s="1"/>
  <c r="V737" i="1"/>
  <c r="W737" i="1"/>
  <c r="V653" i="1"/>
  <c r="P653" i="1"/>
  <c r="R653" i="1"/>
  <c r="W653" i="1"/>
  <c r="X653" i="1"/>
  <c r="T653" i="1" s="1"/>
  <c r="U653" i="1" s="1"/>
  <c r="W640" i="1"/>
  <c r="P640" i="1"/>
  <c r="V640" i="1"/>
  <c r="X640" i="1"/>
  <c r="T640" i="1" s="1"/>
  <c r="U640" i="1" s="1"/>
  <c r="V537" i="1"/>
  <c r="W537" i="1"/>
  <c r="P480" i="1"/>
  <c r="Q480" i="1" s="1"/>
  <c r="R480" i="1"/>
  <c r="V480" i="1"/>
  <c r="W480" i="1"/>
  <c r="S475" i="1"/>
  <c r="W796" i="1"/>
  <c r="R796" i="1"/>
  <c r="P784" i="1"/>
  <c r="R784" i="1"/>
  <c r="W762" i="1"/>
  <c r="R762" i="1"/>
  <c r="X762" i="1"/>
  <c r="T762" i="1" s="1"/>
  <c r="U762" i="1" s="1"/>
  <c r="V762" i="1"/>
  <c r="W732" i="1"/>
  <c r="P732" i="1"/>
  <c r="Q732" i="1" s="1"/>
  <c r="X732" i="1"/>
  <c r="T732" i="1" s="1"/>
  <c r="U732" i="1" s="1"/>
  <c r="R732" i="1"/>
  <c r="W697" i="1"/>
  <c r="P697" i="1"/>
  <c r="Q697" i="1" s="1"/>
  <c r="R697" i="1"/>
  <c r="V697" i="1"/>
  <c r="X697" i="1"/>
  <c r="T697" i="1" s="1"/>
  <c r="U697" i="1" s="1"/>
  <c r="R621" i="1"/>
  <c r="W621" i="1"/>
  <c r="W548" i="1"/>
  <c r="X548" i="1"/>
  <c r="T548" i="1" s="1"/>
  <c r="U548" i="1" s="1"/>
  <c r="V548" i="1"/>
  <c r="P938" i="1"/>
  <c r="Q938" i="1" s="1"/>
  <c r="X934" i="1"/>
  <c r="T934" i="1" s="1"/>
  <c r="U934" i="1" s="1"/>
  <c r="P989" i="1"/>
  <c r="S989" i="1" s="1"/>
  <c r="X987" i="1"/>
  <c r="T987" i="1" s="1"/>
  <c r="U987" i="1" s="1"/>
  <c r="P984" i="1"/>
  <c r="V982" i="1"/>
  <c r="P976" i="1"/>
  <c r="P962" i="1"/>
  <c r="S962" i="1" s="1"/>
  <c r="X952" i="1"/>
  <c r="T952" i="1" s="1"/>
  <c r="U952" i="1" s="1"/>
  <c r="P946" i="1"/>
  <c r="Q946" i="1" s="1"/>
  <c r="V944" i="1"/>
  <c r="R934" i="1"/>
  <c r="V933" i="1"/>
  <c r="P926" i="1"/>
  <c r="Q926" i="1" s="1"/>
  <c r="X924" i="1"/>
  <c r="T924" i="1" s="1"/>
  <c r="U924" i="1" s="1"/>
  <c r="V916" i="1"/>
  <c r="X914" i="1"/>
  <c r="T914" i="1" s="1"/>
  <c r="U914" i="1" s="1"/>
  <c r="W908" i="1"/>
  <c r="P906" i="1"/>
  <c r="Q906" i="1" s="1"/>
  <c r="R902" i="1"/>
  <c r="V901" i="1"/>
  <c r="W900" i="1"/>
  <c r="V855" i="1"/>
  <c r="P836" i="1"/>
  <c r="S836" i="1" s="1"/>
  <c r="W822" i="1"/>
  <c r="P822" i="1"/>
  <c r="R822" i="1"/>
  <c r="X822" i="1"/>
  <c r="T822" i="1" s="1"/>
  <c r="U822" i="1" s="1"/>
  <c r="P794" i="1"/>
  <c r="Q794" i="1" s="1"/>
  <c r="W794" i="1"/>
  <c r="X794" i="1"/>
  <c r="T794" i="1" s="1"/>
  <c r="U794" i="1" s="1"/>
  <c r="V777" i="1"/>
  <c r="R777" i="1"/>
  <c r="W777" i="1"/>
  <c r="Q776" i="1"/>
  <c r="R767" i="1"/>
  <c r="X756" i="1"/>
  <c r="T756" i="1" s="1"/>
  <c r="U756" i="1" s="1"/>
  <c r="W752" i="1"/>
  <c r="R752" i="1"/>
  <c r="P752" i="1"/>
  <c r="V745" i="1"/>
  <c r="R745" i="1"/>
  <c r="V711" i="1"/>
  <c r="P711" i="1"/>
  <c r="R711" i="1"/>
  <c r="X696" i="1"/>
  <c r="T696" i="1" s="1"/>
  <c r="U696" i="1" s="1"/>
  <c r="R696" i="1"/>
  <c r="W696" i="1"/>
  <c r="R691" i="1"/>
  <c r="V691" i="1"/>
  <c r="P691" i="1"/>
  <c r="W691" i="1"/>
  <c r="X691" i="1"/>
  <c r="T691" i="1" s="1"/>
  <c r="U691" i="1" s="1"/>
  <c r="R644" i="1"/>
  <c r="X644" i="1"/>
  <c r="T644" i="1" s="1"/>
  <c r="U644" i="1" s="1"/>
  <c r="W617" i="1"/>
  <c r="X617" i="1"/>
  <c r="T617" i="1" s="1"/>
  <c r="U617" i="1" s="1"/>
  <c r="V617" i="1"/>
  <c r="P503" i="1"/>
  <c r="R503" i="1"/>
  <c r="W503" i="1"/>
  <c r="V503" i="1"/>
  <c r="X503" i="1"/>
  <c r="T503" i="1" s="1"/>
  <c r="U503" i="1" s="1"/>
  <c r="P488" i="1"/>
  <c r="Q488" i="1" s="1"/>
  <c r="R488" i="1"/>
  <c r="V488" i="1"/>
  <c r="W488" i="1"/>
  <c r="W505" i="1"/>
  <c r="R505" i="1"/>
  <c r="V505" i="1"/>
  <c r="V401" i="1"/>
  <c r="W401" i="1"/>
  <c r="R844" i="1"/>
  <c r="V844" i="1"/>
  <c r="X930" i="1"/>
  <c r="T930" i="1" s="1"/>
  <c r="U930" i="1" s="1"/>
  <c r="V721" i="1"/>
  <c r="W721" i="1"/>
  <c r="W668" i="1"/>
  <c r="R668" i="1"/>
  <c r="X990" i="1"/>
  <c r="T990" i="1" s="1"/>
  <c r="U990" i="1" s="1"/>
  <c r="X976" i="1"/>
  <c r="T976" i="1" s="1"/>
  <c r="U976" i="1" s="1"/>
  <c r="W930" i="1"/>
  <c r="R828" i="1"/>
  <c r="W828" i="1"/>
  <c r="X828" i="1"/>
  <c r="T828" i="1" s="1"/>
  <c r="U828" i="1" s="1"/>
  <c r="X683" i="1"/>
  <c r="T683" i="1" s="1"/>
  <c r="U683" i="1" s="1"/>
  <c r="P683" i="1"/>
  <c r="V683" i="1"/>
  <c r="R683" i="1"/>
  <c r="X656" i="1"/>
  <c r="T656" i="1" s="1"/>
  <c r="U656" i="1" s="1"/>
  <c r="V656" i="1"/>
  <c r="P656" i="1"/>
  <c r="V339" i="1"/>
  <c r="W339" i="1"/>
  <c r="W990" i="1"/>
  <c r="P987" i="1"/>
  <c r="V985" i="1"/>
  <c r="W984" i="1"/>
  <c r="P981" i="1"/>
  <c r="S981" i="1" s="1"/>
  <c r="W979" i="1"/>
  <c r="W976" i="1"/>
  <c r="W973" i="1"/>
  <c r="R966" i="1"/>
  <c r="R964" i="1"/>
  <c r="W963" i="1"/>
  <c r="X962" i="1"/>
  <c r="T962" i="1" s="1"/>
  <c r="U962" i="1" s="1"/>
  <c r="R958" i="1"/>
  <c r="V956" i="1"/>
  <c r="R950" i="1"/>
  <c r="R948" i="1"/>
  <c r="W947" i="1"/>
  <c r="X946" i="1"/>
  <c r="T946" i="1" s="1"/>
  <c r="U946" i="1" s="1"/>
  <c r="V938" i="1"/>
  <c r="V930" i="1"/>
  <c r="W927" i="1"/>
  <c r="V919" i="1"/>
  <c r="P914" i="1"/>
  <c r="S914" i="1" s="1"/>
  <c r="P911" i="1"/>
  <c r="Q911" i="1" s="1"/>
  <c r="W906" i="1"/>
  <c r="W895" i="1"/>
  <c r="P890" i="1"/>
  <c r="Q890" i="1" s="1"/>
  <c r="X889" i="1"/>
  <c r="T889" i="1" s="1"/>
  <c r="U889" i="1" s="1"/>
  <c r="X888" i="1"/>
  <c r="T888" i="1" s="1"/>
  <c r="U888" i="1" s="1"/>
  <c r="R882" i="1"/>
  <c r="P879" i="1"/>
  <c r="Q879" i="1" s="1"/>
  <c r="V878" i="1"/>
  <c r="W869" i="1"/>
  <c r="V869" i="1"/>
  <c r="W866" i="1"/>
  <c r="V865" i="1"/>
  <c r="X865" i="1"/>
  <c r="T865" i="1" s="1"/>
  <c r="U865" i="1" s="1"/>
  <c r="P858" i="1"/>
  <c r="Q858" i="1" s="1"/>
  <c r="X844" i="1"/>
  <c r="T844" i="1" s="1"/>
  <c r="U844" i="1" s="1"/>
  <c r="R840" i="1"/>
  <c r="X836" i="1"/>
  <c r="T836" i="1" s="1"/>
  <c r="U836" i="1" s="1"/>
  <c r="P823" i="1"/>
  <c r="Q823" i="1" s="1"/>
  <c r="P806" i="1"/>
  <c r="X796" i="1"/>
  <c r="T796" i="1" s="1"/>
  <c r="U796" i="1" s="1"/>
  <c r="W784" i="1"/>
  <c r="W757" i="1"/>
  <c r="P757" i="1"/>
  <c r="R757" i="1"/>
  <c r="X757" i="1"/>
  <c r="T757" i="1" s="1"/>
  <c r="U757" i="1" s="1"/>
  <c r="R737" i="1"/>
  <c r="X736" i="1"/>
  <c r="T736" i="1" s="1"/>
  <c r="U736" i="1" s="1"/>
  <c r="V734" i="1"/>
  <c r="W734" i="1"/>
  <c r="R734" i="1"/>
  <c r="V713" i="1"/>
  <c r="R713" i="1"/>
  <c r="X693" i="1"/>
  <c r="T693" i="1" s="1"/>
  <c r="U693" i="1" s="1"/>
  <c r="P693" i="1"/>
  <c r="Q693" i="1" s="1"/>
  <c r="W693" i="1"/>
  <c r="R646" i="1"/>
  <c r="P646" i="1"/>
  <c r="S646" i="1" s="1"/>
  <c r="X646" i="1"/>
  <c r="T646" i="1" s="1"/>
  <c r="U646" i="1" s="1"/>
  <c r="V646" i="1"/>
  <c r="W646" i="1"/>
  <c r="V588" i="1"/>
  <c r="W588" i="1"/>
  <c r="P588" i="1"/>
  <c r="S588" i="1" s="1"/>
  <c r="R588" i="1"/>
  <c r="X588" i="1"/>
  <c r="T588" i="1" s="1"/>
  <c r="U588" i="1" s="1"/>
  <c r="P528" i="1"/>
  <c r="S528" i="1" s="1"/>
  <c r="V528" i="1"/>
  <c r="W528" i="1"/>
  <c r="R528" i="1"/>
  <c r="R523" i="1"/>
  <c r="V523" i="1"/>
  <c r="X523" i="1"/>
  <c r="T523" i="1" s="1"/>
  <c r="U523" i="1" s="1"/>
  <c r="P523" i="1"/>
  <c r="W798" i="1"/>
  <c r="R798" i="1"/>
  <c r="X798" i="1"/>
  <c r="T798" i="1" s="1"/>
  <c r="U798" i="1" s="1"/>
  <c r="P798" i="1"/>
  <c r="S798" i="1" s="1"/>
  <c r="W894" i="1"/>
  <c r="P894" i="1"/>
  <c r="Q894" i="1" s="1"/>
  <c r="V817" i="1"/>
  <c r="R817" i="1"/>
  <c r="X817" i="1"/>
  <c r="T817" i="1" s="1"/>
  <c r="U817" i="1" s="1"/>
  <c r="V778" i="1"/>
  <c r="W778" i="1"/>
  <c r="R645" i="1"/>
  <c r="W645" i="1"/>
  <c r="X973" i="1"/>
  <c r="T973" i="1" s="1"/>
  <c r="U973" i="1" s="1"/>
  <c r="X927" i="1"/>
  <c r="T927" i="1" s="1"/>
  <c r="U927" i="1" s="1"/>
  <c r="X919" i="1"/>
  <c r="T919" i="1" s="1"/>
  <c r="U919" i="1" s="1"/>
  <c r="X895" i="1"/>
  <c r="T895" i="1" s="1"/>
  <c r="U895" i="1" s="1"/>
  <c r="X878" i="1"/>
  <c r="T878" i="1" s="1"/>
  <c r="U878" i="1" s="1"/>
  <c r="X866" i="1"/>
  <c r="T866" i="1" s="1"/>
  <c r="U866" i="1" s="1"/>
  <c r="V793" i="1"/>
  <c r="X793" i="1"/>
  <c r="T793" i="1" s="1"/>
  <c r="U793" i="1" s="1"/>
  <c r="W946" i="1"/>
  <c r="X926" i="1"/>
  <c r="T926" i="1" s="1"/>
  <c r="U926" i="1" s="1"/>
  <c r="X918" i="1"/>
  <c r="T918" i="1" s="1"/>
  <c r="U918" i="1" s="1"/>
  <c r="W870" i="1"/>
  <c r="R870" i="1"/>
  <c r="V866" i="1"/>
  <c r="V849" i="1"/>
  <c r="P849" i="1"/>
  <c r="S849" i="1" s="1"/>
  <c r="R849" i="1"/>
  <c r="V801" i="1"/>
  <c r="P801" i="1"/>
  <c r="S801" i="1" s="1"/>
  <c r="W801" i="1"/>
  <c r="X801" i="1"/>
  <c r="T801" i="1" s="1"/>
  <c r="U801" i="1" s="1"/>
  <c r="V796" i="1"/>
  <c r="W793" i="1"/>
  <c r="V784" i="1"/>
  <c r="W736" i="1"/>
  <c r="R614" i="1"/>
  <c r="V614" i="1"/>
  <c r="P614" i="1"/>
  <c r="X614" i="1"/>
  <c r="T614" i="1" s="1"/>
  <c r="U614" i="1" s="1"/>
  <c r="W614" i="1"/>
  <c r="V611" i="1"/>
  <c r="W611" i="1"/>
  <c r="X611" i="1"/>
  <c r="T611" i="1" s="1"/>
  <c r="U611" i="1" s="1"/>
  <c r="R611" i="1"/>
  <c r="P852" i="1"/>
  <c r="S852" i="1" s="1"/>
  <c r="R852" i="1"/>
  <c r="P810" i="1"/>
  <c r="Q810" i="1" s="1"/>
  <c r="V810" i="1"/>
  <c r="R692" i="1"/>
  <c r="V692" i="1"/>
  <c r="X984" i="1"/>
  <c r="T984" i="1" s="1"/>
  <c r="U984" i="1" s="1"/>
  <c r="V733" i="1"/>
  <c r="P733" i="1"/>
  <c r="Q733" i="1" s="1"/>
  <c r="W733" i="1"/>
  <c r="V990" i="1"/>
  <c r="V984" i="1"/>
  <c r="V927" i="1"/>
  <c r="V895" i="1"/>
  <c r="X894" i="1"/>
  <c r="T894" i="1" s="1"/>
  <c r="U894" i="1" s="1"/>
  <c r="V888" i="1"/>
  <c r="W852" i="1"/>
  <c r="W844" i="1"/>
  <c r="W836" i="1"/>
  <c r="W834" i="1"/>
  <c r="V834" i="1"/>
  <c r="X978" i="1"/>
  <c r="T978" i="1" s="1"/>
  <c r="U978" i="1" s="1"/>
  <c r="V972" i="1"/>
  <c r="V955" i="1"/>
  <c r="P927" i="1"/>
  <c r="S927" i="1" s="1"/>
  <c r="V926" i="1"/>
  <c r="P919" i="1"/>
  <c r="R918" i="1"/>
  <c r="X903" i="1"/>
  <c r="T903" i="1" s="1"/>
  <c r="U903" i="1" s="1"/>
  <c r="X902" i="1"/>
  <c r="T902" i="1" s="1"/>
  <c r="U902" i="1" s="1"/>
  <c r="P895" i="1"/>
  <c r="S895" i="1" s="1"/>
  <c r="V894" i="1"/>
  <c r="R888" i="1"/>
  <c r="R878" i="1"/>
  <c r="R871" i="1"/>
  <c r="V871" i="1"/>
  <c r="X855" i="1"/>
  <c r="T855" i="1" s="1"/>
  <c r="U855" i="1" s="1"/>
  <c r="V852" i="1"/>
  <c r="P844" i="1"/>
  <c r="Q844" i="1" s="1"/>
  <c r="V841" i="1"/>
  <c r="R841" i="1"/>
  <c r="R820" i="1"/>
  <c r="W820" i="1"/>
  <c r="X820" i="1"/>
  <c r="T820" i="1" s="1"/>
  <c r="U820" i="1" s="1"/>
  <c r="W817" i="1"/>
  <c r="W810" i="1"/>
  <c r="W802" i="1"/>
  <c r="P802" i="1"/>
  <c r="Q802" i="1" s="1"/>
  <c r="R802" i="1"/>
  <c r="V798" i="1"/>
  <c r="P796" i="1"/>
  <c r="S796" i="1" s="1"/>
  <c r="R793" i="1"/>
  <c r="R787" i="1"/>
  <c r="P787" i="1"/>
  <c r="S787" i="1" s="1"/>
  <c r="X787" i="1"/>
  <c r="T787" i="1" s="1"/>
  <c r="U787" i="1" s="1"/>
  <c r="P762" i="1"/>
  <c r="Q743" i="1"/>
  <c r="V736" i="1"/>
  <c r="W708" i="1"/>
  <c r="V708" i="1"/>
  <c r="P708" i="1"/>
  <c r="Q708" i="1" s="1"/>
  <c r="R708" i="1"/>
  <c r="X708" i="1"/>
  <c r="T708" i="1" s="1"/>
  <c r="U708" i="1" s="1"/>
  <c r="V702" i="1"/>
  <c r="P702" i="1"/>
  <c r="Q702" i="1" s="1"/>
  <c r="P695" i="1"/>
  <c r="Q695" i="1" s="1"/>
  <c r="V695" i="1"/>
  <c r="R659" i="1"/>
  <c r="V659" i="1"/>
  <c r="W659" i="1"/>
  <c r="X659" i="1"/>
  <c r="T659" i="1" s="1"/>
  <c r="U659" i="1" s="1"/>
  <c r="P659" i="1"/>
  <c r="V470" i="1"/>
  <c r="R470" i="1"/>
  <c r="W470" i="1"/>
  <c r="P470" i="1"/>
  <c r="X470" i="1"/>
  <c r="T470" i="1" s="1"/>
  <c r="U470" i="1" s="1"/>
  <c r="W790" i="1"/>
  <c r="V790" i="1"/>
  <c r="P782" i="1"/>
  <c r="Q782" i="1" s="1"/>
  <c r="V782" i="1"/>
  <c r="W764" i="1"/>
  <c r="X764" i="1"/>
  <c r="T764" i="1" s="1"/>
  <c r="U764" i="1" s="1"/>
  <c r="P728" i="1"/>
  <c r="R728" i="1"/>
  <c r="X728" i="1"/>
  <c r="T728" i="1" s="1"/>
  <c r="U728" i="1" s="1"/>
  <c r="R706" i="1"/>
  <c r="X706" i="1"/>
  <c r="T706" i="1" s="1"/>
  <c r="U706" i="1" s="1"/>
  <c r="R681" i="1"/>
  <c r="W681" i="1"/>
  <c r="W680" i="1"/>
  <c r="P680" i="1"/>
  <c r="Q680" i="1" s="1"/>
  <c r="V639" i="1"/>
  <c r="W639" i="1"/>
  <c r="R566" i="1"/>
  <c r="V566" i="1"/>
  <c r="P566" i="1"/>
  <c r="Q566" i="1" s="1"/>
  <c r="Q551" i="1"/>
  <c r="X531" i="1"/>
  <c r="T531" i="1" s="1"/>
  <c r="U531" i="1" s="1"/>
  <c r="P531" i="1"/>
  <c r="S531" i="1" s="1"/>
  <c r="V456" i="1"/>
  <c r="P456" i="1"/>
  <c r="S456" i="1" s="1"/>
  <c r="X456" i="1"/>
  <c r="T456" i="1" s="1"/>
  <c r="U456" i="1" s="1"/>
  <c r="W437" i="1"/>
  <c r="V437" i="1"/>
  <c r="X437" i="1"/>
  <c r="T437" i="1" s="1"/>
  <c r="U437" i="1" s="1"/>
  <c r="P437" i="1"/>
  <c r="S437" i="1" s="1"/>
  <c r="R437" i="1"/>
  <c r="V409" i="1"/>
  <c r="W409" i="1"/>
  <c r="P409" i="1"/>
  <c r="S409" i="1" s="1"/>
  <c r="R409" i="1"/>
  <c r="X409" i="1"/>
  <c r="T409" i="1" s="1"/>
  <c r="U409" i="1" s="1"/>
  <c r="X600" i="1"/>
  <c r="T600" i="1" s="1"/>
  <c r="U600" i="1" s="1"/>
  <c r="P600" i="1"/>
  <c r="Q600" i="1" s="1"/>
  <c r="V600" i="1"/>
  <c r="P582" i="1"/>
  <c r="S582" i="1" s="1"/>
  <c r="R582" i="1"/>
  <c r="R572" i="1"/>
  <c r="V572" i="1"/>
  <c r="W572" i="1"/>
  <c r="P572" i="1"/>
  <c r="Q572" i="1" s="1"/>
  <c r="V553" i="1"/>
  <c r="W553" i="1"/>
  <c r="X553" i="1"/>
  <c r="T553" i="1" s="1"/>
  <c r="U553" i="1" s="1"/>
  <c r="V465" i="1"/>
  <c r="W465" i="1"/>
  <c r="X465" i="1"/>
  <c r="T465" i="1" s="1"/>
  <c r="U465" i="1" s="1"/>
  <c r="P465" i="1"/>
  <c r="S465" i="1" s="1"/>
  <c r="R465" i="1"/>
  <c r="P596" i="1"/>
  <c r="S596" i="1" s="1"/>
  <c r="R596" i="1"/>
  <c r="P587" i="1"/>
  <c r="Q587" i="1" s="1"/>
  <c r="X587" i="1"/>
  <c r="T587" i="1" s="1"/>
  <c r="U587" i="1" s="1"/>
  <c r="R533" i="1"/>
  <c r="V533" i="1"/>
  <c r="W533" i="1"/>
  <c r="P533" i="1"/>
  <c r="Q533" i="1" s="1"/>
  <c r="R457" i="1"/>
  <c r="V457" i="1"/>
  <c r="W457" i="1"/>
  <c r="P457" i="1"/>
  <c r="R831" i="1"/>
  <c r="P831" i="1"/>
  <c r="S831" i="1" s="1"/>
  <c r="X816" i="1"/>
  <c r="T816" i="1" s="1"/>
  <c r="U816" i="1" s="1"/>
  <c r="R816" i="1"/>
  <c r="V809" i="1"/>
  <c r="X809" i="1"/>
  <c r="T809" i="1" s="1"/>
  <c r="U809" i="1" s="1"/>
  <c r="R792" i="1"/>
  <c r="P790" i="1"/>
  <c r="V786" i="1"/>
  <c r="R786" i="1"/>
  <c r="R782" i="1"/>
  <c r="R779" i="1"/>
  <c r="P779" i="1"/>
  <c r="P765" i="1"/>
  <c r="Q765" i="1" s="1"/>
  <c r="R765" i="1"/>
  <c r="P764" i="1"/>
  <c r="Q764" i="1" s="1"/>
  <c r="V751" i="1"/>
  <c r="P751" i="1"/>
  <c r="R751" i="1"/>
  <c r="V750" i="1"/>
  <c r="R750" i="1"/>
  <c r="P744" i="1"/>
  <c r="P706" i="1"/>
  <c r="S706" i="1" s="1"/>
  <c r="V703" i="1"/>
  <c r="P703" i="1"/>
  <c r="S703" i="1" s="1"/>
  <c r="X703" i="1"/>
  <c r="T703" i="1" s="1"/>
  <c r="U703" i="1" s="1"/>
  <c r="R682" i="1"/>
  <c r="V680" i="1"/>
  <c r="W667" i="1"/>
  <c r="P667" i="1"/>
  <c r="S667" i="1" s="1"/>
  <c r="R622" i="1"/>
  <c r="V622" i="1"/>
  <c r="P622" i="1"/>
  <c r="S622" i="1" s="1"/>
  <c r="W582" i="1"/>
  <c r="W566" i="1"/>
  <c r="R556" i="1"/>
  <c r="V556" i="1"/>
  <c r="P556" i="1"/>
  <c r="P538" i="1"/>
  <c r="W538" i="1"/>
  <c r="S534" i="1"/>
  <c r="V448" i="1"/>
  <c r="W448" i="1"/>
  <c r="P448" i="1"/>
  <c r="V417" i="1"/>
  <c r="W417" i="1"/>
  <c r="P417" i="1"/>
  <c r="S417" i="1" s="1"/>
  <c r="R417" i="1"/>
  <c r="X417" i="1"/>
  <c r="T417" i="1" s="1"/>
  <c r="U417" i="1" s="1"/>
  <c r="R395" i="1"/>
  <c r="P395" i="1"/>
  <c r="Q395" i="1" s="1"/>
  <c r="V395" i="1"/>
  <c r="X395" i="1"/>
  <c r="T395" i="1" s="1"/>
  <c r="U395" i="1" s="1"/>
  <c r="W356" i="1"/>
  <c r="R356" i="1"/>
  <c r="P356" i="1"/>
  <c r="S356" i="1" s="1"/>
  <c r="P804" i="1"/>
  <c r="S804" i="1" s="1"/>
  <c r="V804" i="1"/>
  <c r="X779" i="1"/>
  <c r="T779" i="1" s="1"/>
  <c r="U779" i="1" s="1"/>
  <c r="V766" i="1"/>
  <c r="P766" i="1"/>
  <c r="Q766" i="1" s="1"/>
  <c r="W766" i="1"/>
  <c r="X760" i="1"/>
  <c r="T760" i="1" s="1"/>
  <c r="U760" i="1" s="1"/>
  <c r="W740" i="1"/>
  <c r="P740" i="1"/>
  <c r="Q740" i="1" s="1"/>
  <c r="V739" i="1"/>
  <c r="X739" i="1"/>
  <c r="T739" i="1" s="1"/>
  <c r="U739" i="1" s="1"/>
  <c r="V719" i="1"/>
  <c r="P719" i="1"/>
  <c r="Q719" i="1" s="1"/>
  <c r="X719" i="1"/>
  <c r="T719" i="1" s="1"/>
  <c r="U719" i="1" s="1"/>
  <c r="R669" i="1"/>
  <c r="V669" i="1"/>
  <c r="R603" i="1"/>
  <c r="W603" i="1"/>
  <c r="W594" i="1"/>
  <c r="V594" i="1"/>
  <c r="P594" i="1"/>
  <c r="R594" i="1"/>
  <c r="V582" i="1"/>
  <c r="W575" i="1"/>
  <c r="V575" i="1"/>
  <c r="X572" i="1"/>
  <c r="T572" i="1" s="1"/>
  <c r="U572" i="1" s="1"/>
  <c r="V544" i="1"/>
  <c r="R544" i="1"/>
  <c r="P535" i="1"/>
  <c r="S535" i="1" s="1"/>
  <c r="R535" i="1"/>
  <c r="V530" i="1"/>
  <c r="X530" i="1"/>
  <c r="T530" i="1" s="1"/>
  <c r="U530" i="1" s="1"/>
  <c r="R499" i="1"/>
  <c r="P499" i="1"/>
  <c r="S499" i="1" s="1"/>
  <c r="V499" i="1"/>
  <c r="W228" i="1"/>
  <c r="P228" i="1"/>
  <c r="R228" i="1"/>
  <c r="V228" i="1"/>
  <c r="X228" i="1"/>
  <c r="T228" i="1" s="1"/>
  <c r="U228" i="1" s="1"/>
  <c r="V717" i="1"/>
  <c r="R717" i="1"/>
  <c r="V685" i="1"/>
  <c r="P685" i="1"/>
  <c r="R643" i="1"/>
  <c r="V643" i="1"/>
  <c r="W643" i="1"/>
  <c r="V635" i="1"/>
  <c r="R635" i="1"/>
  <c r="W635" i="1"/>
  <c r="X635" i="1"/>
  <c r="T635" i="1" s="1"/>
  <c r="U635" i="1" s="1"/>
  <c r="P635" i="1"/>
  <c r="R604" i="1"/>
  <c r="V604" i="1"/>
  <c r="P604" i="1"/>
  <c r="S604" i="1" s="1"/>
  <c r="R562" i="1"/>
  <c r="V562" i="1"/>
  <c r="W562" i="1"/>
  <c r="R559" i="1"/>
  <c r="V559" i="1"/>
  <c r="P559" i="1"/>
  <c r="V552" i="1"/>
  <c r="W552" i="1"/>
  <c r="V357" i="1"/>
  <c r="P357" i="1"/>
  <c r="X616" i="1"/>
  <c r="T616" i="1" s="1"/>
  <c r="U616" i="1" s="1"/>
  <c r="X592" i="1"/>
  <c r="T592" i="1" s="1"/>
  <c r="U592" i="1" s="1"/>
  <c r="X571" i="1"/>
  <c r="T571" i="1" s="1"/>
  <c r="U571" i="1" s="1"/>
  <c r="V565" i="1"/>
  <c r="V561" i="1"/>
  <c r="X557" i="1"/>
  <c r="T557" i="1" s="1"/>
  <c r="U557" i="1" s="1"/>
  <c r="P507" i="1"/>
  <c r="S507" i="1" s="1"/>
  <c r="W506" i="1"/>
  <c r="P467" i="1"/>
  <c r="S467" i="1" s="1"/>
  <c r="W467" i="1"/>
  <c r="P449" i="1"/>
  <c r="X447" i="1"/>
  <c r="T447" i="1" s="1"/>
  <c r="U447" i="1" s="1"/>
  <c r="W429" i="1"/>
  <c r="X429" i="1"/>
  <c r="T429" i="1" s="1"/>
  <c r="U429" i="1" s="1"/>
  <c r="R404" i="1"/>
  <c r="V404" i="1"/>
  <c r="W397" i="1"/>
  <c r="X397" i="1"/>
  <c r="T397" i="1" s="1"/>
  <c r="U397" i="1" s="1"/>
  <c r="W392" i="1"/>
  <c r="X392" i="1"/>
  <c r="T392" i="1" s="1"/>
  <c r="U392" i="1" s="1"/>
  <c r="P392" i="1"/>
  <c r="S392" i="1" s="1"/>
  <c r="R392" i="1"/>
  <c r="S349" i="1"/>
  <c r="Q349" i="1"/>
  <c r="R215" i="1"/>
  <c r="P215" i="1"/>
  <c r="V215" i="1"/>
  <c r="W215" i="1"/>
  <c r="X215" i="1"/>
  <c r="T215" i="1" s="1"/>
  <c r="U215" i="1" s="1"/>
  <c r="X707" i="1"/>
  <c r="T707" i="1" s="1"/>
  <c r="U707" i="1" s="1"/>
  <c r="V694" i="1"/>
  <c r="R679" i="1"/>
  <c r="X674" i="1"/>
  <c r="T674" i="1" s="1"/>
  <c r="U674" i="1" s="1"/>
  <c r="R663" i="1"/>
  <c r="V661" i="1"/>
  <c r="V654" i="1"/>
  <c r="R651" i="1"/>
  <c r="R638" i="1"/>
  <c r="X636" i="1"/>
  <c r="T636" i="1" s="1"/>
  <c r="U636" i="1" s="1"/>
  <c r="V634" i="1"/>
  <c r="R628" i="1"/>
  <c r="W620" i="1"/>
  <c r="V616" i="1"/>
  <c r="W612" i="1"/>
  <c r="V610" i="1"/>
  <c r="R606" i="1"/>
  <c r="V592" i="1"/>
  <c r="X586" i="1"/>
  <c r="T586" i="1" s="1"/>
  <c r="U586" i="1" s="1"/>
  <c r="W571" i="1"/>
  <c r="W557" i="1"/>
  <c r="V543" i="1"/>
  <c r="R536" i="1"/>
  <c r="W504" i="1"/>
  <c r="X491" i="1"/>
  <c r="T491" i="1" s="1"/>
  <c r="U491" i="1" s="1"/>
  <c r="R487" i="1"/>
  <c r="V455" i="1"/>
  <c r="W447" i="1"/>
  <c r="R441" i="1"/>
  <c r="W398" i="1"/>
  <c r="X398" i="1"/>
  <c r="T398" i="1" s="1"/>
  <c r="U398" i="1" s="1"/>
  <c r="P398" i="1"/>
  <c r="S398" i="1" s="1"/>
  <c r="R398" i="1"/>
  <c r="W390" i="1"/>
  <c r="X390" i="1"/>
  <c r="T390" i="1" s="1"/>
  <c r="U390" i="1" s="1"/>
  <c r="W370" i="1"/>
  <c r="P370" i="1"/>
  <c r="Q370" i="1" s="1"/>
  <c r="V370" i="1"/>
  <c r="V365" i="1"/>
  <c r="R365" i="1"/>
  <c r="W365" i="1"/>
  <c r="X365" i="1"/>
  <c r="T365" i="1" s="1"/>
  <c r="U365" i="1" s="1"/>
  <c r="W350" i="1"/>
  <c r="V350" i="1"/>
  <c r="P350" i="1"/>
  <c r="S350" i="1" s="1"/>
  <c r="R350" i="1"/>
  <c r="X350" i="1"/>
  <c r="T350" i="1" s="1"/>
  <c r="U350" i="1" s="1"/>
  <c r="V287" i="1"/>
  <c r="P287" i="1"/>
  <c r="W225" i="1"/>
  <c r="V225" i="1"/>
  <c r="V159" i="1"/>
  <c r="W159" i="1"/>
  <c r="X159" i="1"/>
  <c r="T159" i="1" s="1"/>
  <c r="U159" i="1" s="1"/>
  <c r="P159" i="1"/>
  <c r="S159" i="1" s="1"/>
  <c r="R159" i="1"/>
  <c r="R312" i="1"/>
  <c r="W312" i="1"/>
  <c r="X312" i="1"/>
  <c r="T312" i="1" s="1"/>
  <c r="U312" i="1" s="1"/>
  <c r="P312" i="1"/>
  <c r="Q312" i="1" s="1"/>
  <c r="V312" i="1"/>
  <c r="R438" i="1"/>
  <c r="P438" i="1"/>
  <c r="Q438" i="1" s="1"/>
  <c r="W406" i="1"/>
  <c r="X406" i="1"/>
  <c r="T406" i="1" s="1"/>
  <c r="U406" i="1" s="1"/>
  <c r="P406" i="1"/>
  <c r="S406" i="1" s="1"/>
  <c r="R406" i="1"/>
  <c r="W402" i="1"/>
  <c r="V402" i="1"/>
  <c r="P402" i="1"/>
  <c r="Q402" i="1" s="1"/>
  <c r="W400" i="1"/>
  <c r="X400" i="1"/>
  <c r="T400" i="1" s="1"/>
  <c r="U400" i="1" s="1"/>
  <c r="R288" i="1"/>
  <c r="P288" i="1"/>
  <c r="V257" i="1"/>
  <c r="W257" i="1"/>
  <c r="R724" i="1"/>
  <c r="R718" i="1"/>
  <c r="V670" i="1"/>
  <c r="P641" i="1"/>
  <c r="S641" i="1" s="1"/>
  <c r="X606" i="1"/>
  <c r="T606" i="1" s="1"/>
  <c r="U606" i="1" s="1"/>
  <c r="V569" i="1"/>
  <c r="V568" i="1"/>
  <c r="P543" i="1"/>
  <c r="R512" i="1"/>
  <c r="R472" i="1"/>
  <c r="R467" i="1"/>
  <c r="P451" i="1"/>
  <c r="V450" i="1"/>
  <c r="V449" i="1"/>
  <c r="P446" i="1"/>
  <c r="S446" i="1" s="1"/>
  <c r="P429" i="1"/>
  <c r="S429" i="1" s="1"/>
  <c r="W413" i="1"/>
  <c r="P413" i="1"/>
  <c r="Q413" i="1" s="1"/>
  <c r="R413" i="1"/>
  <c r="V392" i="1"/>
  <c r="W389" i="1"/>
  <c r="P358" i="1"/>
  <c r="Q358" i="1" s="1"/>
  <c r="R358" i="1"/>
  <c r="V358" i="1"/>
  <c r="P352" i="1"/>
  <c r="R352" i="1"/>
  <c r="V352" i="1"/>
  <c r="W340" i="1"/>
  <c r="X340" i="1"/>
  <c r="T340" i="1" s="1"/>
  <c r="U340" i="1" s="1"/>
  <c r="R340" i="1"/>
  <c r="V340" i="1"/>
  <c r="V333" i="1"/>
  <c r="W333" i="1"/>
  <c r="X333" i="1"/>
  <c r="T333" i="1" s="1"/>
  <c r="U333" i="1" s="1"/>
  <c r="P333" i="1"/>
  <c r="W314" i="1"/>
  <c r="R314" i="1"/>
  <c r="V314" i="1"/>
  <c r="P314" i="1"/>
  <c r="S289" i="1"/>
  <c r="Q289" i="1"/>
  <c r="V222" i="1"/>
  <c r="W222" i="1"/>
  <c r="X222" i="1"/>
  <c r="T222" i="1" s="1"/>
  <c r="U222" i="1" s="1"/>
  <c r="P222" i="1"/>
  <c r="S222" i="1" s="1"/>
  <c r="R222" i="1"/>
  <c r="V213" i="1"/>
  <c r="P213" i="1"/>
  <c r="Q213" i="1" s="1"/>
  <c r="R213" i="1"/>
  <c r="W213" i="1"/>
  <c r="X507" i="1"/>
  <c r="T507" i="1" s="1"/>
  <c r="U507" i="1" s="1"/>
  <c r="P462" i="1"/>
  <c r="S462" i="1" s="1"/>
  <c r="V462" i="1"/>
  <c r="R449" i="1"/>
  <c r="Q447" i="1"/>
  <c r="S447" i="1"/>
  <c r="P432" i="1"/>
  <c r="Q432" i="1" s="1"/>
  <c r="X432" i="1"/>
  <c r="T432" i="1" s="1"/>
  <c r="U432" i="1" s="1"/>
  <c r="W423" i="1"/>
  <c r="X423" i="1"/>
  <c r="T423" i="1" s="1"/>
  <c r="U423" i="1" s="1"/>
  <c r="R423" i="1"/>
  <c r="V400" i="1"/>
  <c r="W386" i="1"/>
  <c r="V386" i="1"/>
  <c r="X386" i="1"/>
  <c r="T386" i="1" s="1"/>
  <c r="U386" i="1" s="1"/>
  <c r="P386" i="1"/>
  <c r="S386" i="1" s="1"/>
  <c r="R386" i="1"/>
  <c r="R363" i="1"/>
  <c r="P363" i="1"/>
  <c r="S363" i="1" s="1"/>
  <c r="X363" i="1"/>
  <c r="T363" i="1" s="1"/>
  <c r="U363" i="1" s="1"/>
  <c r="W348" i="1"/>
  <c r="X348" i="1"/>
  <c r="T348" i="1" s="1"/>
  <c r="U348" i="1" s="1"/>
  <c r="R348" i="1"/>
  <c r="V348" i="1"/>
  <c r="R293" i="1"/>
  <c r="V293" i="1"/>
  <c r="W293" i="1"/>
  <c r="P293" i="1"/>
  <c r="X293" i="1"/>
  <c r="T293" i="1" s="1"/>
  <c r="U293" i="1" s="1"/>
  <c r="R290" i="1"/>
  <c r="V290" i="1"/>
  <c r="W290" i="1"/>
  <c r="P290" i="1"/>
  <c r="S290" i="1" s="1"/>
  <c r="X290" i="1"/>
  <c r="T290" i="1" s="1"/>
  <c r="U290" i="1" s="1"/>
  <c r="S237" i="1"/>
  <c r="Q237" i="1"/>
  <c r="P231" i="1"/>
  <c r="R231" i="1"/>
  <c r="W231" i="1"/>
  <c r="V231" i="1"/>
  <c r="X231" i="1"/>
  <c r="T231" i="1" s="1"/>
  <c r="U231" i="1" s="1"/>
  <c r="V190" i="1"/>
  <c r="P190" i="1"/>
  <c r="Q190" i="1" s="1"/>
  <c r="X190" i="1"/>
  <c r="T190" i="1" s="1"/>
  <c r="U190" i="1" s="1"/>
  <c r="W190" i="1"/>
  <c r="R190" i="1"/>
  <c r="V142" i="1"/>
  <c r="P142" i="1"/>
  <c r="Q142" i="1" s="1"/>
  <c r="W142" i="1"/>
  <c r="R142" i="1"/>
  <c r="X142" i="1"/>
  <c r="T142" i="1" s="1"/>
  <c r="U142" i="1" s="1"/>
  <c r="R78" i="1"/>
  <c r="P78" i="1"/>
  <c r="W78" i="1"/>
  <c r="V78" i="1"/>
  <c r="X78" i="1"/>
  <c r="T78" i="1" s="1"/>
  <c r="U78" i="1" s="1"/>
  <c r="V663" i="1"/>
  <c r="X654" i="1"/>
  <c r="T654" i="1" s="1"/>
  <c r="U654" i="1" s="1"/>
  <c r="W536" i="1"/>
  <c r="V515" i="1"/>
  <c r="V507" i="1"/>
  <c r="V475" i="1"/>
  <c r="R468" i="1"/>
  <c r="P468" i="1"/>
  <c r="W438" i="1"/>
  <c r="R436" i="1"/>
  <c r="W436" i="1"/>
  <c r="R433" i="1"/>
  <c r="X433" i="1"/>
  <c r="T433" i="1" s="1"/>
  <c r="U433" i="1" s="1"/>
  <c r="X431" i="1"/>
  <c r="T431" i="1" s="1"/>
  <c r="U431" i="1" s="1"/>
  <c r="R431" i="1"/>
  <c r="P425" i="1"/>
  <c r="S425" i="1" s="1"/>
  <c r="R425" i="1"/>
  <c r="W421" i="1"/>
  <c r="P421" i="1"/>
  <c r="Q421" i="1" s="1"/>
  <c r="R421" i="1"/>
  <c r="X402" i="1"/>
  <c r="T402" i="1" s="1"/>
  <c r="U402" i="1" s="1"/>
  <c r="R400" i="1"/>
  <c r="V369" i="1"/>
  <c r="W369" i="1"/>
  <c r="W364" i="1"/>
  <c r="V364" i="1"/>
  <c r="X364" i="1"/>
  <c r="T364" i="1" s="1"/>
  <c r="U364" i="1" s="1"/>
  <c r="R364" i="1"/>
  <c r="S341" i="1"/>
  <c r="Q341" i="1"/>
  <c r="P286" i="1"/>
  <c r="R286" i="1"/>
  <c r="W286" i="1"/>
  <c r="V286" i="1"/>
  <c r="X286" i="1"/>
  <c r="T286" i="1" s="1"/>
  <c r="U286" i="1" s="1"/>
  <c r="P223" i="1"/>
  <c r="R223" i="1"/>
  <c r="X223" i="1"/>
  <c r="T223" i="1" s="1"/>
  <c r="U223" i="1" s="1"/>
  <c r="W223" i="1"/>
  <c r="V223" i="1"/>
  <c r="X408" i="1"/>
  <c r="T408" i="1" s="1"/>
  <c r="U408" i="1" s="1"/>
  <c r="X360" i="1"/>
  <c r="T360" i="1" s="1"/>
  <c r="U360" i="1" s="1"/>
  <c r="X344" i="1"/>
  <c r="T344" i="1" s="1"/>
  <c r="U344" i="1" s="1"/>
  <c r="R322" i="1"/>
  <c r="P322" i="1"/>
  <c r="X320" i="1"/>
  <c r="T320" i="1" s="1"/>
  <c r="U320" i="1" s="1"/>
  <c r="V320" i="1"/>
  <c r="R315" i="1"/>
  <c r="V315" i="1"/>
  <c r="R298" i="1"/>
  <c r="W298" i="1"/>
  <c r="W282" i="1"/>
  <c r="R282" i="1"/>
  <c r="V282" i="1"/>
  <c r="P282" i="1"/>
  <c r="W270" i="1"/>
  <c r="R270" i="1"/>
  <c r="V270" i="1"/>
  <c r="X270" i="1"/>
  <c r="T270" i="1" s="1"/>
  <c r="U270" i="1" s="1"/>
  <c r="V245" i="1"/>
  <c r="P245" i="1"/>
  <c r="Q245" i="1" s="1"/>
  <c r="R245" i="1"/>
  <c r="R187" i="1"/>
  <c r="V187" i="1"/>
  <c r="X187" i="1"/>
  <c r="T187" i="1" s="1"/>
  <c r="U187" i="1" s="1"/>
  <c r="P187" i="1"/>
  <c r="Q187" i="1" s="1"/>
  <c r="W165" i="1"/>
  <c r="V165" i="1"/>
  <c r="X165" i="1"/>
  <c r="T165" i="1" s="1"/>
  <c r="U165" i="1" s="1"/>
  <c r="W113" i="1"/>
  <c r="P113" i="1"/>
  <c r="Q113" i="1" s="1"/>
  <c r="W101" i="1"/>
  <c r="P101" i="1"/>
  <c r="S101" i="1" s="1"/>
  <c r="R101" i="1"/>
  <c r="V101" i="1"/>
  <c r="X101" i="1"/>
  <c r="T101" i="1" s="1"/>
  <c r="U101" i="1" s="1"/>
  <c r="R331" i="1"/>
  <c r="W331" i="1"/>
  <c r="R318" i="1"/>
  <c r="P318" i="1"/>
  <c r="Q318" i="1" s="1"/>
  <c r="V317" i="1"/>
  <c r="X317" i="1"/>
  <c r="T317" i="1" s="1"/>
  <c r="U317" i="1" s="1"/>
  <c r="P317" i="1"/>
  <c r="S317" i="1" s="1"/>
  <c r="V301" i="1"/>
  <c r="W301" i="1"/>
  <c r="W236" i="1"/>
  <c r="P236" i="1"/>
  <c r="V236" i="1"/>
  <c r="X199" i="1"/>
  <c r="T199" i="1" s="1"/>
  <c r="U199" i="1" s="1"/>
  <c r="P199" i="1"/>
  <c r="R199" i="1"/>
  <c r="V189" i="1"/>
  <c r="W189" i="1"/>
  <c r="P189" i="1"/>
  <c r="Q189" i="1" s="1"/>
  <c r="R189" i="1"/>
  <c r="X189" i="1"/>
  <c r="T189" i="1" s="1"/>
  <c r="U189" i="1" s="1"/>
  <c r="P182" i="1"/>
  <c r="R182" i="1"/>
  <c r="V167" i="1"/>
  <c r="R167" i="1"/>
  <c r="P167" i="1"/>
  <c r="S167" i="1" s="1"/>
  <c r="V144" i="1"/>
  <c r="W144" i="1"/>
  <c r="X144" i="1"/>
  <c r="T144" i="1" s="1"/>
  <c r="U144" i="1" s="1"/>
  <c r="P144" i="1"/>
  <c r="X140" i="1"/>
  <c r="T140" i="1" s="1"/>
  <c r="U140" i="1" s="1"/>
  <c r="P140" i="1"/>
  <c r="Q140" i="1" s="1"/>
  <c r="W136" i="1"/>
  <c r="R136" i="1"/>
  <c r="V136" i="1"/>
  <c r="X131" i="1"/>
  <c r="T131" i="1" s="1"/>
  <c r="U131" i="1" s="1"/>
  <c r="P131" i="1"/>
  <c r="Q131" i="1" s="1"/>
  <c r="V131" i="1"/>
  <c r="P123" i="1"/>
  <c r="Q123" i="1" s="1"/>
  <c r="X123" i="1"/>
  <c r="T123" i="1" s="1"/>
  <c r="U123" i="1" s="1"/>
  <c r="V123" i="1"/>
  <c r="X232" i="1"/>
  <c r="T232" i="1" s="1"/>
  <c r="U232" i="1" s="1"/>
  <c r="V206" i="1"/>
  <c r="R206" i="1"/>
  <c r="P206" i="1"/>
  <c r="Q206" i="1" s="1"/>
  <c r="W206" i="1"/>
  <c r="R195" i="1"/>
  <c r="P195" i="1"/>
  <c r="S195" i="1" s="1"/>
  <c r="V195" i="1"/>
  <c r="X195" i="1"/>
  <c r="T195" i="1" s="1"/>
  <c r="U195" i="1" s="1"/>
  <c r="W141" i="1"/>
  <c r="X141" i="1"/>
  <c r="T141" i="1" s="1"/>
  <c r="U141" i="1" s="1"/>
  <c r="P141" i="1"/>
  <c r="Q141" i="1" s="1"/>
  <c r="V141" i="1"/>
  <c r="V127" i="1"/>
  <c r="X127" i="1"/>
  <c r="T127" i="1" s="1"/>
  <c r="U127" i="1" s="1"/>
  <c r="P127" i="1"/>
  <c r="Q127" i="1" s="1"/>
  <c r="X91" i="1"/>
  <c r="T91" i="1" s="1"/>
  <c r="U91" i="1" s="1"/>
  <c r="P91" i="1"/>
  <c r="V91" i="1"/>
  <c r="W91" i="1"/>
  <c r="R91" i="1"/>
  <c r="P77" i="1"/>
  <c r="Q77" i="1" s="1"/>
  <c r="R77" i="1"/>
  <c r="V77" i="1"/>
  <c r="P39" i="1"/>
  <c r="S39" i="1" s="1"/>
  <c r="X39" i="1"/>
  <c r="T39" i="1" s="1"/>
  <c r="U39" i="1" s="1"/>
  <c r="W39" i="1"/>
  <c r="P419" i="1"/>
  <c r="Q419" i="1" s="1"/>
  <c r="V418" i="1"/>
  <c r="P411" i="1"/>
  <c r="Q411" i="1" s="1"/>
  <c r="V410" i="1"/>
  <c r="R408" i="1"/>
  <c r="P403" i="1"/>
  <c r="R394" i="1"/>
  <c r="W383" i="1"/>
  <c r="P371" i="1"/>
  <c r="S371" i="1" s="1"/>
  <c r="R355" i="1"/>
  <c r="V355" i="1"/>
  <c r="V328" i="1"/>
  <c r="P328" i="1"/>
  <c r="S328" i="1" s="1"/>
  <c r="R326" i="1"/>
  <c r="V326" i="1"/>
  <c r="P320" i="1"/>
  <c r="Q320" i="1" s="1"/>
  <c r="W315" i="1"/>
  <c r="R307" i="1"/>
  <c r="V307" i="1"/>
  <c r="X301" i="1"/>
  <c r="T301" i="1" s="1"/>
  <c r="U301" i="1" s="1"/>
  <c r="V298" i="1"/>
  <c r="P270" i="1"/>
  <c r="S270" i="1" s="1"/>
  <c r="V264" i="1"/>
  <c r="W264" i="1"/>
  <c r="P264" i="1"/>
  <c r="S264" i="1" s="1"/>
  <c r="W258" i="1"/>
  <c r="R258" i="1"/>
  <c r="V258" i="1"/>
  <c r="P258" i="1"/>
  <c r="V254" i="1"/>
  <c r="W254" i="1"/>
  <c r="P254" i="1"/>
  <c r="Q254" i="1" s="1"/>
  <c r="W247" i="1"/>
  <c r="R247" i="1"/>
  <c r="P244" i="1"/>
  <c r="R240" i="1"/>
  <c r="V240" i="1"/>
  <c r="P240" i="1"/>
  <c r="P232" i="1"/>
  <c r="W217" i="1"/>
  <c r="V214" i="1"/>
  <c r="P214" i="1"/>
  <c r="Q214" i="1" s="1"/>
  <c r="W214" i="1"/>
  <c r="V199" i="1"/>
  <c r="W182" i="1"/>
  <c r="R176" i="1"/>
  <c r="V176" i="1"/>
  <c r="V175" i="1"/>
  <c r="P175" i="1"/>
  <c r="Q175" i="1" s="1"/>
  <c r="R174" i="1"/>
  <c r="W174" i="1"/>
  <c r="P174" i="1"/>
  <c r="Q174" i="1" s="1"/>
  <c r="W167" i="1"/>
  <c r="R165" i="1"/>
  <c r="P161" i="1"/>
  <c r="V161" i="1"/>
  <c r="W161" i="1"/>
  <c r="V154" i="1"/>
  <c r="X136" i="1"/>
  <c r="T136" i="1" s="1"/>
  <c r="U136" i="1" s="1"/>
  <c r="P42" i="1"/>
  <c r="Q42" i="1" s="1"/>
  <c r="R42" i="1"/>
  <c r="W42" i="1"/>
  <c r="V42" i="1"/>
  <c r="X42" i="1"/>
  <c r="T42" i="1" s="1"/>
  <c r="U42" i="1" s="1"/>
  <c r="P394" i="1"/>
  <c r="S394" i="1" s="1"/>
  <c r="V393" i="1"/>
  <c r="P387" i="1"/>
  <c r="W351" i="1"/>
  <c r="P334" i="1"/>
  <c r="Q334" i="1" s="1"/>
  <c r="V331" i="1"/>
  <c r="W317" i="1"/>
  <c r="V309" i="1"/>
  <c r="P309" i="1"/>
  <c r="R306" i="1"/>
  <c r="W306" i="1"/>
  <c r="P301" i="1"/>
  <c r="Q301" i="1" s="1"/>
  <c r="R275" i="1"/>
  <c r="W275" i="1"/>
  <c r="P275" i="1"/>
  <c r="Q275" i="1" s="1"/>
  <c r="R259" i="1"/>
  <c r="P259" i="1"/>
  <c r="V259" i="1"/>
  <c r="P256" i="1"/>
  <c r="S256" i="1" s="1"/>
  <c r="W256" i="1"/>
  <c r="V237" i="1"/>
  <c r="R237" i="1"/>
  <c r="R236" i="1"/>
  <c r="P208" i="1"/>
  <c r="R208" i="1"/>
  <c r="V208" i="1"/>
  <c r="W208" i="1"/>
  <c r="V182" i="1"/>
  <c r="R181" i="1"/>
  <c r="P153" i="1"/>
  <c r="S153" i="1" s="1"/>
  <c r="W153" i="1"/>
  <c r="R153" i="1"/>
  <c r="V153" i="1"/>
  <c r="R144" i="1"/>
  <c r="V140" i="1"/>
  <c r="P136" i="1"/>
  <c r="W127" i="1"/>
  <c r="V96" i="1"/>
  <c r="W96" i="1"/>
  <c r="W354" i="1"/>
  <c r="X354" i="1"/>
  <c r="T354" i="1" s="1"/>
  <c r="U354" i="1" s="1"/>
  <c r="X304" i="1"/>
  <c r="T304" i="1" s="1"/>
  <c r="U304" i="1" s="1"/>
  <c r="V304" i="1"/>
  <c r="W297" i="1"/>
  <c r="X297" i="1"/>
  <c r="T297" i="1" s="1"/>
  <c r="U297" i="1" s="1"/>
  <c r="P297" i="1"/>
  <c r="V276" i="1"/>
  <c r="X276" i="1"/>
  <c r="T276" i="1" s="1"/>
  <c r="U276" i="1" s="1"/>
  <c r="R248" i="1"/>
  <c r="V248" i="1"/>
  <c r="W248" i="1"/>
  <c r="P248" i="1"/>
  <c r="R81" i="1"/>
  <c r="W81" i="1"/>
  <c r="P99" i="1"/>
  <c r="S99" i="1" s="1"/>
  <c r="W99" i="1"/>
  <c r="R99" i="1"/>
  <c r="W49" i="1"/>
  <c r="V49" i="1"/>
  <c r="S44" i="1"/>
  <c r="Q44" i="1"/>
  <c r="R20" i="1"/>
  <c r="V20" i="1"/>
  <c r="W20" i="1"/>
  <c r="P20" i="1"/>
  <c r="W292" i="1"/>
  <c r="W280" i="1"/>
  <c r="X253" i="1"/>
  <c r="T253" i="1" s="1"/>
  <c r="U253" i="1" s="1"/>
  <c r="V238" i="1"/>
  <c r="R224" i="1"/>
  <c r="X221" i="1"/>
  <c r="T221" i="1" s="1"/>
  <c r="U221" i="1" s="1"/>
  <c r="V216" i="1"/>
  <c r="R205" i="1"/>
  <c r="V203" i="1"/>
  <c r="X202" i="1"/>
  <c r="T202" i="1" s="1"/>
  <c r="U202" i="1" s="1"/>
  <c r="R198" i="1"/>
  <c r="X173" i="1"/>
  <c r="T173" i="1" s="1"/>
  <c r="U173" i="1" s="1"/>
  <c r="R168" i="1"/>
  <c r="R152" i="1"/>
  <c r="P145" i="1"/>
  <c r="V145" i="1"/>
  <c r="R109" i="1"/>
  <c r="W109" i="1"/>
  <c r="P109" i="1"/>
  <c r="W75" i="1"/>
  <c r="P75" i="1"/>
  <c r="S75" i="1" s="1"/>
  <c r="V74" i="1"/>
  <c r="R74" i="1"/>
  <c r="W74" i="1"/>
  <c r="P59" i="1"/>
  <c r="S59" i="1" s="1"/>
  <c r="X59" i="1"/>
  <c r="T59" i="1" s="1"/>
  <c r="U59" i="1" s="1"/>
  <c r="V52" i="1"/>
  <c r="X52" i="1"/>
  <c r="T52" i="1" s="1"/>
  <c r="U52" i="1" s="1"/>
  <c r="P52" i="1"/>
  <c r="Q52" i="1" s="1"/>
  <c r="V51" i="1"/>
  <c r="P51" i="1"/>
  <c r="R51" i="1"/>
  <c r="X51" i="1"/>
  <c r="T51" i="1" s="1"/>
  <c r="U51" i="1" s="1"/>
  <c r="V26" i="1"/>
  <c r="W26" i="1"/>
  <c r="X26" i="1"/>
  <c r="T26" i="1" s="1"/>
  <c r="U26" i="1" s="1"/>
  <c r="P26" i="1"/>
  <c r="Q26" i="1" s="1"/>
  <c r="R26" i="1"/>
  <c r="Q277" i="1"/>
  <c r="X168" i="1"/>
  <c r="T168" i="1" s="1"/>
  <c r="U168" i="1" s="1"/>
  <c r="V158" i="1"/>
  <c r="P158" i="1"/>
  <c r="W157" i="1"/>
  <c r="R157" i="1"/>
  <c r="V156" i="1"/>
  <c r="P156" i="1"/>
  <c r="W133" i="1"/>
  <c r="R133" i="1"/>
  <c r="P132" i="1"/>
  <c r="S132" i="1" s="1"/>
  <c r="X132" i="1"/>
  <c r="T132" i="1" s="1"/>
  <c r="U132" i="1" s="1"/>
  <c r="V119" i="1"/>
  <c r="W119" i="1"/>
  <c r="P108" i="1"/>
  <c r="S108" i="1" s="1"/>
  <c r="V99" i="1"/>
  <c r="X49" i="1"/>
  <c r="T49" i="1" s="1"/>
  <c r="U49" i="1" s="1"/>
  <c r="X20" i="1"/>
  <c r="T20" i="1" s="1"/>
  <c r="U20" i="1" s="1"/>
  <c r="P200" i="1"/>
  <c r="R200" i="1"/>
  <c r="P177" i="1"/>
  <c r="S177" i="1" s="1"/>
  <c r="W177" i="1"/>
  <c r="P128" i="1"/>
  <c r="R128" i="1"/>
  <c r="X128" i="1"/>
  <c r="T128" i="1" s="1"/>
  <c r="U128" i="1" s="1"/>
  <c r="P121" i="1"/>
  <c r="V121" i="1"/>
  <c r="V118" i="1"/>
  <c r="P118" i="1"/>
  <c r="Q118" i="1" s="1"/>
  <c r="R71" i="1"/>
  <c r="P71" i="1"/>
  <c r="W71" i="1"/>
  <c r="R70" i="1"/>
  <c r="V70" i="1"/>
  <c r="W70" i="1"/>
  <c r="P70" i="1"/>
  <c r="R66" i="1"/>
  <c r="V66" i="1"/>
  <c r="P28" i="1"/>
  <c r="R28" i="1"/>
  <c r="W28" i="1"/>
  <c r="X310" i="1"/>
  <c r="T310" i="1" s="1"/>
  <c r="U310" i="1" s="1"/>
  <c r="W230" i="1"/>
  <c r="W224" i="1"/>
  <c r="V211" i="1"/>
  <c r="X205" i="1"/>
  <c r="T205" i="1" s="1"/>
  <c r="U205" i="1" s="1"/>
  <c r="W198" i="1"/>
  <c r="V152" i="1"/>
  <c r="X119" i="1"/>
  <c r="T119" i="1" s="1"/>
  <c r="U119" i="1" s="1"/>
  <c r="R86" i="1"/>
  <c r="V86" i="1"/>
  <c r="R85" i="1"/>
  <c r="P85" i="1"/>
  <c r="Q85" i="1" s="1"/>
  <c r="W85" i="1"/>
  <c r="R68" i="1"/>
  <c r="W68" i="1"/>
  <c r="P68" i="1"/>
  <c r="S23" i="1"/>
  <c r="R151" i="1"/>
  <c r="W143" i="1"/>
  <c r="W137" i="1"/>
  <c r="R129" i="1"/>
  <c r="R114" i="1"/>
  <c r="X65" i="1"/>
  <c r="T65" i="1" s="1"/>
  <c r="U65" i="1" s="1"/>
  <c r="X64" i="1"/>
  <c r="T64" i="1" s="1"/>
  <c r="U64" i="1" s="1"/>
  <c r="R57" i="1"/>
  <c r="X48" i="1"/>
  <c r="T48" i="1" s="1"/>
  <c r="U48" i="1" s="1"/>
  <c r="V40" i="1"/>
  <c r="X32" i="1"/>
  <c r="T32" i="1" s="1"/>
  <c r="U32" i="1" s="1"/>
  <c r="X24" i="1"/>
  <c r="T24" i="1" s="1"/>
  <c r="U24" i="1" s="1"/>
  <c r="V18" i="1"/>
  <c r="V79" i="1"/>
  <c r="W58" i="1"/>
  <c r="V46" i="1"/>
  <c r="V36" i="1"/>
  <c r="P32" i="1"/>
  <c r="Q32" i="1" s="1"/>
  <c r="V21" i="1"/>
  <c r="W61" i="1"/>
  <c r="V58" i="1"/>
  <c r="X151" i="1"/>
  <c r="T151" i="1" s="1"/>
  <c r="U151" i="1" s="1"/>
  <c r="R79" i="1"/>
  <c r="R72" i="1"/>
  <c r="W50" i="1"/>
  <c r="Q970" i="1"/>
  <c r="S970" i="1"/>
  <c r="Q986" i="1"/>
  <c r="S986" i="1"/>
  <c r="V994" i="1"/>
  <c r="W994" i="1"/>
  <c r="S817" i="1"/>
  <c r="Q817" i="1"/>
  <c r="R686" i="1"/>
  <c r="W686" i="1"/>
  <c r="P686" i="1"/>
  <c r="V686" i="1"/>
  <c r="X686" i="1"/>
  <c r="T686" i="1" s="1"/>
  <c r="U686" i="1" s="1"/>
  <c r="V881" i="1"/>
  <c r="W881" i="1"/>
  <c r="X881" i="1"/>
  <c r="T881" i="1" s="1"/>
  <c r="U881" i="1" s="1"/>
  <c r="P881" i="1"/>
  <c r="R881" i="1"/>
  <c r="W856" i="1"/>
  <c r="V856" i="1"/>
  <c r="P856" i="1"/>
  <c r="S682" i="1"/>
  <c r="Q682" i="1"/>
  <c r="V967" i="1"/>
  <c r="W967" i="1"/>
  <c r="P967" i="1"/>
  <c r="X967" i="1"/>
  <c r="T967" i="1" s="1"/>
  <c r="U967" i="1" s="1"/>
  <c r="R967" i="1"/>
  <c r="X856" i="1"/>
  <c r="T856" i="1" s="1"/>
  <c r="U856" i="1" s="1"/>
  <c r="W780" i="1"/>
  <c r="X780" i="1"/>
  <c r="T780" i="1" s="1"/>
  <c r="U780" i="1" s="1"/>
  <c r="V780" i="1"/>
  <c r="P780" i="1"/>
  <c r="R780" i="1"/>
  <c r="V991" i="1"/>
  <c r="W991" i="1"/>
  <c r="P991" i="1"/>
  <c r="X991" i="1"/>
  <c r="T991" i="1" s="1"/>
  <c r="U991" i="1" s="1"/>
  <c r="W969" i="1"/>
  <c r="X994" i="1"/>
  <c r="T994" i="1" s="1"/>
  <c r="U994" i="1" s="1"/>
  <c r="P993" i="1"/>
  <c r="X993" i="1"/>
  <c r="T993" i="1" s="1"/>
  <c r="U993" i="1" s="1"/>
  <c r="R993" i="1"/>
  <c r="R991" i="1"/>
  <c r="R981" i="1"/>
  <c r="V975" i="1"/>
  <c r="W975" i="1"/>
  <c r="P975" i="1"/>
  <c r="X975" i="1"/>
  <c r="T975" i="1" s="1"/>
  <c r="U975" i="1" s="1"/>
  <c r="P953" i="1"/>
  <c r="X953" i="1"/>
  <c r="T953" i="1" s="1"/>
  <c r="U953" i="1" s="1"/>
  <c r="R953" i="1"/>
  <c r="V953" i="1"/>
  <c r="S952" i="1"/>
  <c r="Q952" i="1"/>
  <c r="V935" i="1"/>
  <c r="W935" i="1"/>
  <c r="P935" i="1"/>
  <c r="X935" i="1"/>
  <c r="T935" i="1" s="1"/>
  <c r="U935" i="1" s="1"/>
  <c r="R935" i="1"/>
  <c r="W912" i="1"/>
  <c r="V912" i="1"/>
  <c r="X912" i="1"/>
  <c r="T912" i="1" s="1"/>
  <c r="U912" i="1" s="1"/>
  <c r="P912" i="1"/>
  <c r="V897" i="1"/>
  <c r="P897" i="1"/>
  <c r="R897" i="1"/>
  <c r="X897" i="1"/>
  <c r="T897" i="1" s="1"/>
  <c r="U897" i="1" s="1"/>
  <c r="W838" i="1"/>
  <c r="P838" i="1"/>
  <c r="R838" i="1"/>
  <c r="V838" i="1"/>
  <c r="R773" i="1"/>
  <c r="P773" i="1"/>
  <c r="V773" i="1"/>
  <c r="W773" i="1"/>
  <c r="R699" i="1"/>
  <c r="W699" i="1"/>
  <c r="X699" i="1"/>
  <c r="T699" i="1" s="1"/>
  <c r="U699" i="1" s="1"/>
  <c r="P699" i="1"/>
  <c r="V699" i="1"/>
  <c r="V690" i="1"/>
  <c r="R690" i="1"/>
  <c r="X690" i="1"/>
  <c r="T690" i="1" s="1"/>
  <c r="U690" i="1" s="1"/>
  <c r="P690" i="1"/>
  <c r="W690" i="1"/>
  <c r="W658" i="1"/>
  <c r="V658" i="1"/>
  <c r="P658" i="1"/>
  <c r="R658" i="1"/>
  <c r="X658" i="1"/>
  <c r="T658" i="1" s="1"/>
  <c r="U658" i="1" s="1"/>
  <c r="P985" i="1"/>
  <c r="X985" i="1"/>
  <c r="T985" i="1" s="1"/>
  <c r="U985" i="1" s="1"/>
  <c r="R985" i="1"/>
  <c r="X970" i="1"/>
  <c r="T970" i="1" s="1"/>
  <c r="U970" i="1" s="1"/>
  <c r="P961" i="1"/>
  <c r="X961" i="1"/>
  <c r="T961" i="1" s="1"/>
  <c r="U961" i="1" s="1"/>
  <c r="R961" i="1"/>
  <c r="V961" i="1"/>
  <c r="S960" i="1"/>
  <c r="Q960" i="1"/>
  <c r="V943" i="1"/>
  <c r="W943" i="1"/>
  <c r="P943" i="1"/>
  <c r="X943" i="1"/>
  <c r="T943" i="1" s="1"/>
  <c r="U943" i="1" s="1"/>
  <c r="R943" i="1"/>
  <c r="W904" i="1"/>
  <c r="X904" i="1"/>
  <c r="T904" i="1" s="1"/>
  <c r="U904" i="1" s="1"/>
  <c r="P904" i="1"/>
  <c r="S892" i="1"/>
  <c r="Q892" i="1"/>
  <c r="W864" i="1"/>
  <c r="V864" i="1"/>
  <c r="X864" i="1"/>
  <c r="T864" i="1" s="1"/>
  <c r="U864" i="1" s="1"/>
  <c r="P864" i="1"/>
  <c r="Q840" i="1"/>
  <c r="S840" i="1"/>
  <c r="V811" i="1"/>
  <c r="P811" i="1"/>
  <c r="X811" i="1"/>
  <c r="T811" i="1" s="1"/>
  <c r="U811" i="1" s="1"/>
  <c r="V783" i="1"/>
  <c r="R783" i="1"/>
  <c r="P783" i="1"/>
  <c r="W783" i="1"/>
  <c r="V726" i="1"/>
  <c r="P726" i="1"/>
  <c r="X726" i="1"/>
  <c r="T726" i="1" s="1"/>
  <c r="U726" i="1" s="1"/>
  <c r="R726" i="1"/>
  <c r="P977" i="1"/>
  <c r="X977" i="1"/>
  <c r="T977" i="1" s="1"/>
  <c r="U977" i="1" s="1"/>
  <c r="R977" i="1"/>
  <c r="V951" i="1"/>
  <c r="W951" i="1"/>
  <c r="P951" i="1"/>
  <c r="X951" i="1"/>
  <c r="T951" i="1" s="1"/>
  <c r="U951" i="1" s="1"/>
  <c r="R951" i="1"/>
  <c r="W896" i="1"/>
  <c r="P896" i="1"/>
  <c r="R896" i="1"/>
  <c r="X896" i="1"/>
  <c r="T896" i="1" s="1"/>
  <c r="U896" i="1" s="1"/>
  <c r="W832" i="1"/>
  <c r="V832" i="1"/>
  <c r="X832" i="1"/>
  <c r="T832" i="1" s="1"/>
  <c r="U832" i="1" s="1"/>
  <c r="P832" i="1"/>
  <c r="W687" i="1"/>
  <c r="X687" i="1"/>
  <c r="T687" i="1" s="1"/>
  <c r="U687" i="1" s="1"/>
  <c r="P687" i="1"/>
  <c r="V687" i="1"/>
  <c r="V873" i="1"/>
  <c r="X873" i="1"/>
  <c r="T873" i="1" s="1"/>
  <c r="U873" i="1" s="1"/>
  <c r="P873" i="1"/>
  <c r="R873" i="1"/>
  <c r="W854" i="1"/>
  <c r="V854" i="1"/>
  <c r="X854" i="1"/>
  <c r="T854" i="1" s="1"/>
  <c r="U854" i="1" s="1"/>
  <c r="P854" i="1"/>
  <c r="R854" i="1"/>
  <c r="R970" i="1"/>
  <c r="V949" i="1"/>
  <c r="P949" i="1"/>
  <c r="X949" i="1"/>
  <c r="T949" i="1" s="1"/>
  <c r="U949" i="1" s="1"/>
  <c r="R949" i="1"/>
  <c r="W824" i="1"/>
  <c r="V824" i="1"/>
  <c r="P824" i="1"/>
  <c r="W800" i="1"/>
  <c r="V800" i="1"/>
  <c r="X800" i="1"/>
  <c r="T800" i="1" s="1"/>
  <c r="U800" i="1" s="1"/>
  <c r="P800" i="1"/>
  <c r="P789" i="1"/>
  <c r="X789" i="1"/>
  <c r="T789" i="1" s="1"/>
  <c r="U789" i="1" s="1"/>
  <c r="R789" i="1"/>
  <c r="V789" i="1"/>
  <c r="W789" i="1"/>
  <c r="P994" i="1"/>
  <c r="W989" i="1"/>
  <c r="W980" i="1"/>
  <c r="P980" i="1"/>
  <c r="X980" i="1"/>
  <c r="T980" i="1" s="1"/>
  <c r="U980" i="1" s="1"/>
  <c r="V957" i="1"/>
  <c r="P957" i="1"/>
  <c r="X957" i="1"/>
  <c r="T957" i="1" s="1"/>
  <c r="U957" i="1" s="1"/>
  <c r="R957" i="1"/>
  <c r="W949" i="1"/>
  <c r="W928" i="1"/>
  <c r="P928" i="1"/>
  <c r="R928" i="1"/>
  <c r="X928" i="1"/>
  <c r="T928" i="1" s="1"/>
  <c r="U928" i="1" s="1"/>
  <c r="W880" i="1"/>
  <c r="V880" i="1"/>
  <c r="X880" i="1"/>
  <c r="T880" i="1" s="1"/>
  <c r="U880" i="1" s="1"/>
  <c r="P880" i="1"/>
  <c r="W846" i="1"/>
  <c r="P846" i="1"/>
  <c r="R846" i="1"/>
  <c r="V846" i="1"/>
  <c r="R832" i="1"/>
  <c r="X824" i="1"/>
  <c r="T824" i="1" s="1"/>
  <c r="U824" i="1" s="1"/>
  <c r="P769" i="1"/>
  <c r="X769" i="1"/>
  <c r="T769" i="1" s="1"/>
  <c r="U769" i="1" s="1"/>
  <c r="W769" i="1"/>
  <c r="R769" i="1"/>
  <c r="P741" i="1"/>
  <c r="X741" i="1"/>
  <c r="T741" i="1" s="1"/>
  <c r="U741" i="1" s="1"/>
  <c r="R741" i="1"/>
  <c r="V741" i="1"/>
  <c r="R723" i="1"/>
  <c r="W723" i="1"/>
  <c r="P723" i="1"/>
  <c r="X723" i="1"/>
  <c r="T723" i="1" s="1"/>
  <c r="U723" i="1" s="1"/>
  <c r="R687" i="1"/>
  <c r="V959" i="1"/>
  <c r="W959" i="1"/>
  <c r="P959" i="1"/>
  <c r="X959" i="1"/>
  <c r="T959" i="1" s="1"/>
  <c r="U959" i="1" s="1"/>
  <c r="R959" i="1"/>
  <c r="V929" i="1"/>
  <c r="P929" i="1"/>
  <c r="R929" i="1"/>
  <c r="X929" i="1"/>
  <c r="T929" i="1" s="1"/>
  <c r="U929" i="1" s="1"/>
  <c r="W988" i="1"/>
  <c r="X988" i="1"/>
  <c r="T988" i="1" s="1"/>
  <c r="U988" i="1" s="1"/>
  <c r="P988" i="1"/>
  <c r="R986" i="1"/>
  <c r="V978" i="1"/>
  <c r="W978" i="1"/>
  <c r="R904" i="1"/>
  <c r="P805" i="1"/>
  <c r="X805" i="1"/>
  <c r="T805" i="1" s="1"/>
  <c r="U805" i="1" s="1"/>
  <c r="R805" i="1"/>
  <c r="V805" i="1"/>
  <c r="W805" i="1"/>
  <c r="R715" i="1"/>
  <c r="W715" i="1"/>
  <c r="X715" i="1"/>
  <c r="T715" i="1" s="1"/>
  <c r="U715" i="1" s="1"/>
  <c r="P715" i="1"/>
  <c r="V715" i="1"/>
  <c r="R577" i="1"/>
  <c r="P577" i="1"/>
  <c r="X577" i="1"/>
  <c r="T577" i="1" s="1"/>
  <c r="U577" i="1" s="1"/>
  <c r="V577" i="1"/>
  <c r="W577" i="1"/>
  <c r="P937" i="1"/>
  <c r="X937" i="1"/>
  <c r="T937" i="1" s="1"/>
  <c r="U937" i="1" s="1"/>
  <c r="R937" i="1"/>
  <c r="V937" i="1"/>
  <c r="V913" i="1"/>
  <c r="W913" i="1"/>
  <c r="X913" i="1"/>
  <c r="T913" i="1" s="1"/>
  <c r="U913" i="1" s="1"/>
  <c r="P913" i="1"/>
  <c r="R913" i="1"/>
  <c r="V905" i="1"/>
  <c r="X905" i="1"/>
  <c r="T905" i="1" s="1"/>
  <c r="U905" i="1" s="1"/>
  <c r="P905" i="1"/>
  <c r="R905" i="1"/>
  <c r="W872" i="1"/>
  <c r="X872" i="1"/>
  <c r="T872" i="1" s="1"/>
  <c r="U872" i="1" s="1"/>
  <c r="P872" i="1"/>
  <c r="R856" i="1"/>
  <c r="W848" i="1"/>
  <c r="V848" i="1"/>
  <c r="P848" i="1"/>
  <c r="R848" i="1"/>
  <c r="R731" i="1"/>
  <c r="W731" i="1"/>
  <c r="X731" i="1"/>
  <c r="T731" i="1" s="1"/>
  <c r="U731" i="1" s="1"/>
  <c r="P731" i="1"/>
  <c r="V731" i="1"/>
  <c r="R722" i="1"/>
  <c r="V722" i="1"/>
  <c r="P722" i="1"/>
  <c r="W722" i="1"/>
  <c r="X722" i="1"/>
  <c r="T722" i="1" s="1"/>
  <c r="U722" i="1" s="1"/>
  <c r="P676" i="1"/>
  <c r="X676" i="1"/>
  <c r="T676" i="1" s="1"/>
  <c r="U676" i="1" s="1"/>
  <c r="V676" i="1"/>
  <c r="R676" i="1"/>
  <c r="V977" i="1"/>
  <c r="V970" i="1"/>
  <c r="W970" i="1"/>
  <c r="S814" i="1"/>
  <c r="Q814" i="1"/>
  <c r="V775" i="1"/>
  <c r="X775" i="1"/>
  <c r="T775" i="1" s="1"/>
  <c r="U775" i="1" s="1"/>
  <c r="W775" i="1"/>
  <c r="P775" i="1"/>
  <c r="S760" i="1"/>
  <c r="Q760" i="1"/>
  <c r="R994" i="1"/>
  <c r="V986" i="1"/>
  <c r="W986" i="1"/>
  <c r="V941" i="1"/>
  <c r="P941" i="1"/>
  <c r="X941" i="1"/>
  <c r="T941" i="1" s="1"/>
  <c r="U941" i="1" s="1"/>
  <c r="R941" i="1"/>
  <c r="S828" i="1"/>
  <c r="Q828" i="1"/>
  <c r="W811" i="1"/>
  <c r="W726" i="1"/>
  <c r="S924" i="1"/>
  <c r="Q924" i="1"/>
  <c r="V896" i="1"/>
  <c r="W873" i="1"/>
  <c r="R811" i="1"/>
  <c r="R807" i="1"/>
  <c r="P807" i="1"/>
  <c r="X807" i="1"/>
  <c r="T807" i="1" s="1"/>
  <c r="U807" i="1" s="1"/>
  <c r="V807" i="1"/>
  <c r="V965" i="1"/>
  <c r="P965" i="1"/>
  <c r="X965" i="1"/>
  <c r="T965" i="1" s="1"/>
  <c r="U965" i="1" s="1"/>
  <c r="R965" i="1"/>
  <c r="R989" i="1"/>
  <c r="R988" i="1"/>
  <c r="V983" i="1"/>
  <c r="W983" i="1"/>
  <c r="P983" i="1"/>
  <c r="X983" i="1"/>
  <c r="T983" i="1" s="1"/>
  <c r="U983" i="1" s="1"/>
  <c r="P978" i="1"/>
  <c r="P969" i="1"/>
  <c r="X969" i="1"/>
  <c r="T969" i="1" s="1"/>
  <c r="U969" i="1" s="1"/>
  <c r="R969" i="1"/>
  <c r="W965" i="1"/>
  <c r="P945" i="1"/>
  <c r="X945" i="1"/>
  <c r="T945" i="1" s="1"/>
  <c r="U945" i="1" s="1"/>
  <c r="R945" i="1"/>
  <c r="V945" i="1"/>
  <c r="V928" i="1"/>
  <c r="W905" i="1"/>
  <c r="V872" i="1"/>
  <c r="R824" i="1"/>
  <c r="W807" i="1"/>
  <c r="R800" i="1"/>
  <c r="V795" i="1"/>
  <c r="P795" i="1"/>
  <c r="X795" i="1"/>
  <c r="T795" i="1" s="1"/>
  <c r="U795" i="1" s="1"/>
  <c r="R795" i="1"/>
  <c r="V769" i="1"/>
  <c r="X963" i="1"/>
  <c r="T963" i="1" s="1"/>
  <c r="U963" i="1" s="1"/>
  <c r="P963" i="1"/>
  <c r="X955" i="1"/>
  <c r="T955" i="1" s="1"/>
  <c r="U955" i="1" s="1"/>
  <c r="P955" i="1"/>
  <c r="X947" i="1"/>
  <c r="T947" i="1" s="1"/>
  <c r="U947" i="1" s="1"/>
  <c r="P947" i="1"/>
  <c r="X939" i="1"/>
  <c r="T939" i="1" s="1"/>
  <c r="U939" i="1" s="1"/>
  <c r="P939" i="1"/>
  <c r="V934" i="1"/>
  <c r="P921" i="1"/>
  <c r="P920" i="1"/>
  <c r="R915" i="1"/>
  <c r="P909" i="1"/>
  <c r="X909" i="1"/>
  <c r="T909" i="1" s="1"/>
  <c r="U909" i="1" s="1"/>
  <c r="R909" i="1"/>
  <c r="V907" i="1"/>
  <c r="P907" i="1"/>
  <c r="X907" i="1"/>
  <c r="T907" i="1" s="1"/>
  <c r="U907" i="1" s="1"/>
  <c r="W903" i="1"/>
  <c r="V902" i="1"/>
  <c r="P889" i="1"/>
  <c r="P888" i="1"/>
  <c r="R883" i="1"/>
  <c r="P877" i="1"/>
  <c r="X877" i="1"/>
  <c r="T877" i="1" s="1"/>
  <c r="U877" i="1" s="1"/>
  <c r="R877" i="1"/>
  <c r="V875" i="1"/>
  <c r="P875" i="1"/>
  <c r="X875" i="1"/>
  <c r="T875" i="1" s="1"/>
  <c r="U875" i="1" s="1"/>
  <c r="W871" i="1"/>
  <c r="V870" i="1"/>
  <c r="V867" i="1"/>
  <c r="P867" i="1"/>
  <c r="X867" i="1"/>
  <c r="T867" i="1" s="1"/>
  <c r="U867" i="1" s="1"/>
  <c r="P862" i="1"/>
  <c r="X847" i="1"/>
  <c r="T847" i="1" s="1"/>
  <c r="U847" i="1" s="1"/>
  <c r="P845" i="1"/>
  <c r="X845" i="1"/>
  <c r="T845" i="1" s="1"/>
  <c r="U845" i="1" s="1"/>
  <c r="R845" i="1"/>
  <c r="W845" i="1"/>
  <c r="V835" i="1"/>
  <c r="P835" i="1"/>
  <c r="X835" i="1"/>
  <c r="T835" i="1" s="1"/>
  <c r="U835" i="1" s="1"/>
  <c r="P830" i="1"/>
  <c r="V819" i="1"/>
  <c r="P819" i="1"/>
  <c r="X819" i="1"/>
  <c r="T819" i="1" s="1"/>
  <c r="U819" i="1" s="1"/>
  <c r="P816" i="1"/>
  <c r="P797" i="1"/>
  <c r="X797" i="1"/>
  <c r="T797" i="1" s="1"/>
  <c r="U797" i="1" s="1"/>
  <c r="R797" i="1"/>
  <c r="V797" i="1"/>
  <c r="W797" i="1"/>
  <c r="W792" i="1"/>
  <c r="V792" i="1"/>
  <c r="R747" i="1"/>
  <c r="W747" i="1"/>
  <c r="X747" i="1"/>
  <c r="T747" i="1" s="1"/>
  <c r="U747" i="1" s="1"/>
  <c r="P747" i="1"/>
  <c r="V747" i="1"/>
  <c r="P648" i="1"/>
  <c r="W648" i="1"/>
  <c r="R648" i="1"/>
  <c r="P933" i="1"/>
  <c r="X933" i="1"/>
  <c r="T933" i="1" s="1"/>
  <c r="U933" i="1" s="1"/>
  <c r="R933" i="1"/>
  <c r="V931" i="1"/>
  <c r="P931" i="1"/>
  <c r="X931" i="1"/>
  <c r="T931" i="1" s="1"/>
  <c r="U931" i="1" s="1"/>
  <c r="P901" i="1"/>
  <c r="X901" i="1"/>
  <c r="T901" i="1" s="1"/>
  <c r="U901" i="1" s="1"/>
  <c r="R901" i="1"/>
  <c r="V899" i="1"/>
  <c r="P899" i="1"/>
  <c r="X899" i="1"/>
  <c r="T899" i="1" s="1"/>
  <c r="U899" i="1" s="1"/>
  <c r="P869" i="1"/>
  <c r="X869" i="1"/>
  <c r="T869" i="1" s="1"/>
  <c r="U869" i="1" s="1"/>
  <c r="R869" i="1"/>
  <c r="V859" i="1"/>
  <c r="P859" i="1"/>
  <c r="X859" i="1"/>
  <c r="T859" i="1" s="1"/>
  <c r="U859" i="1" s="1"/>
  <c r="P837" i="1"/>
  <c r="X837" i="1"/>
  <c r="T837" i="1" s="1"/>
  <c r="U837" i="1" s="1"/>
  <c r="R837" i="1"/>
  <c r="W837" i="1"/>
  <c r="V827" i="1"/>
  <c r="P827" i="1"/>
  <c r="X827" i="1"/>
  <c r="T827" i="1" s="1"/>
  <c r="U827" i="1" s="1"/>
  <c r="R815" i="1"/>
  <c r="P815" i="1"/>
  <c r="X815" i="1"/>
  <c r="T815" i="1" s="1"/>
  <c r="U815" i="1" s="1"/>
  <c r="V803" i="1"/>
  <c r="P803" i="1"/>
  <c r="X803" i="1"/>
  <c r="T803" i="1" s="1"/>
  <c r="U803" i="1" s="1"/>
  <c r="X770" i="1"/>
  <c r="T770" i="1" s="1"/>
  <c r="U770" i="1" s="1"/>
  <c r="V770" i="1"/>
  <c r="W770" i="1"/>
  <c r="P758" i="1"/>
  <c r="R758" i="1"/>
  <c r="R755" i="1"/>
  <c r="P755" i="1"/>
  <c r="W755" i="1"/>
  <c r="X755" i="1"/>
  <c r="T755" i="1" s="1"/>
  <c r="U755" i="1" s="1"/>
  <c r="R738" i="1"/>
  <c r="V738" i="1"/>
  <c r="P738" i="1"/>
  <c r="Q717" i="1"/>
  <c r="S717" i="1"/>
  <c r="P709" i="1"/>
  <c r="R709" i="1"/>
  <c r="X709" i="1"/>
  <c r="T709" i="1" s="1"/>
  <c r="U709" i="1" s="1"/>
  <c r="X672" i="1"/>
  <c r="T672" i="1" s="1"/>
  <c r="U672" i="1" s="1"/>
  <c r="P672" i="1"/>
  <c r="R672" i="1"/>
  <c r="W532" i="1"/>
  <c r="X532" i="1"/>
  <c r="T532" i="1" s="1"/>
  <c r="U532" i="1" s="1"/>
  <c r="P532" i="1"/>
  <c r="R532" i="1"/>
  <c r="V532" i="1"/>
  <c r="V581" i="1"/>
  <c r="P581" i="1"/>
  <c r="X581" i="1"/>
  <c r="T581" i="1" s="1"/>
  <c r="U581" i="1" s="1"/>
  <c r="W581" i="1"/>
  <c r="R581" i="1"/>
  <c r="Q932" i="1"/>
  <c r="R931" i="1"/>
  <c r="P925" i="1"/>
  <c r="X925" i="1"/>
  <c r="T925" i="1" s="1"/>
  <c r="U925" i="1" s="1"/>
  <c r="R925" i="1"/>
  <c r="V923" i="1"/>
  <c r="P923" i="1"/>
  <c r="X923" i="1"/>
  <c r="T923" i="1" s="1"/>
  <c r="U923" i="1" s="1"/>
  <c r="W919" i="1"/>
  <c r="V918" i="1"/>
  <c r="R899" i="1"/>
  <c r="P893" i="1"/>
  <c r="X893" i="1"/>
  <c r="T893" i="1" s="1"/>
  <c r="U893" i="1" s="1"/>
  <c r="R893" i="1"/>
  <c r="V891" i="1"/>
  <c r="P891" i="1"/>
  <c r="X891" i="1"/>
  <c r="T891" i="1" s="1"/>
  <c r="U891" i="1" s="1"/>
  <c r="W887" i="1"/>
  <c r="V886" i="1"/>
  <c r="X863" i="1"/>
  <c r="T863" i="1" s="1"/>
  <c r="U863" i="1" s="1"/>
  <c r="V862" i="1"/>
  <c r="P861" i="1"/>
  <c r="X861" i="1"/>
  <c r="T861" i="1" s="1"/>
  <c r="U861" i="1" s="1"/>
  <c r="R861" i="1"/>
  <c r="W861" i="1"/>
  <c r="R859" i="1"/>
  <c r="V851" i="1"/>
  <c r="P851" i="1"/>
  <c r="X851" i="1"/>
  <c r="T851" i="1" s="1"/>
  <c r="U851" i="1" s="1"/>
  <c r="X831" i="1"/>
  <c r="T831" i="1" s="1"/>
  <c r="U831" i="1" s="1"/>
  <c r="V830" i="1"/>
  <c r="P829" i="1"/>
  <c r="X829" i="1"/>
  <c r="T829" i="1" s="1"/>
  <c r="U829" i="1" s="1"/>
  <c r="R829" i="1"/>
  <c r="W829" i="1"/>
  <c r="R827" i="1"/>
  <c r="R803" i="1"/>
  <c r="R799" i="1"/>
  <c r="P799" i="1"/>
  <c r="X799" i="1"/>
  <c r="T799" i="1" s="1"/>
  <c r="U799" i="1" s="1"/>
  <c r="P785" i="1"/>
  <c r="X785" i="1"/>
  <c r="T785" i="1" s="1"/>
  <c r="U785" i="1" s="1"/>
  <c r="W785" i="1"/>
  <c r="V785" i="1"/>
  <c r="R770" i="1"/>
  <c r="V758" i="1"/>
  <c r="R746" i="1"/>
  <c r="X746" i="1"/>
  <c r="T746" i="1" s="1"/>
  <c r="U746" i="1" s="1"/>
  <c r="P746" i="1"/>
  <c r="V746" i="1"/>
  <c r="W746" i="1"/>
  <c r="W738" i="1"/>
  <c r="P725" i="1"/>
  <c r="X725" i="1"/>
  <c r="T725" i="1" s="1"/>
  <c r="U725" i="1" s="1"/>
  <c r="V709" i="1"/>
  <c r="R698" i="1"/>
  <c r="X698" i="1"/>
  <c r="T698" i="1" s="1"/>
  <c r="U698" i="1" s="1"/>
  <c r="P698" i="1"/>
  <c r="V698" i="1"/>
  <c r="W698" i="1"/>
  <c r="V688" i="1"/>
  <c r="R688" i="1"/>
  <c r="P688" i="1"/>
  <c r="X688" i="1"/>
  <c r="T688" i="1" s="1"/>
  <c r="U688" i="1" s="1"/>
  <c r="V672" i="1"/>
  <c r="Q593" i="1"/>
  <c r="S593" i="1"/>
  <c r="P972" i="1"/>
  <c r="P948" i="1"/>
  <c r="P940" i="1"/>
  <c r="P934" i="1"/>
  <c r="Q930" i="1"/>
  <c r="S930" i="1"/>
  <c r="P903" i="1"/>
  <c r="P902" i="1"/>
  <c r="Q898" i="1"/>
  <c r="S898" i="1"/>
  <c r="P871" i="1"/>
  <c r="P870" i="1"/>
  <c r="P847" i="1"/>
  <c r="W840" i="1"/>
  <c r="V840" i="1"/>
  <c r="P821" i="1"/>
  <c r="X821" i="1"/>
  <c r="T821" i="1" s="1"/>
  <c r="U821" i="1" s="1"/>
  <c r="R821" i="1"/>
  <c r="V821" i="1"/>
  <c r="W821" i="1"/>
  <c r="W816" i="1"/>
  <c r="V816" i="1"/>
  <c r="R791" i="1"/>
  <c r="P791" i="1"/>
  <c r="X791" i="1"/>
  <c r="T791" i="1" s="1"/>
  <c r="U791" i="1" s="1"/>
  <c r="W788" i="1"/>
  <c r="R788" i="1"/>
  <c r="P788" i="1"/>
  <c r="R771" i="1"/>
  <c r="W771" i="1"/>
  <c r="P771" i="1"/>
  <c r="V771" i="1"/>
  <c r="P770" i="1"/>
  <c r="X765" i="1"/>
  <c r="T765" i="1" s="1"/>
  <c r="U765" i="1" s="1"/>
  <c r="V765" i="1"/>
  <c r="W765" i="1"/>
  <c r="W756" i="1"/>
  <c r="V756" i="1"/>
  <c r="P756" i="1"/>
  <c r="Q750" i="1"/>
  <c r="S750" i="1"/>
  <c r="R730" i="1"/>
  <c r="X730" i="1"/>
  <c r="T730" i="1" s="1"/>
  <c r="U730" i="1" s="1"/>
  <c r="P730" i="1"/>
  <c r="V730" i="1"/>
  <c r="W730" i="1"/>
  <c r="V725" i="1"/>
  <c r="R714" i="1"/>
  <c r="X714" i="1"/>
  <c r="T714" i="1" s="1"/>
  <c r="U714" i="1" s="1"/>
  <c r="P714" i="1"/>
  <c r="V714" i="1"/>
  <c r="W714" i="1"/>
  <c r="W688" i="1"/>
  <c r="W671" i="1"/>
  <c r="V671" i="1"/>
  <c r="P671" i="1"/>
  <c r="R671" i="1"/>
  <c r="P669" i="1"/>
  <c r="W669" i="1"/>
  <c r="X669" i="1"/>
  <c r="T669" i="1" s="1"/>
  <c r="U669" i="1" s="1"/>
  <c r="R657" i="1"/>
  <c r="V657" i="1"/>
  <c r="P657" i="1"/>
  <c r="X657" i="1"/>
  <c r="T657" i="1" s="1"/>
  <c r="U657" i="1" s="1"/>
  <c r="X972" i="1"/>
  <c r="T972" i="1" s="1"/>
  <c r="U972" i="1" s="1"/>
  <c r="X964" i="1"/>
  <c r="T964" i="1" s="1"/>
  <c r="U964" i="1" s="1"/>
  <c r="P964" i="1"/>
  <c r="X956" i="1"/>
  <c r="T956" i="1" s="1"/>
  <c r="U956" i="1" s="1"/>
  <c r="P956" i="1"/>
  <c r="X948" i="1"/>
  <c r="T948" i="1" s="1"/>
  <c r="U948" i="1" s="1"/>
  <c r="X940" i="1"/>
  <c r="T940" i="1" s="1"/>
  <c r="U940" i="1" s="1"/>
  <c r="R921" i="1"/>
  <c r="P917" i="1"/>
  <c r="X917" i="1"/>
  <c r="T917" i="1" s="1"/>
  <c r="U917" i="1" s="1"/>
  <c r="R917" i="1"/>
  <c r="V915" i="1"/>
  <c r="P915" i="1"/>
  <c r="X915" i="1"/>
  <c r="T915" i="1" s="1"/>
  <c r="U915" i="1" s="1"/>
  <c r="R889" i="1"/>
  <c r="P885" i="1"/>
  <c r="X885" i="1"/>
  <c r="T885" i="1" s="1"/>
  <c r="U885" i="1" s="1"/>
  <c r="R885" i="1"/>
  <c r="V883" i="1"/>
  <c r="P883" i="1"/>
  <c r="X883" i="1"/>
  <c r="T883" i="1" s="1"/>
  <c r="U883" i="1" s="1"/>
  <c r="R862" i="1"/>
  <c r="P853" i="1"/>
  <c r="X853" i="1"/>
  <c r="T853" i="1" s="1"/>
  <c r="U853" i="1" s="1"/>
  <c r="R853" i="1"/>
  <c r="W853" i="1"/>
  <c r="V843" i="1"/>
  <c r="P843" i="1"/>
  <c r="X843" i="1"/>
  <c r="T843" i="1" s="1"/>
  <c r="U843" i="1" s="1"/>
  <c r="R830" i="1"/>
  <c r="P813" i="1"/>
  <c r="X813" i="1"/>
  <c r="T813" i="1" s="1"/>
  <c r="U813" i="1" s="1"/>
  <c r="R813" i="1"/>
  <c r="V813" i="1"/>
  <c r="W813" i="1"/>
  <c r="W808" i="1"/>
  <c r="V808" i="1"/>
  <c r="V791" i="1"/>
  <c r="V788" i="1"/>
  <c r="R778" i="1"/>
  <c r="P778" i="1"/>
  <c r="P774" i="1"/>
  <c r="W774" i="1"/>
  <c r="X774" i="1"/>
  <c r="T774" i="1" s="1"/>
  <c r="U774" i="1" s="1"/>
  <c r="V742" i="1"/>
  <c r="P742" i="1"/>
  <c r="X742" i="1"/>
  <c r="T742" i="1" s="1"/>
  <c r="U742" i="1" s="1"/>
  <c r="R739" i="1"/>
  <c r="W739" i="1"/>
  <c r="P739" i="1"/>
  <c r="Q734" i="1"/>
  <c r="S734" i="1"/>
  <c r="V710" i="1"/>
  <c r="P710" i="1"/>
  <c r="R710" i="1"/>
  <c r="X710" i="1"/>
  <c r="T710" i="1" s="1"/>
  <c r="U710" i="1" s="1"/>
  <c r="V673" i="1"/>
  <c r="P673" i="1"/>
  <c r="R673" i="1"/>
  <c r="V682" i="1"/>
  <c r="X682" i="1"/>
  <c r="T682" i="1" s="1"/>
  <c r="U682" i="1" s="1"/>
  <c r="Q675" i="1"/>
  <c r="R662" i="1"/>
  <c r="P662" i="1"/>
  <c r="V662" i="1"/>
  <c r="Q633" i="1"/>
  <c r="Q627" i="1"/>
  <c r="P599" i="1"/>
  <c r="X599" i="1"/>
  <c r="T599" i="1" s="1"/>
  <c r="U599" i="1" s="1"/>
  <c r="R599" i="1"/>
  <c r="W599" i="1"/>
  <c r="V597" i="1"/>
  <c r="P597" i="1"/>
  <c r="X597" i="1"/>
  <c r="T597" i="1" s="1"/>
  <c r="U597" i="1" s="1"/>
  <c r="W597" i="1"/>
  <c r="V589" i="1"/>
  <c r="P589" i="1"/>
  <c r="X589" i="1"/>
  <c r="T589" i="1" s="1"/>
  <c r="U589" i="1" s="1"/>
  <c r="W589" i="1"/>
  <c r="R589" i="1"/>
  <c r="Q555" i="1"/>
  <c r="S555" i="1"/>
  <c r="P529" i="1"/>
  <c r="X529" i="1"/>
  <c r="T529" i="1" s="1"/>
  <c r="U529" i="1" s="1"/>
  <c r="V529" i="1"/>
  <c r="W529" i="1"/>
  <c r="R529" i="1"/>
  <c r="R494" i="1"/>
  <c r="V494" i="1"/>
  <c r="X494" i="1"/>
  <c r="T494" i="1" s="1"/>
  <c r="U494" i="1" s="1"/>
  <c r="P494" i="1"/>
  <c r="W494" i="1"/>
  <c r="P761" i="1"/>
  <c r="X761" i="1"/>
  <c r="T761" i="1" s="1"/>
  <c r="U761" i="1" s="1"/>
  <c r="P745" i="1"/>
  <c r="X745" i="1"/>
  <c r="T745" i="1" s="1"/>
  <c r="U745" i="1" s="1"/>
  <c r="P729" i="1"/>
  <c r="X729" i="1"/>
  <c r="T729" i="1" s="1"/>
  <c r="U729" i="1" s="1"/>
  <c r="P713" i="1"/>
  <c r="X713" i="1"/>
  <c r="T713" i="1" s="1"/>
  <c r="U713" i="1" s="1"/>
  <c r="R685" i="1"/>
  <c r="X685" i="1"/>
  <c r="T685" i="1" s="1"/>
  <c r="U685" i="1" s="1"/>
  <c r="P668" i="1"/>
  <c r="X668" i="1"/>
  <c r="T668" i="1" s="1"/>
  <c r="U668" i="1" s="1"/>
  <c r="V668" i="1"/>
  <c r="V666" i="1"/>
  <c r="W666" i="1"/>
  <c r="W656" i="1"/>
  <c r="R656" i="1"/>
  <c r="P652" i="1"/>
  <c r="X652" i="1"/>
  <c r="T652" i="1" s="1"/>
  <c r="U652" i="1" s="1"/>
  <c r="W652" i="1"/>
  <c r="P647" i="1"/>
  <c r="X647" i="1"/>
  <c r="T647" i="1" s="1"/>
  <c r="U647" i="1" s="1"/>
  <c r="W647" i="1"/>
  <c r="V647" i="1"/>
  <c r="V629" i="1"/>
  <c r="P629" i="1"/>
  <c r="X629" i="1"/>
  <c r="T629" i="1" s="1"/>
  <c r="U629" i="1" s="1"/>
  <c r="W629" i="1"/>
  <c r="W624" i="1"/>
  <c r="X624" i="1"/>
  <c r="T624" i="1" s="1"/>
  <c r="U624" i="1" s="1"/>
  <c r="P624" i="1"/>
  <c r="R601" i="1"/>
  <c r="X601" i="1"/>
  <c r="T601" i="1" s="1"/>
  <c r="U601" i="1" s="1"/>
  <c r="W601" i="1"/>
  <c r="R652" i="1"/>
  <c r="R647" i="1"/>
  <c r="W644" i="1"/>
  <c r="V644" i="1"/>
  <c r="R624" i="1"/>
  <c r="W602" i="1"/>
  <c r="R602" i="1"/>
  <c r="X602" i="1"/>
  <c r="T602" i="1" s="1"/>
  <c r="U602" i="1" s="1"/>
  <c r="V602" i="1"/>
  <c r="P602" i="1"/>
  <c r="P601" i="1"/>
  <c r="S866" i="1"/>
  <c r="S826" i="1"/>
  <c r="S818" i="1"/>
  <c r="W787" i="1"/>
  <c r="X786" i="1"/>
  <c r="T786" i="1" s="1"/>
  <c r="U786" i="1" s="1"/>
  <c r="X781" i="1"/>
  <c r="T781" i="1" s="1"/>
  <c r="U781" i="1" s="1"/>
  <c r="V772" i="1"/>
  <c r="W767" i="1"/>
  <c r="X766" i="1"/>
  <c r="T766" i="1" s="1"/>
  <c r="U766" i="1" s="1"/>
  <c r="P753" i="1"/>
  <c r="X753" i="1"/>
  <c r="T753" i="1" s="1"/>
  <c r="U753" i="1" s="1"/>
  <c r="X750" i="1"/>
  <c r="T750" i="1" s="1"/>
  <c r="U750" i="1" s="1"/>
  <c r="X749" i="1"/>
  <c r="T749" i="1" s="1"/>
  <c r="U749" i="1" s="1"/>
  <c r="P737" i="1"/>
  <c r="X737" i="1"/>
  <c r="T737" i="1" s="1"/>
  <c r="U737" i="1" s="1"/>
  <c r="X734" i="1"/>
  <c r="T734" i="1" s="1"/>
  <c r="U734" i="1" s="1"/>
  <c r="X733" i="1"/>
  <c r="T733" i="1" s="1"/>
  <c r="U733" i="1" s="1"/>
  <c r="P721" i="1"/>
  <c r="X721" i="1"/>
  <c r="T721" i="1" s="1"/>
  <c r="U721" i="1" s="1"/>
  <c r="X718" i="1"/>
  <c r="T718" i="1" s="1"/>
  <c r="U718" i="1" s="1"/>
  <c r="X717" i="1"/>
  <c r="T717" i="1" s="1"/>
  <c r="U717" i="1" s="1"/>
  <c r="V706" i="1"/>
  <c r="P705" i="1"/>
  <c r="X705" i="1"/>
  <c r="T705" i="1" s="1"/>
  <c r="U705" i="1" s="1"/>
  <c r="X702" i="1"/>
  <c r="T702" i="1" s="1"/>
  <c r="U702" i="1" s="1"/>
  <c r="X701" i="1"/>
  <c r="T701" i="1" s="1"/>
  <c r="U701" i="1" s="1"/>
  <c r="W694" i="1"/>
  <c r="V693" i="1"/>
  <c r="R693" i="1"/>
  <c r="V679" i="1"/>
  <c r="R649" i="1"/>
  <c r="V649" i="1"/>
  <c r="X649" i="1"/>
  <c r="T649" i="1" s="1"/>
  <c r="U649" i="1" s="1"/>
  <c r="P631" i="1"/>
  <c r="X631" i="1"/>
  <c r="T631" i="1" s="1"/>
  <c r="U631" i="1" s="1"/>
  <c r="R631" i="1"/>
  <c r="W631" i="1"/>
  <c r="V631" i="1"/>
  <c r="V605" i="1"/>
  <c r="P605" i="1"/>
  <c r="X605" i="1"/>
  <c r="T605" i="1" s="1"/>
  <c r="U605" i="1" s="1"/>
  <c r="R605" i="1"/>
  <c r="W584" i="1"/>
  <c r="X584" i="1"/>
  <c r="T584" i="1" s="1"/>
  <c r="U584" i="1" s="1"/>
  <c r="P584" i="1"/>
  <c r="R584" i="1"/>
  <c r="V545" i="1"/>
  <c r="X545" i="1"/>
  <c r="T545" i="1" s="1"/>
  <c r="U545" i="1" s="1"/>
  <c r="W545" i="1"/>
  <c r="P545" i="1"/>
  <c r="R545" i="1"/>
  <c r="R526" i="1"/>
  <c r="V526" i="1"/>
  <c r="X526" i="1"/>
  <c r="T526" i="1" s="1"/>
  <c r="U526" i="1" s="1"/>
  <c r="P526" i="1"/>
  <c r="R707" i="1"/>
  <c r="W707" i="1"/>
  <c r="W702" i="1"/>
  <c r="W701" i="1"/>
  <c r="X700" i="1"/>
  <c r="T700" i="1" s="1"/>
  <c r="U700" i="1" s="1"/>
  <c r="W682" i="1"/>
  <c r="W665" i="1"/>
  <c r="X664" i="1"/>
  <c r="T664" i="1" s="1"/>
  <c r="U664" i="1" s="1"/>
  <c r="X662" i="1"/>
  <c r="T662" i="1" s="1"/>
  <c r="U662" i="1" s="1"/>
  <c r="P660" i="1"/>
  <c r="X660" i="1"/>
  <c r="T660" i="1" s="1"/>
  <c r="U660" i="1" s="1"/>
  <c r="P655" i="1"/>
  <c r="X655" i="1"/>
  <c r="T655" i="1" s="1"/>
  <c r="U655" i="1" s="1"/>
  <c r="W655" i="1"/>
  <c r="V655" i="1"/>
  <c r="V645" i="1"/>
  <c r="P645" i="1"/>
  <c r="X645" i="1"/>
  <c r="T645" i="1" s="1"/>
  <c r="U645" i="1" s="1"/>
  <c r="R633" i="1"/>
  <c r="W633" i="1"/>
  <c r="V633" i="1"/>
  <c r="X633" i="1"/>
  <c r="T633" i="1" s="1"/>
  <c r="U633" i="1" s="1"/>
  <c r="P623" i="1"/>
  <c r="X623" i="1"/>
  <c r="T623" i="1" s="1"/>
  <c r="U623" i="1" s="1"/>
  <c r="R623" i="1"/>
  <c r="W623" i="1"/>
  <c r="V619" i="1"/>
  <c r="P619" i="1"/>
  <c r="X619" i="1"/>
  <c r="T619" i="1" s="1"/>
  <c r="U619" i="1" s="1"/>
  <c r="W619" i="1"/>
  <c r="P777" i="1"/>
  <c r="X777" i="1"/>
  <c r="T777" i="1" s="1"/>
  <c r="U777" i="1" s="1"/>
  <c r="V761" i="1"/>
  <c r="V748" i="1"/>
  <c r="W745" i="1"/>
  <c r="V732" i="1"/>
  <c r="W729" i="1"/>
  <c r="R721" i="1"/>
  <c r="V716" i="1"/>
  <c r="W713" i="1"/>
  <c r="R705" i="1"/>
  <c r="V700" i="1"/>
  <c r="P696" i="1"/>
  <c r="V696" i="1"/>
  <c r="W695" i="1"/>
  <c r="R695" i="1"/>
  <c r="X695" i="1"/>
  <c r="T695" i="1" s="1"/>
  <c r="U695" i="1" s="1"/>
  <c r="W685" i="1"/>
  <c r="P681" i="1"/>
  <c r="V681" i="1"/>
  <c r="R680" i="1"/>
  <c r="X680" i="1"/>
  <c r="T680" i="1" s="1"/>
  <c r="U680" i="1" s="1"/>
  <c r="X666" i="1"/>
  <c r="T666" i="1" s="1"/>
  <c r="U666" i="1" s="1"/>
  <c r="V665" i="1"/>
  <c r="W662" i="1"/>
  <c r="W650" i="1"/>
  <c r="V650" i="1"/>
  <c r="X650" i="1"/>
  <c r="T650" i="1" s="1"/>
  <c r="U650" i="1" s="1"/>
  <c r="P644" i="1"/>
  <c r="V584" i="1"/>
  <c r="W526" i="1"/>
  <c r="W626" i="1"/>
  <c r="X626" i="1"/>
  <c r="T626" i="1" s="1"/>
  <c r="U626" i="1" s="1"/>
  <c r="V626" i="1"/>
  <c r="W618" i="1"/>
  <c r="P618" i="1"/>
  <c r="V603" i="1"/>
  <c r="P603" i="1"/>
  <c r="X603" i="1"/>
  <c r="T603" i="1" s="1"/>
  <c r="U603" i="1" s="1"/>
  <c r="R593" i="1"/>
  <c r="V593" i="1"/>
  <c r="X593" i="1"/>
  <c r="T593" i="1" s="1"/>
  <c r="U593" i="1" s="1"/>
  <c r="W593" i="1"/>
  <c r="P567" i="1"/>
  <c r="X567" i="1"/>
  <c r="T567" i="1" s="1"/>
  <c r="U567" i="1" s="1"/>
  <c r="R567" i="1"/>
  <c r="V542" i="1"/>
  <c r="P542" i="1"/>
  <c r="R542" i="1"/>
  <c r="S520" i="1"/>
  <c r="Q520" i="1"/>
  <c r="W576" i="1"/>
  <c r="P576" i="1"/>
  <c r="X576" i="1"/>
  <c r="T576" i="1" s="1"/>
  <c r="U576" i="1" s="1"/>
  <c r="V576" i="1"/>
  <c r="Q571" i="1"/>
  <c r="S571" i="1"/>
  <c r="V567" i="1"/>
  <c r="X542" i="1"/>
  <c r="T542" i="1" s="1"/>
  <c r="U542" i="1" s="1"/>
  <c r="S539" i="1"/>
  <c r="Q539" i="1"/>
  <c r="W388" i="1"/>
  <c r="X388" i="1"/>
  <c r="T388" i="1" s="1"/>
  <c r="U388" i="1" s="1"/>
  <c r="P388" i="1"/>
  <c r="R388" i="1"/>
  <c r="V388" i="1"/>
  <c r="P692" i="1"/>
  <c r="X692" i="1"/>
  <c r="T692" i="1" s="1"/>
  <c r="U692" i="1" s="1"/>
  <c r="P670" i="1"/>
  <c r="P643" i="1"/>
  <c r="X643" i="1"/>
  <c r="T643" i="1" s="1"/>
  <c r="U643" i="1" s="1"/>
  <c r="W642" i="1"/>
  <c r="R642" i="1"/>
  <c r="V627" i="1"/>
  <c r="X627" i="1"/>
  <c r="T627" i="1" s="1"/>
  <c r="U627" i="1" s="1"/>
  <c r="W627" i="1"/>
  <c r="R626" i="1"/>
  <c r="V621" i="1"/>
  <c r="P621" i="1"/>
  <c r="X621" i="1"/>
  <c r="T621" i="1" s="1"/>
  <c r="U621" i="1" s="1"/>
  <c r="W608" i="1"/>
  <c r="P608" i="1"/>
  <c r="P583" i="1"/>
  <c r="X583" i="1"/>
  <c r="T583" i="1" s="1"/>
  <c r="U583" i="1" s="1"/>
  <c r="R583" i="1"/>
  <c r="V579" i="1"/>
  <c r="X579" i="1"/>
  <c r="T579" i="1" s="1"/>
  <c r="U579" i="1" s="1"/>
  <c r="P579" i="1"/>
  <c r="W579" i="1"/>
  <c r="W570" i="1"/>
  <c r="R570" i="1"/>
  <c r="V570" i="1"/>
  <c r="P562" i="1"/>
  <c r="P560" i="1"/>
  <c r="X560" i="1"/>
  <c r="T560" i="1" s="1"/>
  <c r="U560" i="1" s="1"/>
  <c r="W560" i="1"/>
  <c r="V560" i="1"/>
  <c r="Q550" i="1"/>
  <c r="S550" i="1"/>
  <c r="W542" i="1"/>
  <c r="P541" i="1"/>
  <c r="V541" i="1"/>
  <c r="W541" i="1"/>
  <c r="X541" i="1"/>
  <c r="T541" i="1" s="1"/>
  <c r="U541" i="1" s="1"/>
  <c r="R517" i="1"/>
  <c r="W564" i="1"/>
  <c r="P564" i="1"/>
  <c r="X564" i="1"/>
  <c r="T564" i="1" s="1"/>
  <c r="U564" i="1" s="1"/>
  <c r="R539" i="1"/>
  <c r="W539" i="1"/>
  <c r="X539" i="1"/>
  <c r="T539" i="1" s="1"/>
  <c r="U539" i="1" s="1"/>
  <c r="V482" i="1"/>
  <c r="R482" i="1"/>
  <c r="W482" i="1"/>
  <c r="X482" i="1"/>
  <c r="T482" i="1" s="1"/>
  <c r="U482" i="1" s="1"/>
  <c r="P482" i="1"/>
  <c r="W435" i="1"/>
  <c r="X435" i="1"/>
  <c r="T435" i="1" s="1"/>
  <c r="U435" i="1" s="1"/>
  <c r="P435" i="1"/>
  <c r="V435" i="1"/>
  <c r="R435" i="1"/>
  <c r="W692" i="1"/>
  <c r="P684" i="1"/>
  <c r="X684" i="1"/>
  <c r="T684" i="1" s="1"/>
  <c r="U684" i="1" s="1"/>
  <c r="W678" i="1"/>
  <c r="W632" i="1"/>
  <c r="V632" i="1"/>
  <c r="R625" i="1"/>
  <c r="X625" i="1"/>
  <c r="T625" i="1" s="1"/>
  <c r="U625" i="1" s="1"/>
  <c r="V618" i="1"/>
  <c r="R617" i="1"/>
  <c r="P617" i="1"/>
  <c r="P607" i="1"/>
  <c r="X607" i="1"/>
  <c r="T607" i="1" s="1"/>
  <c r="U607" i="1" s="1"/>
  <c r="R607" i="1"/>
  <c r="V587" i="1"/>
  <c r="W587" i="1"/>
  <c r="R587" i="1"/>
  <c r="W578" i="1"/>
  <c r="X578" i="1"/>
  <c r="T578" i="1" s="1"/>
  <c r="U578" i="1" s="1"/>
  <c r="P578" i="1"/>
  <c r="V578" i="1"/>
  <c r="R569" i="1"/>
  <c r="W569" i="1"/>
  <c r="W555" i="1"/>
  <c r="X555" i="1"/>
  <c r="T555" i="1" s="1"/>
  <c r="U555" i="1" s="1"/>
  <c r="R555" i="1"/>
  <c r="V555" i="1"/>
  <c r="P553" i="1"/>
  <c r="R553" i="1"/>
  <c r="V539" i="1"/>
  <c r="P497" i="1"/>
  <c r="X497" i="1"/>
  <c r="T497" i="1" s="1"/>
  <c r="U497" i="1" s="1"/>
  <c r="R497" i="1"/>
  <c r="V497" i="1"/>
  <c r="W484" i="1"/>
  <c r="P484" i="1"/>
  <c r="X484" i="1"/>
  <c r="T484" i="1" s="1"/>
  <c r="U484" i="1" s="1"/>
  <c r="R484" i="1"/>
  <c r="R640" i="1"/>
  <c r="P616" i="1"/>
  <c r="P611" i="1"/>
  <c r="P610" i="1"/>
  <c r="W600" i="1"/>
  <c r="R600" i="1"/>
  <c r="P575" i="1"/>
  <c r="X575" i="1"/>
  <c r="T575" i="1" s="1"/>
  <c r="U575" i="1" s="1"/>
  <c r="R575" i="1"/>
  <c r="W565" i="1"/>
  <c r="R565" i="1"/>
  <c r="V558" i="1"/>
  <c r="P558" i="1"/>
  <c r="R558" i="1"/>
  <c r="X558" i="1"/>
  <c r="T558" i="1" s="1"/>
  <c r="U558" i="1" s="1"/>
  <c r="W547" i="1"/>
  <c r="R547" i="1"/>
  <c r="V547" i="1"/>
  <c r="Q540" i="1"/>
  <c r="S540" i="1"/>
  <c r="W525" i="1"/>
  <c r="P525" i="1"/>
  <c r="V522" i="1"/>
  <c r="R522" i="1"/>
  <c r="W522" i="1"/>
  <c r="V514" i="1"/>
  <c r="R514" i="1"/>
  <c r="W514" i="1"/>
  <c r="P514" i="1"/>
  <c r="S512" i="1"/>
  <c r="Q512" i="1"/>
  <c r="P509" i="1"/>
  <c r="W509" i="1"/>
  <c r="V498" i="1"/>
  <c r="R498" i="1"/>
  <c r="P498" i="1"/>
  <c r="W498" i="1"/>
  <c r="X498" i="1"/>
  <c r="T498" i="1" s="1"/>
  <c r="U498" i="1" s="1"/>
  <c r="R463" i="1"/>
  <c r="W463" i="1"/>
  <c r="X463" i="1"/>
  <c r="T463" i="1" s="1"/>
  <c r="U463" i="1" s="1"/>
  <c r="P463" i="1"/>
  <c r="P615" i="1"/>
  <c r="X615" i="1"/>
  <c r="T615" i="1" s="1"/>
  <c r="U615" i="1" s="1"/>
  <c r="R615" i="1"/>
  <c r="V613" i="1"/>
  <c r="P613" i="1"/>
  <c r="X613" i="1"/>
  <c r="T613" i="1" s="1"/>
  <c r="U613" i="1" s="1"/>
  <c r="R609" i="1"/>
  <c r="P609" i="1"/>
  <c r="W586" i="1"/>
  <c r="V586" i="1"/>
  <c r="R585" i="1"/>
  <c r="X585" i="1"/>
  <c r="T585" i="1" s="1"/>
  <c r="U585" i="1" s="1"/>
  <c r="W568" i="1"/>
  <c r="R568" i="1"/>
  <c r="W563" i="1"/>
  <c r="P563" i="1"/>
  <c r="R563" i="1"/>
  <c r="R554" i="1"/>
  <c r="X554" i="1"/>
  <c r="T554" i="1" s="1"/>
  <c r="U554" i="1" s="1"/>
  <c r="V554" i="1"/>
  <c r="W549" i="1"/>
  <c r="P549" i="1"/>
  <c r="R546" i="1"/>
  <c r="W546" i="1"/>
  <c r="P546" i="1"/>
  <c r="W516" i="1"/>
  <c r="P516" i="1"/>
  <c r="X516" i="1"/>
  <c r="T516" i="1" s="1"/>
  <c r="U516" i="1" s="1"/>
  <c r="R516" i="1"/>
  <c r="V506" i="1"/>
  <c r="R506" i="1"/>
  <c r="P506" i="1"/>
  <c r="P485" i="1"/>
  <c r="V485" i="1"/>
  <c r="W485" i="1"/>
  <c r="R485" i="1"/>
  <c r="V471" i="1"/>
  <c r="R471" i="1"/>
  <c r="P471" i="1"/>
  <c r="W471" i="1"/>
  <c r="P434" i="1"/>
  <c r="X434" i="1"/>
  <c r="T434" i="1" s="1"/>
  <c r="U434" i="1" s="1"/>
  <c r="R434" i="1"/>
  <c r="V434" i="1"/>
  <c r="W434" i="1"/>
  <c r="W380" i="1"/>
  <c r="X380" i="1"/>
  <c r="T380" i="1" s="1"/>
  <c r="U380" i="1" s="1"/>
  <c r="P380" i="1"/>
  <c r="R380" i="1"/>
  <c r="V380" i="1"/>
  <c r="P639" i="1"/>
  <c r="X639" i="1"/>
  <c r="T639" i="1" s="1"/>
  <c r="U639" i="1" s="1"/>
  <c r="R639" i="1"/>
  <c r="V637" i="1"/>
  <c r="P637" i="1"/>
  <c r="X637" i="1"/>
  <c r="T637" i="1" s="1"/>
  <c r="U637" i="1" s="1"/>
  <c r="R613" i="1"/>
  <c r="R610" i="1"/>
  <c r="P591" i="1"/>
  <c r="X591" i="1"/>
  <c r="T591" i="1" s="1"/>
  <c r="U591" i="1" s="1"/>
  <c r="R591" i="1"/>
  <c r="V591" i="1"/>
  <c r="R586" i="1"/>
  <c r="V573" i="1"/>
  <c r="P573" i="1"/>
  <c r="X573" i="1"/>
  <c r="T573" i="1" s="1"/>
  <c r="U573" i="1" s="1"/>
  <c r="V550" i="1"/>
  <c r="X550" i="1"/>
  <c r="T550" i="1" s="1"/>
  <c r="U550" i="1" s="1"/>
  <c r="P544" i="1"/>
  <c r="X544" i="1"/>
  <c r="T544" i="1" s="1"/>
  <c r="U544" i="1" s="1"/>
  <c r="W544" i="1"/>
  <c r="R538" i="1"/>
  <c r="V538" i="1"/>
  <c r="X538" i="1"/>
  <c r="T538" i="1" s="1"/>
  <c r="U538" i="1" s="1"/>
  <c r="R530" i="1"/>
  <c r="W530" i="1"/>
  <c r="P530" i="1"/>
  <c r="S515" i="1"/>
  <c r="Q515" i="1"/>
  <c r="P477" i="1"/>
  <c r="R477" i="1"/>
  <c r="W477" i="1"/>
  <c r="P454" i="1"/>
  <c r="V454" i="1"/>
  <c r="W454" i="1"/>
  <c r="R454" i="1"/>
  <c r="P548" i="1"/>
  <c r="R548" i="1"/>
  <c r="R531" i="1"/>
  <c r="W531" i="1"/>
  <c r="V531" i="1"/>
  <c r="V501" i="1"/>
  <c r="V474" i="1"/>
  <c r="R474" i="1"/>
  <c r="P474" i="1"/>
  <c r="V414" i="1"/>
  <c r="P414" i="1"/>
  <c r="X414" i="1"/>
  <c r="T414" i="1" s="1"/>
  <c r="U414" i="1" s="1"/>
  <c r="R414" i="1"/>
  <c r="W414" i="1"/>
  <c r="V430" i="1"/>
  <c r="P430" i="1"/>
  <c r="X430" i="1"/>
  <c r="T430" i="1" s="1"/>
  <c r="U430" i="1" s="1"/>
  <c r="R430" i="1"/>
  <c r="W430" i="1"/>
  <c r="W493" i="1"/>
  <c r="X493" i="1"/>
  <c r="T493" i="1" s="1"/>
  <c r="U493" i="1" s="1"/>
  <c r="P493" i="1"/>
  <c r="P458" i="1"/>
  <c r="X458" i="1"/>
  <c r="T458" i="1" s="1"/>
  <c r="U458" i="1" s="1"/>
  <c r="R458" i="1"/>
  <c r="W458" i="1"/>
  <c r="W300" i="1"/>
  <c r="P300" i="1"/>
  <c r="X300" i="1"/>
  <c r="T300" i="1" s="1"/>
  <c r="U300" i="1" s="1"/>
  <c r="V300" i="1"/>
  <c r="R300" i="1"/>
  <c r="R444" i="1"/>
  <c r="W444" i="1"/>
  <c r="X444" i="1"/>
  <c r="T444" i="1" s="1"/>
  <c r="U444" i="1" s="1"/>
  <c r="V420" i="1"/>
  <c r="R420" i="1"/>
  <c r="P420" i="1"/>
  <c r="W420" i="1"/>
  <c r="X420" i="1"/>
  <c r="T420" i="1" s="1"/>
  <c r="U420" i="1" s="1"/>
  <c r="V405" i="1"/>
  <c r="P405" i="1"/>
  <c r="R405" i="1"/>
  <c r="X405" i="1"/>
  <c r="T405" i="1" s="1"/>
  <c r="U405" i="1" s="1"/>
  <c r="V375" i="1"/>
  <c r="P375" i="1"/>
  <c r="X375" i="1"/>
  <c r="T375" i="1" s="1"/>
  <c r="U375" i="1" s="1"/>
  <c r="R375" i="1"/>
  <c r="W375" i="1"/>
  <c r="P521" i="1"/>
  <c r="X521" i="1"/>
  <c r="T521" i="1" s="1"/>
  <c r="U521" i="1" s="1"/>
  <c r="R518" i="1"/>
  <c r="V518" i="1"/>
  <c r="W508" i="1"/>
  <c r="P508" i="1"/>
  <c r="X508" i="1"/>
  <c r="T508" i="1" s="1"/>
  <c r="U508" i="1" s="1"/>
  <c r="P489" i="1"/>
  <c r="X489" i="1"/>
  <c r="T489" i="1" s="1"/>
  <c r="U489" i="1" s="1"/>
  <c r="R486" i="1"/>
  <c r="V486" i="1"/>
  <c r="W476" i="1"/>
  <c r="P476" i="1"/>
  <c r="X476" i="1"/>
  <c r="T476" i="1" s="1"/>
  <c r="U476" i="1" s="1"/>
  <c r="V464" i="1"/>
  <c r="P464" i="1"/>
  <c r="W464" i="1"/>
  <c r="P459" i="1"/>
  <c r="V459" i="1"/>
  <c r="W459" i="1"/>
  <c r="R452" i="1"/>
  <c r="V452" i="1"/>
  <c r="W445" i="1"/>
  <c r="X445" i="1"/>
  <c r="T445" i="1" s="1"/>
  <c r="U445" i="1" s="1"/>
  <c r="P445" i="1"/>
  <c r="V440" i="1"/>
  <c r="W440" i="1"/>
  <c r="X440" i="1"/>
  <c r="T440" i="1" s="1"/>
  <c r="U440" i="1" s="1"/>
  <c r="P440" i="1"/>
  <c r="V412" i="1"/>
  <c r="R412" i="1"/>
  <c r="P412" i="1"/>
  <c r="W412" i="1"/>
  <c r="X412" i="1"/>
  <c r="T412" i="1" s="1"/>
  <c r="U412" i="1" s="1"/>
  <c r="P552" i="1"/>
  <c r="X552" i="1"/>
  <c r="T552" i="1" s="1"/>
  <c r="U552" i="1" s="1"/>
  <c r="P537" i="1"/>
  <c r="X537" i="1"/>
  <c r="T537" i="1" s="1"/>
  <c r="U537" i="1" s="1"/>
  <c r="P513" i="1"/>
  <c r="X513" i="1"/>
  <c r="T513" i="1" s="1"/>
  <c r="U513" i="1" s="1"/>
  <c r="R510" i="1"/>
  <c r="V510" i="1"/>
  <c r="R508" i="1"/>
  <c r="W500" i="1"/>
  <c r="P500" i="1"/>
  <c r="X500" i="1"/>
  <c r="T500" i="1" s="1"/>
  <c r="U500" i="1" s="1"/>
  <c r="P481" i="1"/>
  <c r="X481" i="1"/>
  <c r="T481" i="1" s="1"/>
  <c r="U481" i="1" s="1"/>
  <c r="R478" i="1"/>
  <c r="V478" i="1"/>
  <c r="R476" i="1"/>
  <c r="R445" i="1"/>
  <c r="R440" i="1"/>
  <c r="V490" i="1"/>
  <c r="R490" i="1"/>
  <c r="R489" i="1"/>
  <c r="P486" i="1"/>
  <c r="P466" i="1"/>
  <c r="X466" i="1"/>
  <c r="T466" i="1" s="1"/>
  <c r="U466" i="1" s="1"/>
  <c r="V466" i="1"/>
  <c r="R466" i="1"/>
  <c r="R464" i="1"/>
  <c r="R459" i="1"/>
  <c r="P452" i="1"/>
  <c r="V422" i="1"/>
  <c r="P422" i="1"/>
  <c r="X422" i="1"/>
  <c r="T422" i="1" s="1"/>
  <c r="U422" i="1" s="1"/>
  <c r="R422" i="1"/>
  <c r="W378" i="1"/>
  <c r="P378" i="1"/>
  <c r="V378" i="1"/>
  <c r="R378" i="1"/>
  <c r="R552" i="1"/>
  <c r="R537" i="1"/>
  <c r="W524" i="1"/>
  <c r="P524" i="1"/>
  <c r="X524" i="1"/>
  <c r="T524" i="1" s="1"/>
  <c r="U524" i="1" s="1"/>
  <c r="P505" i="1"/>
  <c r="X505" i="1"/>
  <c r="T505" i="1" s="1"/>
  <c r="U505" i="1" s="1"/>
  <c r="R502" i="1"/>
  <c r="V502" i="1"/>
  <c r="R500" i="1"/>
  <c r="W492" i="1"/>
  <c r="P492" i="1"/>
  <c r="X492" i="1"/>
  <c r="T492" i="1" s="1"/>
  <c r="U492" i="1" s="1"/>
  <c r="P473" i="1"/>
  <c r="X473" i="1"/>
  <c r="T473" i="1" s="1"/>
  <c r="U473" i="1" s="1"/>
  <c r="W469" i="1"/>
  <c r="P469" i="1"/>
  <c r="V469" i="1"/>
  <c r="R460" i="1"/>
  <c r="X460" i="1"/>
  <c r="T460" i="1" s="1"/>
  <c r="U460" i="1" s="1"/>
  <c r="P460" i="1"/>
  <c r="V460" i="1"/>
  <c r="X439" i="1"/>
  <c r="T439" i="1" s="1"/>
  <c r="U439" i="1" s="1"/>
  <c r="P439" i="1"/>
  <c r="R439" i="1"/>
  <c r="V439" i="1"/>
  <c r="W439" i="1"/>
  <c r="V428" i="1"/>
  <c r="R428" i="1"/>
  <c r="P428" i="1"/>
  <c r="W428" i="1"/>
  <c r="X428" i="1"/>
  <c r="T428" i="1" s="1"/>
  <c r="U428" i="1" s="1"/>
  <c r="V397" i="1"/>
  <c r="R397" i="1"/>
  <c r="P397" i="1"/>
  <c r="S389" i="1"/>
  <c r="Q389" i="1"/>
  <c r="W404" i="1"/>
  <c r="P404" i="1"/>
  <c r="X404" i="1"/>
  <c r="T404" i="1" s="1"/>
  <c r="U404" i="1" s="1"/>
  <c r="P377" i="1"/>
  <c r="X377" i="1"/>
  <c r="T377" i="1" s="1"/>
  <c r="U377" i="1" s="1"/>
  <c r="R377" i="1"/>
  <c r="W377" i="1"/>
  <c r="V278" i="1"/>
  <c r="W278" i="1"/>
  <c r="R278" i="1"/>
  <c r="P278" i="1"/>
  <c r="X278" i="1"/>
  <c r="T278" i="1" s="1"/>
  <c r="U278" i="1" s="1"/>
  <c r="X536" i="1"/>
  <c r="T536" i="1" s="1"/>
  <c r="U536" i="1" s="1"/>
  <c r="X528" i="1"/>
  <c r="T528" i="1" s="1"/>
  <c r="U528" i="1" s="1"/>
  <c r="W523" i="1"/>
  <c r="X520" i="1"/>
  <c r="T520" i="1" s="1"/>
  <c r="U520" i="1" s="1"/>
  <c r="W515" i="1"/>
  <c r="X512" i="1"/>
  <c r="T512" i="1" s="1"/>
  <c r="U512" i="1" s="1"/>
  <c r="W507" i="1"/>
  <c r="X504" i="1"/>
  <c r="T504" i="1" s="1"/>
  <c r="U504" i="1" s="1"/>
  <c r="W499" i="1"/>
  <c r="X496" i="1"/>
  <c r="T496" i="1" s="1"/>
  <c r="U496" i="1" s="1"/>
  <c r="W491" i="1"/>
  <c r="X488" i="1"/>
  <c r="T488" i="1" s="1"/>
  <c r="U488" i="1" s="1"/>
  <c r="W483" i="1"/>
  <c r="X480" i="1"/>
  <c r="T480" i="1" s="1"/>
  <c r="U480" i="1" s="1"/>
  <c r="W475" i="1"/>
  <c r="X472" i="1"/>
  <c r="T472" i="1" s="1"/>
  <c r="U472" i="1" s="1"/>
  <c r="X468" i="1"/>
  <c r="T468" i="1" s="1"/>
  <c r="U468" i="1" s="1"/>
  <c r="R461" i="1"/>
  <c r="R456" i="1"/>
  <c r="X453" i="1"/>
  <c r="T453" i="1" s="1"/>
  <c r="U453" i="1" s="1"/>
  <c r="R451" i="1"/>
  <c r="P450" i="1"/>
  <c r="X450" i="1"/>
  <c r="T450" i="1" s="1"/>
  <c r="U450" i="1" s="1"/>
  <c r="X448" i="1"/>
  <c r="T448" i="1" s="1"/>
  <c r="U448" i="1" s="1"/>
  <c r="R446" i="1"/>
  <c r="X443" i="1"/>
  <c r="T443" i="1" s="1"/>
  <c r="U443" i="1" s="1"/>
  <c r="X438" i="1"/>
  <c r="T438" i="1" s="1"/>
  <c r="U438" i="1" s="1"/>
  <c r="S400" i="1"/>
  <c r="Q400" i="1"/>
  <c r="V377" i="1"/>
  <c r="V373" i="1"/>
  <c r="P373" i="1"/>
  <c r="R373" i="1"/>
  <c r="X373" i="1"/>
  <c r="T373" i="1" s="1"/>
  <c r="U373" i="1" s="1"/>
  <c r="P265" i="1"/>
  <c r="X265" i="1"/>
  <c r="T265" i="1" s="1"/>
  <c r="U265" i="1" s="1"/>
  <c r="R265" i="1"/>
  <c r="V265" i="1"/>
  <c r="W265" i="1"/>
  <c r="V461" i="1"/>
  <c r="W456" i="1"/>
  <c r="W451" i="1"/>
  <c r="W446" i="1"/>
  <c r="V381" i="1"/>
  <c r="X381" i="1"/>
  <c r="T381" i="1" s="1"/>
  <c r="U381" i="1" s="1"/>
  <c r="P381" i="1"/>
  <c r="W372" i="1"/>
  <c r="P372" i="1"/>
  <c r="R372" i="1"/>
  <c r="X372" i="1"/>
  <c r="T372" i="1" s="1"/>
  <c r="U372" i="1" s="1"/>
  <c r="P345" i="1"/>
  <c r="X345" i="1"/>
  <c r="T345" i="1" s="1"/>
  <c r="U345" i="1" s="1"/>
  <c r="R345" i="1"/>
  <c r="V345" i="1"/>
  <c r="V311" i="1"/>
  <c r="W311" i="1"/>
  <c r="P311" i="1"/>
  <c r="X311" i="1"/>
  <c r="T311" i="1" s="1"/>
  <c r="U311" i="1" s="1"/>
  <c r="Q242" i="1"/>
  <c r="S242" i="1"/>
  <c r="R453" i="1"/>
  <c r="R448" i="1"/>
  <c r="P442" i="1"/>
  <c r="X442" i="1"/>
  <c r="T442" i="1" s="1"/>
  <c r="U442" i="1" s="1"/>
  <c r="R432" i="1"/>
  <c r="V432" i="1"/>
  <c r="X427" i="1"/>
  <c r="T427" i="1" s="1"/>
  <c r="U427" i="1" s="1"/>
  <c r="P424" i="1"/>
  <c r="X424" i="1"/>
  <c r="T424" i="1" s="1"/>
  <c r="U424" i="1" s="1"/>
  <c r="R424" i="1"/>
  <c r="V424" i="1"/>
  <c r="X419" i="1"/>
  <c r="T419" i="1" s="1"/>
  <c r="U419" i="1" s="1"/>
  <c r="P416" i="1"/>
  <c r="X416" i="1"/>
  <c r="T416" i="1" s="1"/>
  <c r="U416" i="1" s="1"/>
  <c r="R416" i="1"/>
  <c r="V416" i="1"/>
  <c r="X411" i="1"/>
  <c r="T411" i="1" s="1"/>
  <c r="U411" i="1" s="1"/>
  <c r="V407" i="1"/>
  <c r="P407" i="1"/>
  <c r="X407" i="1"/>
  <c r="T407" i="1" s="1"/>
  <c r="U407" i="1" s="1"/>
  <c r="R407" i="1"/>
  <c r="W407" i="1"/>
  <c r="W396" i="1"/>
  <c r="P396" i="1"/>
  <c r="V389" i="1"/>
  <c r="X389" i="1"/>
  <c r="T389" i="1" s="1"/>
  <c r="U389" i="1" s="1"/>
  <c r="R389" i="1"/>
  <c r="V303" i="1"/>
  <c r="W303" i="1"/>
  <c r="P303" i="1"/>
  <c r="X303" i="1"/>
  <c r="T303" i="1" s="1"/>
  <c r="U303" i="1" s="1"/>
  <c r="R303" i="1"/>
  <c r="X295" i="1"/>
  <c r="T295" i="1" s="1"/>
  <c r="U295" i="1" s="1"/>
  <c r="P295" i="1"/>
  <c r="V295" i="1"/>
  <c r="W295" i="1"/>
  <c r="R295" i="1"/>
  <c r="S226" i="1"/>
  <c r="Q226" i="1"/>
  <c r="V427" i="1"/>
  <c r="R426" i="1"/>
  <c r="P426" i="1"/>
  <c r="X426" i="1"/>
  <c r="T426" i="1" s="1"/>
  <c r="U426" i="1" s="1"/>
  <c r="V419" i="1"/>
  <c r="R418" i="1"/>
  <c r="P418" i="1"/>
  <c r="X418" i="1"/>
  <c r="T418" i="1" s="1"/>
  <c r="U418" i="1" s="1"/>
  <c r="V411" i="1"/>
  <c r="R410" i="1"/>
  <c r="P410" i="1"/>
  <c r="X410" i="1"/>
  <c r="T410" i="1" s="1"/>
  <c r="U410" i="1" s="1"/>
  <c r="R379" i="1"/>
  <c r="P379" i="1"/>
  <c r="W379" i="1"/>
  <c r="W345" i="1"/>
  <c r="P337" i="1"/>
  <c r="X337" i="1"/>
  <c r="T337" i="1" s="1"/>
  <c r="U337" i="1" s="1"/>
  <c r="R337" i="1"/>
  <c r="V337" i="1"/>
  <c r="Q276" i="1"/>
  <c r="S276" i="1"/>
  <c r="V274" i="1"/>
  <c r="P274" i="1"/>
  <c r="R274" i="1"/>
  <c r="X274" i="1"/>
  <c r="T274" i="1" s="1"/>
  <c r="U274" i="1" s="1"/>
  <c r="W274" i="1"/>
  <c r="V261" i="1"/>
  <c r="R261" i="1"/>
  <c r="W261" i="1"/>
  <c r="P261" i="1"/>
  <c r="X261" i="1"/>
  <c r="T261" i="1" s="1"/>
  <c r="U261" i="1" s="1"/>
  <c r="V349" i="1"/>
  <c r="R349" i="1"/>
  <c r="V341" i="1"/>
  <c r="R341" i="1"/>
  <c r="V327" i="1"/>
  <c r="W327" i="1"/>
  <c r="P327" i="1"/>
  <c r="X327" i="1"/>
  <c r="T327" i="1" s="1"/>
  <c r="U327" i="1" s="1"/>
  <c r="W316" i="1"/>
  <c r="P316" i="1"/>
  <c r="X316" i="1"/>
  <c r="T316" i="1" s="1"/>
  <c r="U316" i="1" s="1"/>
  <c r="V316" i="1"/>
  <c r="P305" i="1"/>
  <c r="X305" i="1"/>
  <c r="T305" i="1" s="1"/>
  <c r="U305" i="1" s="1"/>
  <c r="R305" i="1"/>
  <c r="V305" i="1"/>
  <c r="W305" i="1"/>
  <c r="P294" i="1"/>
  <c r="X294" i="1"/>
  <c r="T294" i="1" s="1"/>
  <c r="U294" i="1" s="1"/>
  <c r="R294" i="1"/>
  <c r="W294" i="1"/>
  <c r="R391" i="1"/>
  <c r="P385" i="1"/>
  <c r="X385" i="1"/>
  <c r="T385" i="1" s="1"/>
  <c r="U385" i="1" s="1"/>
  <c r="R385" i="1"/>
  <c r="V383" i="1"/>
  <c r="P383" i="1"/>
  <c r="X383" i="1"/>
  <c r="T383" i="1" s="1"/>
  <c r="U383" i="1" s="1"/>
  <c r="P365" i="1"/>
  <c r="P364" i="1"/>
  <c r="R359" i="1"/>
  <c r="R357" i="1"/>
  <c r="P353" i="1"/>
  <c r="X353" i="1"/>
  <c r="T353" i="1" s="1"/>
  <c r="U353" i="1" s="1"/>
  <c r="R353" i="1"/>
  <c r="V351" i="1"/>
  <c r="P351" i="1"/>
  <c r="X351" i="1"/>
  <c r="T351" i="1" s="1"/>
  <c r="U351" i="1" s="1"/>
  <c r="P348" i="1"/>
  <c r="V343" i="1"/>
  <c r="P343" i="1"/>
  <c r="X343" i="1"/>
  <c r="T343" i="1" s="1"/>
  <c r="U343" i="1" s="1"/>
  <c r="P340" i="1"/>
  <c r="V319" i="1"/>
  <c r="W319" i="1"/>
  <c r="P319" i="1"/>
  <c r="X319" i="1"/>
  <c r="T319" i="1" s="1"/>
  <c r="U319" i="1" s="1"/>
  <c r="W308" i="1"/>
  <c r="P308" i="1"/>
  <c r="X308" i="1"/>
  <c r="T308" i="1" s="1"/>
  <c r="U308" i="1" s="1"/>
  <c r="V308" i="1"/>
  <c r="R296" i="1"/>
  <c r="W296" i="1"/>
  <c r="X296" i="1"/>
  <c r="T296" i="1" s="1"/>
  <c r="U296" i="1" s="1"/>
  <c r="P296" i="1"/>
  <c r="V296" i="1"/>
  <c r="V294" i="1"/>
  <c r="P279" i="1"/>
  <c r="X279" i="1"/>
  <c r="T279" i="1" s="1"/>
  <c r="U279" i="1" s="1"/>
  <c r="R279" i="1"/>
  <c r="W279" i="1"/>
  <c r="V269" i="1"/>
  <c r="P269" i="1"/>
  <c r="R269" i="1"/>
  <c r="X269" i="1"/>
  <c r="T269" i="1" s="1"/>
  <c r="U269" i="1" s="1"/>
  <c r="P401" i="1"/>
  <c r="X401" i="1"/>
  <c r="T401" i="1" s="1"/>
  <c r="U401" i="1" s="1"/>
  <c r="R401" i="1"/>
  <c r="V399" i="1"/>
  <c r="P399" i="1"/>
  <c r="X399" i="1"/>
  <c r="T399" i="1" s="1"/>
  <c r="U399" i="1" s="1"/>
  <c r="W395" i="1"/>
  <c r="V394" i="1"/>
  <c r="P369" i="1"/>
  <c r="X369" i="1"/>
  <c r="T369" i="1" s="1"/>
  <c r="U369" i="1" s="1"/>
  <c r="R369" i="1"/>
  <c r="V367" i="1"/>
  <c r="P367" i="1"/>
  <c r="X367" i="1"/>
  <c r="T367" i="1" s="1"/>
  <c r="U367" i="1" s="1"/>
  <c r="W363" i="1"/>
  <c r="V362" i="1"/>
  <c r="W361" i="1"/>
  <c r="X357" i="1"/>
  <c r="T357" i="1" s="1"/>
  <c r="U357" i="1" s="1"/>
  <c r="X356" i="1"/>
  <c r="T356" i="1" s="1"/>
  <c r="U356" i="1" s="1"/>
  <c r="R347" i="1"/>
  <c r="P347" i="1"/>
  <c r="X347" i="1"/>
  <c r="T347" i="1" s="1"/>
  <c r="U347" i="1" s="1"/>
  <c r="R339" i="1"/>
  <c r="P339" i="1"/>
  <c r="X339" i="1"/>
  <c r="T339" i="1" s="1"/>
  <c r="U339" i="1" s="1"/>
  <c r="P329" i="1"/>
  <c r="X329" i="1"/>
  <c r="T329" i="1" s="1"/>
  <c r="U329" i="1" s="1"/>
  <c r="R329" i="1"/>
  <c r="V329" i="1"/>
  <c r="W329" i="1"/>
  <c r="S243" i="1"/>
  <c r="Q243" i="1"/>
  <c r="R370" i="1"/>
  <c r="V363" i="1"/>
  <c r="W357" i="1"/>
  <c r="V356" i="1"/>
  <c r="X349" i="1"/>
  <c r="T349" i="1" s="1"/>
  <c r="U349" i="1" s="1"/>
  <c r="X341" i="1"/>
  <c r="T341" i="1" s="1"/>
  <c r="U341" i="1" s="1"/>
  <c r="W332" i="1"/>
  <c r="P332" i="1"/>
  <c r="X332" i="1"/>
  <c r="T332" i="1" s="1"/>
  <c r="U332" i="1" s="1"/>
  <c r="V332" i="1"/>
  <c r="P321" i="1"/>
  <c r="X321" i="1"/>
  <c r="T321" i="1" s="1"/>
  <c r="U321" i="1" s="1"/>
  <c r="R321" i="1"/>
  <c r="V321" i="1"/>
  <c r="W321" i="1"/>
  <c r="P299" i="1"/>
  <c r="R299" i="1"/>
  <c r="W299" i="1"/>
  <c r="X299" i="1"/>
  <c r="T299" i="1" s="1"/>
  <c r="U299" i="1" s="1"/>
  <c r="P393" i="1"/>
  <c r="X393" i="1"/>
  <c r="T393" i="1" s="1"/>
  <c r="U393" i="1" s="1"/>
  <c r="R393" i="1"/>
  <c r="V391" i="1"/>
  <c r="P391" i="1"/>
  <c r="X391" i="1"/>
  <c r="T391" i="1" s="1"/>
  <c r="U391" i="1" s="1"/>
  <c r="P361" i="1"/>
  <c r="X361" i="1"/>
  <c r="T361" i="1" s="1"/>
  <c r="U361" i="1" s="1"/>
  <c r="R361" i="1"/>
  <c r="V359" i="1"/>
  <c r="P359" i="1"/>
  <c r="X359" i="1"/>
  <c r="T359" i="1" s="1"/>
  <c r="U359" i="1" s="1"/>
  <c r="W349" i="1"/>
  <c r="W341" i="1"/>
  <c r="V335" i="1"/>
  <c r="W335" i="1"/>
  <c r="P335" i="1"/>
  <c r="X335" i="1"/>
  <c r="T335" i="1" s="1"/>
  <c r="U335" i="1" s="1"/>
  <c r="W324" i="1"/>
  <c r="P324" i="1"/>
  <c r="X324" i="1"/>
  <c r="T324" i="1" s="1"/>
  <c r="U324" i="1" s="1"/>
  <c r="V324" i="1"/>
  <c r="P313" i="1"/>
  <c r="X313" i="1"/>
  <c r="T313" i="1" s="1"/>
  <c r="U313" i="1" s="1"/>
  <c r="R313" i="1"/>
  <c r="V313" i="1"/>
  <c r="W313" i="1"/>
  <c r="V284" i="1"/>
  <c r="P284" i="1"/>
  <c r="W284" i="1"/>
  <c r="X284" i="1"/>
  <c r="T284" i="1" s="1"/>
  <c r="U284" i="1" s="1"/>
  <c r="P273" i="1"/>
  <c r="X273" i="1"/>
  <c r="T273" i="1" s="1"/>
  <c r="U273" i="1" s="1"/>
  <c r="V273" i="1"/>
  <c r="W273" i="1"/>
  <c r="R273" i="1"/>
  <c r="P241" i="1"/>
  <c r="X241" i="1"/>
  <c r="T241" i="1" s="1"/>
  <c r="U241" i="1" s="1"/>
  <c r="R241" i="1"/>
  <c r="W241" i="1"/>
  <c r="V241" i="1"/>
  <c r="V289" i="1"/>
  <c r="W289" i="1"/>
  <c r="P283" i="1"/>
  <c r="X283" i="1"/>
  <c r="T283" i="1" s="1"/>
  <c r="U283" i="1" s="1"/>
  <c r="V281" i="1"/>
  <c r="W281" i="1"/>
  <c r="R281" i="1"/>
  <c r="R267" i="1"/>
  <c r="P267" i="1"/>
  <c r="W260" i="1"/>
  <c r="R260" i="1"/>
  <c r="V260" i="1"/>
  <c r="W220" i="1"/>
  <c r="P220" i="1"/>
  <c r="R220" i="1"/>
  <c r="X220" i="1"/>
  <c r="T220" i="1" s="1"/>
  <c r="U220" i="1" s="1"/>
  <c r="W334" i="1"/>
  <c r="R333" i="1"/>
  <c r="X331" i="1"/>
  <c r="T331" i="1" s="1"/>
  <c r="U331" i="1" s="1"/>
  <c r="P331" i="1"/>
  <c r="W326" i="1"/>
  <c r="R325" i="1"/>
  <c r="X323" i="1"/>
  <c r="T323" i="1" s="1"/>
  <c r="U323" i="1" s="1"/>
  <c r="P323" i="1"/>
  <c r="W318" i="1"/>
  <c r="R317" i="1"/>
  <c r="X315" i="1"/>
  <c r="T315" i="1" s="1"/>
  <c r="U315" i="1" s="1"/>
  <c r="P315" i="1"/>
  <c r="W310" i="1"/>
  <c r="R309" i="1"/>
  <c r="X307" i="1"/>
  <c r="T307" i="1" s="1"/>
  <c r="U307" i="1" s="1"/>
  <c r="P307" i="1"/>
  <c r="W302" i="1"/>
  <c r="R301" i="1"/>
  <c r="P298" i="1"/>
  <c r="R297" i="1"/>
  <c r="R289" i="1"/>
  <c r="R287" i="1"/>
  <c r="P280" i="1"/>
  <c r="W276" i="1"/>
  <c r="R276" i="1"/>
  <c r="V271" i="1"/>
  <c r="R271" i="1"/>
  <c r="V267" i="1"/>
  <c r="W242" i="1"/>
  <c r="V242" i="1"/>
  <c r="X242" i="1"/>
  <c r="T242" i="1" s="1"/>
  <c r="U242" i="1" s="1"/>
  <c r="R242" i="1"/>
  <c r="W234" i="1"/>
  <c r="P234" i="1"/>
  <c r="X234" i="1"/>
  <c r="T234" i="1" s="1"/>
  <c r="U234" i="1" s="1"/>
  <c r="W149" i="1"/>
  <c r="P149" i="1"/>
  <c r="R149" i="1"/>
  <c r="V149" i="1"/>
  <c r="X149" i="1"/>
  <c r="T149" i="1" s="1"/>
  <c r="U149" i="1" s="1"/>
  <c r="W268" i="1"/>
  <c r="V268" i="1"/>
  <c r="X268" i="1"/>
  <c r="T268" i="1" s="1"/>
  <c r="U268" i="1" s="1"/>
  <c r="R268" i="1"/>
  <c r="R219" i="1"/>
  <c r="W219" i="1"/>
  <c r="P219" i="1"/>
  <c r="X219" i="1"/>
  <c r="T219" i="1" s="1"/>
  <c r="U219" i="1" s="1"/>
  <c r="W212" i="1"/>
  <c r="P212" i="1"/>
  <c r="X212" i="1"/>
  <c r="T212" i="1" s="1"/>
  <c r="U212" i="1" s="1"/>
  <c r="R212" i="1"/>
  <c r="P209" i="1"/>
  <c r="X209" i="1"/>
  <c r="T209" i="1" s="1"/>
  <c r="U209" i="1" s="1"/>
  <c r="R209" i="1"/>
  <c r="W209" i="1"/>
  <c r="V88" i="1"/>
  <c r="X88" i="1"/>
  <c r="T88" i="1" s="1"/>
  <c r="U88" i="1" s="1"/>
  <c r="P88" i="1"/>
  <c r="W88" i="1"/>
  <c r="R88" i="1"/>
  <c r="S310" i="1"/>
  <c r="V297" i="1"/>
  <c r="X289" i="1"/>
  <c r="T289" i="1" s="1"/>
  <c r="U289" i="1" s="1"/>
  <c r="X288" i="1"/>
  <c r="T288" i="1" s="1"/>
  <c r="U288" i="1" s="1"/>
  <c r="X287" i="1"/>
  <c r="T287" i="1" s="1"/>
  <c r="U287" i="1" s="1"/>
  <c r="W266" i="1"/>
  <c r="P266" i="1"/>
  <c r="P233" i="1"/>
  <c r="X233" i="1"/>
  <c r="T233" i="1" s="1"/>
  <c r="U233" i="1" s="1"/>
  <c r="R233" i="1"/>
  <c r="V233" i="1"/>
  <c r="V219" i="1"/>
  <c r="W218" i="1"/>
  <c r="R218" i="1"/>
  <c r="P218" i="1"/>
  <c r="V218" i="1"/>
  <c r="X218" i="1"/>
  <c r="T218" i="1" s="1"/>
  <c r="U218" i="1" s="1"/>
  <c r="V212" i="1"/>
  <c r="Q210" i="1"/>
  <c r="S210" i="1"/>
  <c r="R179" i="1"/>
  <c r="P179" i="1"/>
  <c r="W179" i="1"/>
  <c r="V179" i="1"/>
  <c r="X179" i="1"/>
  <c r="T179" i="1" s="1"/>
  <c r="U179" i="1" s="1"/>
  <c r="P291" i="1"/>
  <c r="X291" i="1"/>
  <c r="T291" i="1" s="1"/>
  <c r="U291" i="1" s="1"/>
  <c r="W288" i="1"/>
  <c r="W287" i="1"/>
  <c r="X281" i="1"/>
  <c r="T281" i="1" s="1"/>
  <c r="U281" i="1" s="1"/>
  <c r="P268" i="1"/>
  <c r="V266" i="1"/>
  <c r="V263" i="1"/>
  <c r="P263" i="1"/>
  <c r="X263" i="1"/>
  <c r="T263" i="1" s="1"/>
  <c r="U263" i="1" s="1"/>
  <c r="R263" i="1"/>
  <c r="R243" i="1"/>
  <c r="W243" i="1"/>
  <c r="X243" i="1"/>
  <c r="T243" i="1" s="1"/>
  <c r="U243" i="1" s="1"/>
  <c r="V243" i="1"/>
  <c r="V239" i="1"/>
  <c r="P239" i="1"/>
  <c r="X239" i="1"/>
  <c r="T239" i="1" s="1"/>
  <c r="U239" i="1" s="1"/>
  <c r="W239" i="1"/>
  <c r="R235" i="1"/>
  <c r="P235" i="1"/>
  <c r="V235" i="1"/>
  <c r="X235" i="1"/>
  <c r="T235" i="1" s="1"/>
  <c r="U235" i="1" s="1"/>
  <c r="W233" i="1"/>
  <c r="W226" i="1"/>
  <c r="R226" i="1"/>
  <c r="X226" i="1"/>
  <c r="T226" i="1" s="1"/>
  <c r="U226" i="1" s="1"/>
  <c r="V226" i="1"/>
  <c r="V209" i="1"/>
  <c r="S106" i="1"/>
  <c r="V288" i="1"/>
  <c r="W283" i="1"/>
  <c r="X267" i="1"/>
  <c r="T267" i="1" s="1"/>
  <c r="U267" i="1" s="1"/>
  <c r="W263" i="1"/>
  <c r="Q238" i="1"/>
  <c r="S238" i="1"/>
  <c r="W235" i="1"/>
  <c r="V229" i="1"/>
  <c r="P229" i="1"/>
  <c r="R229" i="1"/>
  <c r="W229" i="1"/>
  <c r="V194" i="1"/>
  <c r="W194" i="1"/>
  <c r="R194" i="1"/>
  <c r="P194" i="1"/>
  <c r="W188" i="1"/>
  <c r="P188" i="1"/>
  <c r="X188" i="1"/>
  <c r="T188" i="1" s="1"/>
  <c r="U188" i="1" s="1"/>
  <c r="V188" i="1"/>
  <c r="R188" i="1"/>
  <c r="V210" i="1"/>
  <c r="W210" i="1"/>
  <c r="R210" i="1"/>
  <c r="W204" i="1"/>
  <c r="P204" i="1"/>
  <c r="X204" i="1"/>
  <c r="T204" i="1" s="1"/>
  <c r="U204" i="1" s="1"/>
  <c r="V204" i="1"/>
  <c r="P162" i="1"/>
  <c r="X162" i="1"/>
  <c r="T162" i="1" s="1"/>
  <c r="U162" i="1" s="1"/>
  <c r="R162" i="1"/>
  <c r="V150" i="1"/>
  <c r="P150" i="1"/>
  <c r="R150" i="1"/>
  <c r="X150" i="1"/>
  <c r="T150" i="1" s="1"/>
  <c r="U150" i="1" s="1"/>
  <c r="P122" i="1"/>
  <c r="X122" i="1"/>
  <c r="T122" i="1" s="1"/>
  <c r="U122" i="1" s="1"/>
  <c r="R122" i="1"/>
  <c r="W122" i="1"/>
  <c r="V100" i="1"/>
  <c r="P100" i="1"/>
  <c r="X100" i="1"/>
  <c r="T100" i="1" s="1"/>
  <c r="U100" i="1" s="1"/>
  <c r="R100" i="1"/>
  <c r="W100" i="1"/>
  <c r="P217" i="1"/>
  <c r="X217" i="1"/>
  <c r="T217" i="1" s="1"/>
  <c r="U217" i="1" s="1"/>
  <c r="R217" i="1"/>
  <c r="P185" i="1"/>
  <c r="X185" i="1"/>
  <c r="T185" i="1" s="1"/>
  <c r="U185" i="1" s="1"/>
  <c r="R185" i="1"/>
  <c r="W185" i="1"/>
  <c r="R180" i="1"/>
  <c r="W180" i="1"/>
  <c r="P180" i="1"/>
  <c r="V180" i="1"/>
  <c r="Q157" i="1"/>
  <c r="S157" i="1"/>
  <c r="X275" i="1"/>
  <c r="T275" i="1" s="1"/>
  <c r="U275" i="1" s="1"/>
  <c r="X259" i="1"/>
  <c r="T259" i="1" s="1"/>
  <c r="U259" i="1" s="1"/>
  <c r="X258" i="1"/>
  <c r="T258" i="1" s="1"/>
  <c r="U258" i="1" s="1"/>
  <c r="P251" i="1"/>
  <c r="P250" i="1"/>
  <c r="R244" i="1"/>
  <c r="R227" i="1"/>
  <c r="W227" i="1"/>
  <c r="V202" i="1"/>
  <c r="W202" i="1"/>
  <c r="R202" i="1"/>
  <c r="W196" i="1"/>
  <c r="P196" i="1"/>
  <c r="X196" i="1"/>
  <c r="T196" i="1" s="1"/>
  <c r="U196" i="1" s="1"/>
  <c r="V196" i="1"/>
  <c r="V185" i="1"/>
  <c r="V183" i="1"/>
  <c r="W183" i="1"/>
  <c r="X183" i="1"/>
  <c r="T183" i="1" s="1"/>
  <c r="U183" i="1" s="1"/>
  <c r="R183" i="1"/>
  <c r="X180" i="1"/>
  <c r="T180" i="1" s="1"/>
  <c r="U180" i="1" s="1"/>
  <c r="W162" i="1"/>
  <c r="W150" i="1"/>
  <c r="V116" i="1"/>
  <c r="P116" i="1"/>
  <c r="R116" i="1"/>
  <c r="X116" i="1"/>
  <c r="T116" i="1" s="1"/>
  <c r="U116" i="1" s="1"/>
  <c r="P257" i="1"/>
  <c r="X257" i="1"/>
  <c r="T257" i="1" s="1"/>
  <c r="U257" i="1" s="1"/>
  <c r="R257" i="1"/>
  <c r="V255" i="1"/>
  <c r="P255" i="1"/>
  <c r="X255" i="1"/>
  <c r="T255" i="1" s="1"/>
  <c r="U255" i="1" s="1"/>
  <c r="W251" i="1"/>
  <c r="V250" i="1"/>
  <c r="W249" i="1"/>
  <c r="X245" i="1"/>
  <c r="T245" i="1" s="1"/>
  <c r="U245" i="1" s="1"/>
  <c r="X244" i="1"/>
  <c r="T244" i="1" s="1"/>
  <c r="U244" i="1" s="1"/>
  <c r="X213" i="1"/>
  <c r="T213" i="1" s="1"/>
  <c r="U213" i="1" s="1"/>
  <c r="P201" i="1"/>
  <c r="X201" i="1"/>
  <c r="T201" i="1" s="1"/>
  <c r="U201" i="1" s="1"/>
  <c r="R201" i="1"/>
  <c r="W201" i="1"/>
  <c r="W181" i="1"/>
  <c r="P181" i="1"/>
  <c r="X181" i="1"/>
  <c r="T181" i="1" s="1"/>
  <c r="U181" i="1" s="1"/>
  <c r="Q155" i="1"/>
  <c r="S155" i="1"/>
  <c r="V251" i="1"/>
  <c r="W245" i="1"/>
  <c r="V244" i="1"/>
  <c r="V186" i="1"/>
  <c r="W186" i="1"/>
  <c r="R186" i="1"/>
  <c r="R148" i="1"/>
  <c r="W148" i="1"/>
  <c r="P148" i="1"/>
  <c r="V148" i="1"/>
  <c r="X148" i="1"/>
  <c r="T148" i="1" s="1"/>
  <c r="U148" i="1" s="1"/>
  <c r="P111" i="1"/>
  <c r="R111" i="1"/>
  <c r="V111" i="1"/>
  <c r="W111" i="1"/>
  <c r="X111" i="1"/>
  <c r="T111" i="1" s="1"/>
  <c r="U111" i="1" s="1"/>
  <c r="P249" i="1"/>
  <c r="X249" i="1"/>
  <c r="T249" i="1" s="1"/>
  <c r="U249" i="1" s="1"/>
  <c r="R249" i="1"/>
  <c r="V247" i="1"/>
  <c r="P247" i="1"/>
  <c r="X247" i="1"/>
  <c r="T247" i="1" s="1"/>
  <c r="U247" i="1" s="1"/>
  <c r="P225" i="1"/>
  <c r="X225" i="1"/>
  <c r="T225" i="1" s="1"/>
  <c r="U225" i="1" s="1"/>
  <c r="R225" i="1"/>
  <c r="X210" i="1"/>
  <c r="T210" i="1" s="1"/>
  <c r="U210" i="1" s="1"/>
  <c r="P193" i="1"/>
  <c r="X193" i="1"/>
  <c r="T193" i="1" s="1"/>
  <c r="U193" i="1" s="1"/>
  <c r="R193" i="1"/>
  <c r="W193" i="1"/>
  <c r="P178" i="1"/>
  <c r="X178" i="1"/>
  <c r="T178" i="1" s="1"/>
  <c r="U178" i="1" s="1"/>
  <c r="R178" i="1"/>
  <c r="V178" i="1"/>
  <c r="W171" i="1"/>
  <c r="R171" i="1"/>
  <c r="P171" i="1"/>
  <c r="X171" i="1"/>
  <c r="T171" i="1" s="1"/>
  <c r="U171" i="1" s="1"/>
  <c r="W139" i="1"/>
  <c r="R139" i="1"/>
  <c r="P139" i="1"/>
  <c r="X139" i="1"/>
  <c r="T139" i="1" s="1"/>
  <c r="U139" i="1" s="1"/>
  <c r="W125" i="1"/>
  <c r="V125" i="1"/>
  <c r="P125" i="1"/>
  <c r="R125" i="1"/>
  <c r="X125" i="1"/>
  <c r="T125" i="1" s="1"/>
  <c r="U125" i="1" s="1"/>
  <c r="V157" i="1"/>
  <c r="W155" i="1"/>
  <c r="R155" i="1"/>
  <c r="P146" i="1"/>
  <c r="X146" i="1"/>
  <c r="T146" i="1" s="1"/>
  <c r="U146" i="1" s="1"/>
  <c r="R146" i="1"/>
  <c r="W38" i="1"/>
  <c r="P38" i="1"/>
  <c r="R38" i="1"/>
  <c r="V38" i="1"/>
  <c r="X38" i="1"/>
  <c r="T38" i="1" s="1"/>
  <c r="U38" i="1" s="1"/>
  <c r="R156" i="1"/>
  <c r="W156" i="1"/>
  <c r="R124" i="1"/>
  <c r="W124" i="1"/>
  <c r="X224" i="1"/>
  <c r="T224" i="1" s="1"/>
  <c r="U224" i="1" s="1"/>
  <c r="X216" i="1"/>
  <c r="T216" i="1" s="1"/>
  <c r="U216" i="1" s="1"/>
  <c r="W211" i="1"/>
  <c r="X208" i="1"/>
  <c r="T208" i="1" s="1"/>
  <c r="U208" i="1" s="1"/>
  <c r="W203" i="1"/>
  <c r="X200" i="1"/>
  <c r="T200" i="1" s="1"/>
  <c r="U200" i="1" s="1"/>
  <c r="W195" i="1"/>
  <c r="X192" i="1"/>
  <c r="T192" i="1" s="1"/>
  <c r="U192" i="1" s="1"/>
  <c r="W187" i="1"/>
  <c r="X184" i="1"/>
  <c r="T184" i="1" s="1"/>
  <c r="U184" i="1" s="1"/>
  <c r="X175" i="1"/>
  <c r="T175" i="1" s="1"/>
  <c r="U175" i="1" s="1"/>
  <c r="X174" i="1"/>
  <c r="T174" i="1" s="1"/>
  <c r="U174" i="1" s="1"/>
  <c r="P170" i="1"/>
  <c r="X170" i="1"/>
  <c r="T170" i="1" s="1"/>
  <c r="U170" i="1" s="1"/>
  <c r="R170" i="1"/>
  <c r="R166" i="1"/>
  <c r="P165" i="1"/>
  <c r="W147" i="1"/>
  <c r="R147" i="1"/>
  <c r="P138" i="1"/>
  <c r="X138" i="1"/>
  <c r="T138" i="1" s="1"/>
  <c r="U138" i="1" s="1"/>
  <c r="R138" i="1"/>
  <c r="R134" i="1"/>
  <c r="P133" i="1"/>
  <c r="P130" i="1"/>
  <c r="X130" i="1"/>
  <c r="T130" i="1" s="1"/>
  <c r="U130" i="1" s="1"/>
  <c r="R130" i="1"/>
  <c r="W130" i="1"/>
  <c r="R112" i="1"/>
  <c r="X112" i="1"/>
  <c r="T112" i="1" s="1"/>
  <c r="U112" i="1" s="1"/>
  <c r="P112" i="1"/>
  <c r="V112" i="1"/>
  <c r="W112" i="1"/>
  <c r="R80" i="1"/>
  <c r="X80" i="1"/>
  <c r="T80" i="1" s="1"/>
  <c r="U80" i="1" s="1"/>
  <c r="P80" i="1"/>
  <c r="V80" i="1"/>
  <c r="P76" i="1"/>
  <c r="X76" i="1"/>
  <c r="T76" i="1" s="1"/>
  <c r="U76" i="1" s="1"/>
  <c r="V76" i="1"/>
  <c r="R76" i="1"/>
  <c r="R172" i="1"/>
  <c r="W172" i="1"/>
  <c r="R140" i="1"/>
  <c r="W140" i="1"/>
  <c r="W131" i="1"/>
  <c r="R131" i="1"/>
  <c r="Q105" i="1"/>
  <c r="S105" i="1"/>
  <c r="R55" i="1"/>
  <c r="V55" i="1"/>
  <c r="P55" i="1"/>
  <c r="W55" i="1"/>
  <c r="X55" i="1"/>
  <c r="T55" i="1" s="1"/>
  <c r="U55" i="1" s="1"/>
  <c r="X166" i="1"/>
  <c r="T166" i="1" s="1"/>
  <c r="U166" i="1" s="1"/>
  <c r="W163" i="1"/>
  <c r="R163" i="1"/>
  <c r="X155" i="1"/>
  <c r="T155" i="1" s="1"/>
  <c r="U155" i="1" s="1"/>
  <c r="P154" i="1"/>
  <c r="X154" i="1"/>
  <c r="T154" i="1" s="1"/>
  <c r="U154" i="1" s="1"/>
  <c r="R154" i="1"/>
  <c r="X134" i="1"/>
  <c r="T134" i="1" s="1"/>
  <c r="U134" i="1" s="1"/>
  <c r="V133" i="1"/>
  <c r="Q176" i="1"/>
  <c r="R175" i="1"/>
  <c r="R173" i="1"/>
  <c r="W166" i="1"/>
  <c r="R164" i="1"/>
  <c r="W164" i="1"/>
  <c r="X157" i="1"/>
  <c r="T157" i="1" s="1"/>
  <c r="U157" i="1" s="1"/>
  <c r="X156" i="1"/>
  <c r="T156" i="1" s="1"/>
  <c r="U156" i="1" s="1"/>
  <c r="V155" i="1"/>
  <c r="W146" i="1"/>
  <c r="R141" i="1"/>
  <c r="W134" i="1"/>
  <c r="R132" i="1"/>
  <c r="W132" i="1"/>
  <c r="W123" i="1"/>
  <c r="R123" i="1"/>
  <c r="W95" i="1"/>
  <c r="R95" i="1"/>
  <c r="P95" i="1"/>
  <c r="P107" i="1"/>
  <c r="X107" i="1"/>
  <c r="T107" i="1" s="1"/>
  <c r="U107" i="1" s="1"/>
  <c r="W105" i="1"/>
  <c r="V105" i="1"/>
  <c r="W97" i="1"/>
  <c r="P97" i="1"/>
  <c r="V97" i="1"/>
  <c r="S64" i="1"/>
  <c r="Q64" i="1"/>
  <c r="P53" i="1"/>
  <c r="X53" i="1"/>
  <c r="T53" i="1" s="1"/>
  <c r="U53" i="1" s="1"/>
  <c r="R53" i="1"/>
  <c r="V53" i="1"/>
  <c r="W53" i="1"/>
  <c r="V93" i="1"/>
  <c r="X93" i="1"/>
  <c r="T93" i="1" s="1"/>
  <c r="U93" i="1" s="1"/>
  <c r="V82" i="1"/>
  <c r="X82" i="1"/>
  <c r="T82" i="1" s="1"/>
  <c r="U82" i="1" s="1"/>
  <c r="W82" i="1"/>
  <c r="Q62" i="1"/>
  <c r="S62" i="1"/>
  <c r="X177" i="1"/>
  <c r="T177" i="1" s="1"/>
  <c r="U177" i="1" s="1"/>
  <c r="X169" i="1"/>
  <c r="T169" i="1" s="1"/>
  <c r="U169" i="1" s="1"/>
  <c r="X161" i="1"/>
  <c r="T161" i="1" s="1"/>
  <c r="U161" i="1" s="1"/>
  <c r="X153" i="1"/>
  <c r="T153" i="1" s="1"/>
  <c r="U153" i="1" s="1"/>
  <c r="X145" i="1"/>
  <c r="T145" i="1" s="1"/>
  <c r="U145" i="1" s="1"/>
  <c r="X137" i="1"/>
  <c r="T137" i="1" s="1"/>
  <c r="U137" i="1" s="1"/>
  <c r="X129" i="1"/>
  <c r="T129" i="1" s="1"/>
  <c r="U129" i="1" s="1"/>
  <c r="X121" i="1"/>
  <c r="T121" i="1" s="1"/>
  <c r="U121" i="1" s="1"/>
  <c r="W115" i="1"/>
  <c r="R113" i="1"/>
  <c r="R108" i="1"/>
  <c r="R105" i="1"/>
  <c r="P104" i="1"/>
  <c r="R93" i="1"/>
  <c r="W87" i="1"/>
  <c r="X87" i="1"/>
  <c r="T87" i="1" s="1"/>
  <c r="U87" i="1" s="1"/>
  <c r="V87" i="1"/>
  <c r="X113" i="1"/>
  <c r="T113" i="1" s="1"/>
  <c r="U113" i="1" s="1"/>
  <c r="P110" i="1"/>
  <c r="X110" i="1"/>
  <c r="T110" i="1" s="1"/>
  <c r="U110" i="1" s="1"/>
  <c r="X108" i="1"/>
  <c r="T108" i="1" s="1"/>
  <c r="U108" i="1" s="1"/>
  <c r="V103" i="1"/>
  <c r="P102" i="1"/>
  <c r="X102" i="1"/>
  <c r="T102" i="1" s="1"/>
  <c r="U102" i="1" s="1"/>
  <c r="R102" i="1"/>
  <c r="W102" i="1"/>
  <c r="Q79" i="1"/>
  <c r="S79" i="1"/>
  <c r="W54" i="1"/>
  <c r="P54" i="1"/>
  <c r="V54" i="1"/>
  <c r="X54" i="1"/>
  <c r="T54" i="1" s="1"/>
  <c r="U54" i="1" s="1"/>
  <c r="Q31" i="1"/>
  <c r="S31" i="1"/>
  <c r="V113" i="1"/>
  <c r="W108" i="1"/>
  <c r="W107" i="1"/>
  <c r="X105" i="1"/>
  <c r="T105" i="1" s="1"/>
  <c r="U105" i="1" s="1"/>
  <c r="P96" i="1"/>
  <c r="R96" i="1"/>
  <c r="X96" i="1"/>
  <c r="T96" i="1" s="1"/>
  <c r="U96" i="1" s="1"/>
  <c r="V90" i="1"/>
  <c r="R90" i="1"/>
  <c r="P81" i="1"/>
  <c r="V81" i="1"/>
  <c r="X81" i="1"/>
  <c r="T81" i="1" s="1"/>
  <c r="U81" i="1" s="1"/>
  <c r="R110" i="1"/>
  <c r="V107" i="1"/>
  <c r="R103" i="1"/>
  <c r="X97" i="1"/>
  <c r="T97" i="1" s="1"/>
  <c r="U97" i="1" s="1"/>
  <c r="P92" i="1"/>
  <c r="X92" i="1"/>
  <c r="T92" i="1" s="1"/>
  <c r="U92" i="1" s="1"/>
  <c r="W92" i="1"/>
  <c r="V92" i="1"/>
  <c r="X77" i="1"/>
  <c r="T77" i="1" s="1"/>
  <c r="U77" i="1" s="1"/>
  <c r="W77" i="1"/>
  <c r="X99" i="1"/>
  <c r="T99" i="1" s="1"/>
  <c r="U99" i="1" s="1"/>
  <c r="P86" i="1"/>
  <c r="P67" i="1"/>
  <c r="P66" i="1"/>
  <c r="V59" i="1"/>
  <c r="W59" i="1"/>
  <c r="V57" i="1"/>
  <c r="P50" i="1"/>
  <c r="P65" i="1"/>
  <c r="P49" i="1"/>
  <c r="V23" i="1"/>
  <c r="R23" i="1"/>
  <c r="X23" i="1"/>
  <c r="T23" i="1" s="1"/>
  <c r="U23" i="1" s="1"/>
  <c r="P74" i="1"/>
  <c r="P69" i="1"/>
  <c r="X69" i="1"/>
  <c r="T69" i="1" s="1"/>
  <c r="U69" i="1" s="1"/>
  <c r="V69" i="1"/>
  <c r="X67" i="1"/>
  <c r="T67" i="1" s="1"/>
  <c r="U67" i="1" s="1"/>
  <c r="X66" i="1"/>
  <c r="T66" i="1" s="1"/>
  <c r="U66" i="1" s="1"/>
  <c r="R58" i="1"/>
  <c r="X50" i="1"/>
  <c r="T50" i="1" s="1"/>
  <c r="U50" i="1" s="1"/>
  <c r="P47" i="1"/>
  <c r="P43" i="1"/>
  <c r="X43" i="1"/>
  <c r="T43" i="1" s="1"/>
  <c r="U43" i="1" s="1"/>
  <c r="R43" i="1"/>
  <c r="V43" i="1"/>
  <c r="W23" i="1"/>
  <c r="W22" i="1"/>
  <c r="P22" i="1"/>
  <c r="X22" i="1"/>
  <c r="T22" i="1" s="1"/>
  <c r="U22" i="1" s="1"/>
  <c r="R22" i="1"/>
  <c r="P13" i="1"/>
  <c r="X13" i="1"/>
  <c r="T13" i="1" s="1"/>
  <c r="R13" i="1"/>
  <c r="V13" i="1"/>
  <c r="V15" i="1"/>
  <c r="R15" i="1"/>
  <c r="X15" i="1"/>
  <c r="T15" i="1" s="1"/>
  <c r="U15" i="1" s="1"/>
  <c r="V65" i="1"/>
  <c r="W15" i="1"/>
  <c r="W48" i="1"/>
  <c r="P48" i="1"/>
  <c r="V31" i="1"/>
  <c r="R31" i="1"/>
  <c r="X31" i="1"/>
  <c r="T31" i="1" s="1"/>
  <c r="U31" i="1" s="1"/>
  <c r="P84" i="1"/>
  <c r="X84" i="1"/>
  <c r="T84" i="1" s="1"/>
  <c r="U84" i="1" s="1"/>
  <c r="V72" i="1"/>
  <c r="R67" i="1"/>
  <c r="W64" i="1"/>
  <c r="V64" i="1"/>
  <c r="R63" i="1"/>
  <c r="P63" i="1"/>
  <c r="P61" i="1"/>
  <c r="X61" i="1"/>
  <c r="T61" i="1" s="1"/>
  <c r="U61" i="1" s="1"/>
  <c r="R49" i="1"/>
  <c r="W31" i="1"/>
  <c r="W30" i="1"/>
  <c r="P30" i="1"/>
  <c r="X30" i="1"/>
  <c r="T30" i="1" s="1"/>
  <c r="U30" i="1" s="1"/>
  <c r="R30" i="1"/>
  <c r="P15" i="1"/>
  <c r="R45" i="1"/>
  <c r="P45" i="1"/>
  <c r="X45" i="1"/>
  <c r="T45" i="1" s="1"/>
  <c r="U45" i="1" s="1"/>
  <c r="R37" i="1"/>
  <c r="P37" i="1"/>
  <c r="X37" i="1"/>
  <c r="T37" i="1" s="1"/>
  <c r="U37" i="1" s="1"/>
  <c r="V33" i="1"/>
  <c r="W33" i="1"/>
  <c r="P33" i="1"/>
  <c r="X33" i="1"/>
  <c r="T33" i="1" s="1"/>
  <c r="U33" i="1" s="1"/>
  <c r="V25" i="1"/>
  <c r="W25" i="1"/>
  <c r="P25" i="1"/>
  <c r="X25" i="1"/>
  <c r="T25" i="1" s="1"/>
  <c r="U25" i="1" s="1"/>
  <c r="V17" i="1"/>
  <c r="W17" i="1"/>
  <c r="P17" i="1"/>
  <c r="X17" i="1"/>
  <c r="T17" i="1" s="1"/>
  <c r="U17" i="1" s="1"/>
  <c r="V39" i="1"/>
  <c r="R39" i="1"/>
  <c r="V14" i="1"/>
  <c r="W14" i="1"/>
  <c r="P14" i="1"/>
  <c r="X14" i="1"/>
  <c r="T14" i="1" s="1"/>
  <c r="V41" i="1"/>
  <c r="P41" i="1"/>
  <c r="X41" i="1"/>
  <c r="T41" i="1" s="1"/>
  <c r="U41" i="1" s="1"/>
  <c r="P35" i="1"/>
  <c r="X35" i="1"/>
  <c r="T35" i="1" s="1"/>
  <c r="U35" i="1" s="1"/>
  <c r="R35" i="1"/>
  <c r="V35" i="1"/>
  <c r="P27" i="1"/>
  <c r="X27" i="1"/>
  <c r="T27" i="1" s="1"/>
  <c r="U27" i="1" s="1"/>
  <c r="R27" i="1"/>
  <c r="V27" i="1"/>
  <c r="P19" i="1"/>
  <c r="X19" i="1"/>
  <c r="T19" i="1" s="1"/>
  <c r="U19" i="1" s="1"/>
  <c r="R19" i="1"/>
  <c r="V19" i="1"/>
  <c r="S18" i="1"/>
  <c r="Q18" i="1"/>
  <c r="X29" i="1"/>
  <c r="T29" i="1" s="1"/>
  <c r="U29" i="1" s="1"/>
  <c r="P29" i="1"/>
  <c r="X21" i="1"/>
  <c r="T21" i="1" s="1"/>
  <c r="U21" i="1" s="1"/>
  <c r="P21" i="1"/>
  <c r="X12" i="1"/>
  <c r="T12" i="1" s="1"/>
  <c r="P12" i="1"/>
  <c r="S120" i="1" l="1"/>
  <c r="Q292" i="1"/>
  <c r="Q207" i="1"/>
  <c r="S40" i="1"/>
  <c r="S718" i="1"/>
  <c r="S24" i="1"/>
  <c r="S73" i="1"/>
  <c r="S151" i="1"/>
  <c r="Q954" i="1"/>
  <c r="S886" i="1"/>
  <c r="S674" i="1"/>
  <c r="Q160" i="1"/>
  <c r="S166" i="1"/>
  <c r="Q99" i="1"/>
  <c r="S252" i="1"/>
  <c r="Q595" i="1"/>
  <c r="Q462" i="1"/>
  <c r="S812" i="1"/>
  <c r="Q720" i="1"/>
  <c r="S911" i="1"/>
  <c r="Q664" i="1"/>
  <c r="S34" i="1"/>
  <c r="Q433" i="1"/>
  <c r="Q362" i="1"/>
  <c r="S636" i="1"/>
  <c r="Q186" i="1"/>
  <c r="Q36" i="1"/>
  <c r="Q82" i="1"/>
  <c r="S143" i="1"/>
  <c r="S587" i="1"/>
  <c r="Q876" i="1"/>
  <c r="Q103" i="1"/>
  <c r="S974" i="1"/>
  <c r="Q83" i="1"/>
  <c r="Q134" i="1"/>
  <c r="S982" i="1"/>
  <c r="S119" i="1"/>
  <c r="Q262" i="1"/>
  <c r="S203" i="1"/>
  <c r="S735" i="1"/>
  <c r="S189" i="1"/>
  <c r="S152" i="1"/>
  <c r="Q634" i="1"/>
  <c r="Q914" i="1"/>
  <c r="Q260" i="1"/>
  <c r="S879" i="1"/>
  <c r="Q192" i="1"/>
  <c r="S732" i="1"/>
  <c r="S190" i="1"/>
  <c r="Q557" i="1"/>
  <c r="Q950" i="1"/>
  <c r="Q406" i="1"/>
  <c r="Q56" i="1"/>
  <c r="S427" i="1"/>
  <c r="Q763" i="1"/>
  <c r="S527" i="1"/>
  <c r="S844" i="1"/>
  <c r="Q831" i="1"/>
  <c r="Q328" i="1"/>
  <c r="Q561" i="1"/>
  <c r="Q654" i="1"/>
  <c r="S834" i="1"/>
  <c r="S882" i="1"/>
  <c r="Q855" i="1"/>
  <c r="Q169" i="1"/>
  <c r="Q87" i="1"/>
  <c r="Q704" i="1"/>
  <c r="S480" i="1"/>
  <c r="Q211" i="1"/>
  <c r="S271" i="1"/>
  <c r="S89" i="1"/>
  <c r="Q246" i="1"/>
  <c r="S113" i="1"/>
  <c r="Q338" i="1"/>
  <c r="S355" i="1"/>
  <c r="Q368" i="1"/>
  <c r="S794" i="1"/>
  <c r="Q598" i="1"/>
  <c r="S666" i="1"/>
  <c r="S926" i="1"/>
  <c r="Q922" i="1"/>
  <c r="Q168" i="1"/>
  <c r="S632" i="1"/>
  <c r="Q441" i="1"/>
  <c r="Q663" i="1"/>
  <c r="S444" i="1"/>
  <c r="Q164" i="1"/>
  <c r="Q325" i="1"/>
  <c r="S46" i="1"/>
  <c r="Q205" i="1"/>
  <c r="Q135" i="1"/>
  <c r="S374" i="1"/>
  <c r="Q304" i="1"/>
  <c r="S342" i="1"/>
  <c r="S510" i="1"/>
  <c r="Q504" i="1"/>
  <c r="S301" i="1"/>
  <c r="Q431" i="1"/>
  <c r="Q592" i="1"/>
  <c r="Q701" i="1"/>
  <c r="Q39" i="1"/>
  <c r="S16" i="1"/>
  <c r="Q630" i="1"/>
  <c r="S677" i="1"/>
  <c r="S910" i="1"/>
  <c r="S894" i="1"/>
  <c r="Q256" i="1"/>
  <c r="Q384" i="1"/>
  <c r="Q588" i="1"/>
  <c r="S874" i="1"/>
  <c r="S808" i="1"/>
  <c r="Q716" i="1"/>
  <c r="S318" i="1"/>
  <c r="Q437" i="1"/>
  <c r="S708" i="1"/>
  <c r="Q865" i="1"/>
  <c r="Q712" i="1"/>
  <c r="S649" i="1"/>
  <c r="Q650" i="1"/>
  <c r="Q191" i="1"/>
  <c r="S131" i="1"/>
  <c r="Q344" i="1"/>
  <c r="S187" i="1"/>
  <c r="S334" i="1"/>
  <c r="S254" i="1"/>
  <c r="Q356" i="1"/>
  <c r="Q628" i="1"/>
  <c r="Q197" i="1"/>
  <c r="S85" i="1"/>
  <c r="S206" i="1"/>
  <c r="S230" i="1"/>
  <c r="Q425" i="1"/>
  <c r="S642" i="1"/>
  <c r="S60" i="1"/>
  <c r="Q496" i="1"/>
  <c r="Q569" i="1"/>
  <c r="S42" i="1"/>
  <c r="S141" i="1"/>
  <c r="S174" i="1"/>
  <c r="S724" i="1"/>
  <c r="S884" i="1"/>
  <c r="S680" i="1"/>
  <c r="Q253" i="1"/>
  <c r="S661" i="1"/>
  <c r="S533" i="1"/>
  <c r="Q487" i="1"/>
  <c r="Q490" i="1"/>
  <c r="S966" i="1"/>
  <c r="S590" i="1"/>
  <c r="Q968" i="1"/>
  <c r="Q625" i="1"/>
  <c r="Q285" i="1"/>
  <c r="Q517" i="1"/>
  <c r="S842" i="1"/>
  <c r="S221" i="1"/>
  <c r="Q423" i="1"/>
  <c r="Q568" i="1"/>
  <c r="Q768" i="1"/>
  <c r="S942" i="1"/>
  <c r="S990" i="1"/>
  <c r="S749" i="1"/>
  <c r="Q519" i="1"/>
  <c r="S302" i="1"/>
  <c r="S72" i="1"/>
  <c r="Q531" i="1"/>
  <c r="S694" i="1"/>
  <c r="S944" i="1"/>
  <c r="Q346" i="1"/>
  <c r="Q596" i="1"/>
  <c r="S858" i="1"/>
  <c r="Q849" i="1"/>
  <c r="S850" i="1"/>
  <c r="Q700" i="1"/>
  <c r="S312" i="1"/>
  <c r="Q467" i="1"/>
  <c r="S839" i="1"/>
  <c r="S115" i="1"/>
  <c r="S126" i="1"/>
  <c r="Q222" i="1"/>
  <c r="Q363" i="1"/>
  <c r="S443" i="1"/>
  <c r="Q382" i="1"/>
  <c r="Q478" i="1"/>
  <c r="Q501" i="1"/>
  <c r="S436" i="1"/>
  <c r="Q511" i="1"/>
  <c r="S547" i="1"/>
  <c r="S679" i="1"/>
  <c r="Q707" i="1"/>
  <c r="S502" i="1"/>
  <c r="S90" i="1"/>
  <c r="S275" i="1"/>
  <c r="Q336" i="1"/>
  <c r="Q612" i="1"/>
  <c r="S693" i="1"/>
  <c r="S695" i="1"/>
  <c r="Q804" i="1"/>
  <c r="S572" i="1"/>
  <c r="S570" i="1"/>
  <c r="Q852" i="1"/>
  <c r="S936" i="1"/>
  <c r="Q927" i="1"/>
  <c r="Q863" i="1"/>
  <c r="Q330" i="1"/>
  <c r="Q132" i="1"/>
  <c r="Q216" i="1"/>
  <c r="S358" i="1"/>
  <c r="Q825" i="1"/>
  <c r="Q167" i="1"/>
  <c r="Q290" i="1"/>
  <c r="S415" i="1"/>
  <c r="Q163" i="1"/>
  <c r="Q306" i="1"/>
  <c r="Q366" i="1"/>
  <c r="Q398" i="1"/>
  <c r="S438" i="1"/>
  <c r="S419" i="1"/>
  <c r="Q409" i="1"/>
  <c r="Q507" i="1"/>
  <c r="S483" i="1"/>
  <c r="S916" i="1"/>
  <c r="Q665" i="1"/>
  <c r="Q992" i="1"/>
  <c r="Q918" i="1"/>
  <c r="Q491" i="1"/>
  <c r="S759" i="1"/>
  <c r="S802" i="1"/>
  <c r="S820" i="1"/>
  <c r="Q895" i="1"/>
  <c r="Q98" i="1"/>
  <c r="S94" i="1"/>
  <c r="Q767" i="1"/>
  <c r="S772" i="1"/>
  <c r="Q772" i="1"/>
  <c r="S754" i="1"/>
  <c r="S172" i="1"/>
  <c r="S198" i="1"/>
  <c r="Q574" i="1"/>
  <c r="Q479" i="1"/>
  <c r="Q499" i="1"/>
  <c r="Q787" i="1"/>
  <c r="Q371" i="1"/>
  <c r="S488" i="1"/>
  <c r="S887" i="1"/>
  <c r="Q264" i="1"/>
  <c r="S518" i="1"/>
  <c r="S833" i="1"/>
  <c r="Q376" i="1"/>
  <c r="Q727" i="1"/>
  <c r="Q159" i="1"/>
  <c r="Q59" i="1"/>
  <c r="Q270" i="1"/>
  <c r="Q620" i="1"/>
  <c r="S823" i="1"/>
  <c r="S906" i="1"/>
  <c r="S93" i="1"/>
  <c r="Q461" i="1"/>
  <c r="Q981" i="1"/>
  <c r="Q989" i="1"/>
  <c r="S395" i="1"/>
  <c r="S118" i="1"/>
  <c r="S213" i="1"/>
  <c r="S689" i="1"/>
  <c r="Q651" i="1"/>
  <c r="Q101" i="1"/>
  <c r="S173" i="1"/>
  <c r="S123" i="1"/>
  <c r="S326" i="1"/>
  <c r="Q317" i="1"/>
  <c r="S580" i="1"/>
  <c r="S740" i="1"/>
  <c r="Q678" i="1"/>
  <c r="Q582" i="1"/>
  <c r="Q900" i="1"/>
  <c r="Q860" i="1"/>
  <c r="S841" i="1"/>
  <c r="Q227" i="1"/>
  <c r="Q495" i="1"/>
  <c r="S390" i="1"/>
  <c r="Q456" i="1"/>
  <c r="Q798" i="1"/>
  <c r="Q857" i="1"/>
  <c r="Q472" i="1"/>
  <c r="S124" i="1"/>
  <c r="S600" i="1"/>
  <c r="Q748" i="1"/>
  <c r="S585" i="1"/>
  <c r="S411" i="1"/>
  <c r="S127" i="1"/>
  <c r="Q386" i="1"/>
  <c r="S58" i="1"/>
  <c r="S77" i="1"/>
  <c r="Q153" i="1"/>
  <c r="Q350" i="1"/>
  <c r="S370" i="1"/>
  <c r="S360" i="1"/>
  <c r="Q535" i="1"/>
  <c r="Q622" i="1"/>
  <c r="Q958" i="1"/>
  <c r="Q796" i="1"/>
  <c r="S453" i="1"/>
  <c r="Q565" i="1"/>
  <c r="S565" i="1"/>
  <c r="S117" i="1"/>
  <c r="Q117" i="1"/>
  <c r="S137" i="1"/>
  <c r="Q137" i="1"/>
  <c r="S32" i="1"/>
  <c r="S142" i="1"/>
  <c r="S214" i="1"/>
  <c r="Q465" i="1"/>
  <c r="S566" i="1"/>
  <c r="Q638" i="1"/>
  <c r="Q868" i="1"/>
  <c r="Q667" i="1"/>
  <c r="S129" i="1"/>
  <c r="Q129" i="1"/>
  <c r="S224" i="1"/>
  <c r="Q224" i="1"/>
  <c r="S114" i="1"/>
  <c r="Q114" i="1"/>
  <c r="S971" i="1"/>
  <c r="Q971" i="1"/>
  <c r="Q147" i="1"/>
  <c r="S147" i="1"/>
  <c r="S781" i="1"/>
  <c r="Q781" i="1"/>
  <c r="Q392" i="1"/>
  <c r="Q417" i="1"/>
  <c r="Q394" i="1"/>
  <c r="S554" i="1"/>
  <c r="S908" i="1"/>
  <c r="S809" i="1"/>
  <c r="Q809" i="1"/>
  <c r="Q354" i="1"/>
  <c r="S245" i="1"/>
  <c r="Q408" i="1"/>
  <c r="Q528" i="1"/>
  <c r="S946" i="1"/>
  <c r="S878" i="1"/>
  <c r="Q703" i="1"/>
  <c r="S184" i="1"/>
  <c r="Q184" i="1"/>
  <c r="S786" i="1"/>
  <c r="Q786" i="1"/>
  <c r="S413" i="1"/>
  <c r="Q801" i="1"/>
  <c r="S890" i="1"/>
  <c r="S175" i="1"/>
  <c r="S57" i="1"/>
  <c r="S140" i="1"/>
  <c r="Q522" i="1"/>
  <c r="Q455" i="1"/>
  <c r="S455" i="1"/>
  <c r="S223" i="1"/>
  <c r="Q223" i="1"/>
  <c r="S215" i="1"/>
  <c r="Q215" i="1"/>
  <c r="S449" i="1"/>
  <c r="Q449" i="1"/>
  <c r="Q594" i="1"/>
  <c r="S594" i="1"/>
  <c r="Q108" i="1"/>
  <c r="Q177" i="1"/>
  <c r="Q195" i="1"/>
  <c r="S320" i="1"/>
  <c r="S26" i="1"/>
  <c r="S52" i="1"/>
  <c r="Q429" i="1"/>
  <c r="S432" i="1"/>
  <c r="Q604" i="1"/>
  <c r="S810" i="1"/>
  <c r="S702" i="1"/>
  <c r="S719" i="1"/>
  <c r="S938" i="1"/>
  <c r="Q962" i="1"/>
  <c r="S128" i="1"/>
  <c r="Q128" i="1"/>
  <c r="Q236" i="1"/>
  <c r="S236" i="1"/>
  <c r="S282" i="1"/>
  <c r="Q282" i="1"/>
  <c r="Q286" i="1"/>
  <c r="S286" i="1"/>
  <c r="S333" i="1"/>
  <c r="Q333" i="1"/>
  <c r="Q288" i="1"/>
  <c r="S288" i="1"/>
  <c r="S751" i="1"/>
  <c r="Q751" i="1"/>
  <c r="S503" i="1"/>
  <c r="Q503" i="1"/>
  <c r="S691" i="1"/>
  <c r="Q691" i="1"/>
  <c r="S784" i="1"/>
  <c r="Q784" i="1"/>
  <c r="S70" i="1"/>
  <c r="Q70" i="1"/>
  <c r="S156" i="1"/>
  <c r="Q156" i="1"/>
  <c r="S51" i="1"/>
  <c r="Q51" i="1"/>
  <c r="S297" i="1"/>
  <c r="Q297" i="1"/>
  <c r="S259" i="1"/>
  <c r="Q259" i="1"/>
  <c r="S309" i="1"/>
  <c r="Q309" i="1"/>
  <c r="Q244" i="1"/>
  <c r="S244" i="1"/>
  <c r="Q656" i="1"/>
  <c r="S656" i="1"/>
  <c r="Q822" i="1"/>
  <c r="S822" i="1"/>
  <c r="S68" i="1"/>
  <c r="Q68" i="1"/>
  <c r="S20" i="1"/>
  <c r="Q20" i="1"/>
  <c r="S208" i="1"/>
  <c r="Q208" i="1"/>
  <c r="S322" i="1"/>
  <c r="Q322" i="1"/>
  <c r="S78" i="1"/>
  <c r="Q78" i="1"/>
  <c r="S352" i="1"/>
  <c r="Q352" i="1"/>
  <c r="S790" i="1"/>
  <c r="Q790" i="1"/>
  <c r="S457" i="1"/>
  <c r="Q457" i="1"/>
  <c r="Q919" i="1"/>
  <c r="S919" i="1"/>
  <c r="S523" i="1"/>
  <c r="Q523" i="1"/>
  <c r="S806" i="1"/>
  <c r="Q806" i="1"/>
  <c r="S653" i="1"/>
  <c r="Q653" i="1"/>
  <c r="S973" i="1"/>
  <c r="Q973" i="1"/>
  <c r="S752" i="1"/>
  <c r="Q752" i="1"/>
  <c r="S979" i="1"/>
  <c r="Q979" i="1"/>
  <c r="S976" i="1"/>
  <c r="Q976" i="1"/>
  <c r="S121" i="1"/>
  <c r="Q121" i="1"/>
  <c r="S248" i="1"/>
  <c r="Q248" i="1"/>
  <c r="S538" i="1"/>
  <c r="Q538" i="1"/>
  <c r="S987" i="1"/>
  <c r="Q987" i="1"/>
  <c r="Q75" i="1"/>
  <c r="S782" i="1"/>
  <c r="S144" i="1"/>
  <c r="Q144" i="1"/>
  <c r="Q182" i="1"/>
  <c r="S182" i="1"/>
  <c r="S231" i="1"/>
  <c r="Q231" i="1"/>
  <c r="S314" i="1"/>
  <c r="Q314" i="1"/>
  <c r="S543" i="1"/>
  <c r="Q543" i="1"/>
  <c r="S559" i="1"/>
  <c r="Q559" i="1"/>
  <c r="Q228" i="1"/>
  <c r="S228" i="1"/>
  <c r="S556" i="1"/>
  <c r="Q556" i="1"/>
  <c r="S744" i="1"/>
  <c r="Q744" i="1"/>
  <c r="S402" i="1"/>
  <c r="S421" i="1"/>
  <c r="Q646" i="1"/>
  <c r="S697" i="1"/>
  <c r="S765" i="1"/>
  <c r="Q158" i="1"/>
  <c r="S158" i="1"/>
  <c r="S232" i="1"/>
  <c r="Q232" i="1"/>
  <c r="S293" i="1"/>
  <c r="Q293" i="1"/>
  <c r="S287" i="1"/>
  <c r="Q287" i="1"/>
  <c r="S635" i="1"/>
  <c r="Q635" i="1"/>
  <c r="Q685" i="1"/>
  <c r="S685" i="1"/>
  <c r="Q779" i="1"/>
  <c r="S779" i="1"/>
  <c r="S762" i="1"/>
  <c r="Q762" i="1"/>
  <c r="S614" i="1"/>
  <c r="Q614" i="1"/>
  <c r="S640" i="1"/>
  <c r="Q640" i="1"/>
  <c r="Q446" i="1"/>
  <c r="Q641" i="1"/>
  <c r="Q836" i="1"/>
  <c r="S733" i="1"/>
  <c r="S28" i="1"/>
  <c r="Q28" i="1"/>
  <c r="S71" i="1"/>
  <c r="Q71" i="1"/>
  <c r="S200" i="1"/>
  <c r="Q200" i="1"/>
  <c r="S240" i="1"/>
  <c r="Q240" i="1"/>
  <c r="Q403" i="1"/>
  <c r="S403" i="1"/>
  <c r="S357" i="1"/>
  <c r="Q357" i="1"/>
  <c r="S448" i="1"/>
  <c r="Q448" i="1"/>
  <c r="S757" i="1"/>
  <c r="Q757" i="1"/>
  <c r="S683" i="1"/>
  <c r="Q683" i="1"/>
  <c r="S984" i="1"/>
  <c r="Q984" i="1"/>
  <c r="S736" i="1"/>
  <c r="Q736" i="1"/>
  <c r="S145" i="1"/>
  <c r="Q145" i="1"/>
  <c r="S136" i="1"/>
  <c r="Q136" i="1"/>
  <c r="S161" i="1"/>
  <c r="Q161" i="1"/>
  <c r="S199" i="1"/>
  <c r="Q199" i="1"/>
  <c r="S659" i="1"/>
  <c r="Q659" i="1"/>
  <c r="S764" i="1"/>
  <c r="Q706" i="1"/>
  <c r="S766" i="1"/>
  <c r="S109" i="1"/>
  <c r="Q109" i="1"/>
  <c r="Q387" i="1"/>
  <c r="S387" i="1"/>
  <c r="S258" i="1"/>
  <c r="Q258" i="1"/>
  <c r="S91" i="1"/>
  <c r="Q91" i="1"/>
  <c r="S468" i="1"/>
  <c r="Q468" i="1"/>
  <c r="S451" i="1"/>
  <c r="Q451" i="1"/>
  <c r="S728" i="1"/>
  <c r="Q728" i="1"/>
  <c r="S470" i="1"/>
  <c r="Q470" i="1"/>
  <c r="S711" i="1"/>
  <c r="Q711" i="1"/>
  <c r="S12" i="1"/>
  <c r="Q97" i="1"/>
  <c r="S97" i="1"/>
  <c r="Q185" i="1"/>
  <c r="S185" i="1"/>
  <c r="Q204" i="1"/>
  <c r="S204" i="1"/>
  <c r="S13" i="1"/>
  <c r="Q225" i="1"/>
  <c r="S225" i="1"/>
  <c r="S335" i="1"/>
  <c r="Q335" i="1"/>
  <c r="Q296" i="1"/>
  <c r="S296" i="1"/>
  <c r="Q353" i="1"/>
  <c r="S353" i="1"/>
  <c r="Q17" i="1"/>
  <c r="S17" i="1"/>
  <c r="S110" i="1"/>
  <c r="Q110" i="1"/>
  <c r="Q133" i="1"/>
  <c r="S133" i="1"/>
  <c r="Q180" i="1"/>
  <c r="S180" i="1"/>
  <c r="Q188" i="1"/>
  <c r="S188" i="1"/>
  <c r="Q294" i="1"/>
  <c r="S294" i="1"/>
  <c r="Q505" i="1"/>
  <c r="S505" i="1"/>
  <c r="Q603" i="1"/>
  <c r="S603" i="1"/>
  <c r="Q526" i="1"/>
  <c r="S526" i="1"/>
  <c r="Q940" i="1"/>
  <c r="S940" i="1"/>
  <c r="S830" i="1"/>
  <c r="Q830" i="1"/>
  <c r="Q875" i="1"/>
  <c r="S875" i="1"/>
  <c r="S955" i="1"/>
  <c r="Q955" i="1"/>
  <c r="Q201" i="1"/>
  <c r="S201" i="1"/>
  <c r="Q162" i="1"/>
  <c r="S162" i="1"/>
  <c r="S393" i="1"/>
  <c r="Q393" i="1"/>
  <c r="Q377" i="1"/>
  <c r="S377" i="1"/>
  <c r="S460" i="1"/>
  <c r="Q460" i="1"/>
  <c r="Q544" i="1"/>
  <c r="S544" i="1"/>
  <c r="Q116" i="1"/>
  <c r="S116" i="1"/>
  <c r="Q263" i="1"/>
  <c r="S263" i="1"/>
  <c r="S298" i="1"/>
  <c r="Q298" i="1"/>
  <c r="M7" i="1"/>
  <c r="Q35" i="1"/>
  <c r="S35" i="1"/>
  <c r="S61" i="1"/>
  <c r="Q61" i="1"/>
  <c r="S84" i="1"/>
  <c r="Q84" i="1"/>
  <c r="S49" i="1"/>
  <c r="Q49" i="1"/>
  <c r="Q66" i="1"/>
  <c r="S66" i="1"/>
  <c r="Q170" i="1"/>
  <c r="S170" i="1"/>
  <c r="S146" i="1"/>
  <c r="Q146" i="1"/>
  <c r="Q257" i="1"/>
  <c r="S257" i="1"/>
  <c r="Q196" i="1"/>
  <c r="S196" i="1"/>
  <c r="Q235" i="1"/>
  <c r="S235" i="1"/>
  <c r="Q233" i="1"/>
  <c r="S233" i="1"/>
  <c r="Q149" i="1"/>
  <c r="S149" i="1"/>
  <c r="Q283" i="1"/>
  <c r="S283" i="1"/>
  <c r="S391" i="1"/>
  <c r="Q391" i="1"/>
  <c r="Q340" i="1"/>
  <c r="S340" i="1"/>
  <c r="Q383" i="1"/>
  <c r="S383" i="1"/>
  <c r="Q305" i="1"/>
  <c r="S305" i="1"/>
  <c r="S327" i="1"/>
  <c r="Q327" i="1"/>
  <c r="Q337" i="1"/>
  <c r="S337" i="1"/>
  <c r="Q303" i="1"/>
  <c r="S303" i="1"/>
  <c r="Q407" i="1"/>
  <c r="S407" i="1"/>
  <c r="S442" i="1"/>
  <c r="Q442" i="1"/>
  <c r="Q469" i="1"/>
  <c r="S469" i="1"/>
  <c r="Q414" i="1"/>
  <c r="S414" i="1"/>
  <c r="S474" i="1"/>
  <c r="Q474" i="1"/>
  <c r="Q573" i="1"/>
  <c r="S573" i="1"/>
  <c r="Q434" i="1"/>
  <c r="S434" i="1"/>
  <c r="Q485" i="1"/>
  <c r="S485" i="1"/>
  <c r="S516" i="1"/>
  <c r="Q516" i="1"/>
  <c r="S615" i="1"/>
  <c r="Q615" i="1"/>
  <c r="Q514" i="1"/>
  <c r="S514" i="1"/>
  <c r="Q575" i="1"/>
  <c r="S575" i="1"/>
  <c r="Q497" i="1"/>
  <c r="S497" i="1"/>
  <c r="Q541" i="1"/>
  <c r="S541" i="1"/>
  <c r="S562" i="1"/>
  <c r="Q562" i="1"/>
  <c r="Q670" i="1"/>
  <c r="S670" i="1"/>
  <c r="S777" i="1"/>
  <c r="Q777" i="1"/>
  <c r="Q623" i="1"/>
  <c r="S623" i="1"/>
  <c r="Q545" i="1"/>
  <c r="S545" i="1"/>
  <c r="Q721" i="1"/>
  <c r="S721" i="1"/>
  <c r="Q647" i="1"/>
  <c r="S647" i="1"/>
  <c r="Q729" i="1"/>
  <c r="S729" i="1"/>
  <c r="Q742" i="1"/>
  <c r="S742" i="1"/>
  <c r="Q725" i="1"/>
  <c r="S725" i="1"/>
  <c r="Q799" i="1"/>
  <c r="S799" i="1"/>
  <c r="S893" i="1"/>
  <c r="Q893" i="1"/>
  <c r="Q581" i="1"/>
  <c r="S581" i="1"/>
  <c r="Q815" i="1"/>
  <c r="S815" i="1"/>
  <c r="Q837" i="1"/>
  <c r="S837" i="1"/>
  <c r="Q899" i="1"/>
  <c r="S899" i="1"/>
  <c r="Q978" i="1"/>
  <c r="S978" i="1"/>
  <c r="Q731" i="1"/>
  <c r="S731" i="1"/>
  <c r="Q937" i="1"/>
  <c r="S937" i="1"/>
  <c r="Q769" i="1"/>
  <c r="S769" i="1"/>
  <c r="Q789" i="1"/>
  <c r="S789" i="1"/>
  <c r="Q854" i="1"/>
  <c r="S854" i="1"/>
  <c r="Q904" i="1"/>
  <c r="S904" i="1"/>
  <c r="Q218" i="1"/>
  <c r="S218" i="1"/>
  <c r="Q266" i="1"/>
  <c r="S266" i="1"/>
  <c r="S307" i="1"/>
  <c r="Q307" i="1"/>
  <c r="S323" i="1"/>
  <c r="Q323" i="1"/>
  <c r="Q284" i="1"/>
  <c r="S284" i="1"/>
  <c r="Q313" i="1"/>
  <c r="S313" i="1"/>
  <c r="Q274" i="1"/>
  <c r="S274" i="1"/>
  <c r="S426" i="1"/>
  <c r="Q426" i="1"/>
  <c r="Q396" i="1"/>
  <c r="S396" i="1"/>
  <c r="Q265" i="1"/>
  <c r="S265" i="1"/>
  <c r="Q439" i="1"/>
  <c r="S439" i="1"/>
  <c r="Q500" i="1"/>
  <c r="S500" i="1"/>
  <c r="S537" i="1"/>
  <c r="Q537" i="1"/>
  <c r="Q380" i="1"/>
  <c r="S380" i="1"/>
  <c r="S609" i="1"/>
  <c r="Q609" i="1"/>
  <c r="S498" i="1"/>
  <c r="Q498" i="1"/>
  <c r="Q578" i="1"/>
  <c r="S578" i="1"/>
  <c r="Q482" i="1"/>
  <c r="S482" i="1"/>
  <c r="Q644" i="1"/>
  <c r="S644" i="1"/>
  <c r="S584" i="1"/>
  <c r="Q584" i="1"/>
  <c r="S599" i="1"/>
  <c r="Q599" i="1"/>
  <c r="S813" i="1"/>
  <c r="Q813" i="1"/>
  <c r="S917" i="1"/>
  <c r="Q917" i="1"/>
  <c r="Q730" i="1"/>
  <c r="S730" i="1"/>
  <c r="Q847" i="1"/>
  <c r="S847" i="1"/>
  <c r="S829" i="1"/>
  <c r="Q829" i="1"/>
  <c r="Q709" i="1"/>
  <c r="S709" i="1"/>
  <c r="S747" i="1"/>
  <c r="Q747" i="1"/>
  <c r="S819" i="1"/>
  <c r="Q819" i="1"/>
  <c r="Q888" i="1"/>
  <c r="S888" i="1"/>
  <c r="S947" i="1"/>
  <c r="Q947" i="1"/>
  <c r="Q945" i="1"/>
  <c r="S945" i="1"/>
  <c r="Q965" i="1"/>
  <c r="S965" i="1"/>
  <c r="Q775" i="1"/>
  <c r="S775" i="1"/>
  <c r="Q676" i="1"/>
  <c r="S676" i="1"/>
  <c r="Q905" i="1"/>
  <c r="S905" i="1"/>
  <c r="Q715" i="1"/>
  <c r="S715" i="1"/>
  <c r="Q805" i="1"/>
  <c r="S805" i="1"/>
  <c r="S959" i="1"/>
  <c r="Q959" i="1"/>
  <c r="Q994" i="1"/>
  <c r="S994" i="1"/>
  <c r="Q800" i="1"/>
  <c r="S800" i="1"/>
  <c r="Q975" i="1"/>
  <c r="S975" i="1"/>
  <c r="Q993" i="1"/>
  <c r="S993" i="1"/>
  <c r="S991" i="1"/>
  <c r="Q991" i="1"/>
  <c r="Q856" i="1"/>
  <c r="S856" i="1"/>
  <c r="S450" i="1"/>
  <c r="Q450" i="1"/>
  <c r="Q412" i="1"/>
  <c r="S412" i="1"/>
  <c r="Q459" i="1"/>
  <c r="S459" i="1"/>
  <c r="S548" i="1"/>
  <c r="Q548" i="1"/>
  <c r="Q454" i="1"/>
  <c r="S454" i="1"/>
  <c r="S637" i="1"/>
  <c r="Q637" i="1"/>
  <c r="Q471" i="1"/>
  <c r="S471" i="1"/>
  <c r="S558" i="1"/>
  <c r="Q558" i="1"/>
  <c r="Q607" i="1"/>
  <c r="S607" i="1"/>
  <c r="S583" i="1"/>
  <c r="Q583" i="1"/>
  <c r="Q692" i="1"/>
  <c r="S692" i="1"/>
  <c r="S705" i="1"/>
  <c r="Q705" i="1"/>
  <c r="Q753" i="1"/>
  <c r="S753" i="1"/>
  <c r="S601" i="1"/>
  <c r="Q601" i="1"/>
  <c r="S668" i="1"/>
  <c r="Q668" i="1"/>
  <c r="Q745" i="1"/>
  <c r="S745" i="1"/>
  <c r="Q673" i="1"/>
  <c r="S673" i="1"/>
  <c r="S885" i="1"/>
  <c r="Q885" i="1"/>
  <c r="Q788" i="1"/>
  <c r="S788" i="1"/>
  <c r="Q870" i="1"/>
  <c r="S870" i="1"/>
  <c r="Q934" i="1"/>
  <c r="S934" i="1"/>
  <c r="S925" i="1"/>
  <c r="Q925" i="1"/>
  <c r="Q859" i="1"/>
  <c r="S859" i="1"/>
  <c r="Q933" i="1"/>
  <c r="S933" i="1"/>
  <c r="S845" i="1"/>
  <c r="Q845" i="1"/>
  <c r="S889" i="1"/>
  <c r="Q889" i="1"/>
  <c r="S909" i="1"/>
  <c r="Q909" i="1"/>
  <c r="S983" i="1"/>
  <c r="Q983" i="1"/>
  <c r="Q741" i="1"/>
  <c r="S741" i="1"/>
  <c r="Q832" i="1"/>
  <c r="S832" i="1"/>
  <c r="Q896" i="1"/>
  <c r="S896" i="1"/>
  <c r="Q951" i="1"/>
  <c r="S951" i="1"/>
  <c r="Q658" i="1"/>
  <c r="S658" i="1"/>
  <c r="Q912" i="1"/>
  <c r="S912" i="1"/>
  <c r="Q957" i="1"/>
  <c r="S957" i="1"/>
  <c r="Q699" i="1"/>
  <c r="S699" i="1"/>
  <c r="Q773" i="1"/>
  <c r="S773" i="1"/>
  <c r="Q686" i="1"/>
  <c r="S686" i="1"/>
  <c r="S739" i="1"/>
  <c r="Q739" i="1"/>
  <c r="Q953" i="1"/>
  <c r="S953" i="1"/>
  <c r="Q967" i="1"/>
  <c r="S967" i="1"/>
  <c r="Q67" i="1"/>
  <c r="S67" i="1"/>
  <c r="Q53" i="1"/>
  <c r="S53" i="1"/>
  <c r="Q125" i="1"/>
  <c r="S125" i="1"/>
  <c r="Q27" i="1"/>
  <c r="S27" i="1"/>
  <c r="Q100" i="1"/>
  <c r="S100" i="1"/>
  <c r="S359" i="1"/>
  <c r="Q359" i="1"/>
  <c r="Q332" i="1"/>
  <c r="S332" i="1"/>
  <c r="Q329" i="1"/>
  <c r="S329" i="1"/>
  <c r="Q269" i="1"/>
  <c r="S269" i="1"/>
  <c r="S343" i="1"/>
  <c r="Q343" i="1"/>
  <c r="S21" i="1"/>
  <c r="Q21" i="1"/>
  <c r="Q33" i="1"/>
  <c r="S33" i="1"/>
  <c r="Q69" i="1"/>
  <c r="S69" i="1"/>
  <c r="Q86" i="1"/>
  <c r="S86" i="1"/>
  <c r="Q193" i="1"/>
  <c r="S193" i="1"/>
  <c r="S367" i="1"/>
  <c r="Q367" i="1"/>
  <c r="S399" i="1"/>
  <c r="Q399" i="1"/>
  <c r="Q424" i="1"/>
  <c r="S424" i="1"/>
  <c r="Q372" i="1"/>
  <c r="S372" i="1"/>
  <c r="Q463" i="1"/>
  <c r="S463" i="1"/>
  <c r="Q608" i="1"/>
  <c r="S608" i="1"/>
  <c r="S619" i="1"/>
  <c r="Q619" i="1"/>
  <c r="Q629" i="1"/>
  <c r="S629" i="1"/>
  <c r="Q652" i="1"/>
  <c r="S652" i="1"/>
  <c r="S853" i="1"/>
  <c r="Q853" i="1"/>
  <c r="Q669" i="1"/>
  <c r="S669" i="1"/>
  <c r="S755" i="1"/>
  <c r="Q755" i="1"/>
  <c r="Q19" i="1"/>
  <c r="S19" i="1"/>
  <c r="S47" i="1"/>
  <c r="Q47" i="1"/>
  <c r="Q50" i="1"/>
  <c r="S50" i="1"/>
  <c r="Q251" i="1"/>
  <c r="S251" i="1"/>
  <c r="S385" i="1"/>
  <c r="Q385" i="1"/>
  <c r="Q397" i="1"/>
  <c r="S397" i="1"/>
  <c r="Q493" i="1"/>
  <c r="S493" i="1"/>
  <c r="S546" i="1"/>
  <c r="Q546" i="1"/>
  <c r="Q613" i="1"/>
  <c r="S613" i="1"/>
  <c r="Q611" i="1"/>
  <c r="S611" i="1"/>
  <c r="S696" i="1"/>
  <c r="Q696" i="1"/>
  <c r="S761" i="1"/>
  <c r="Q761" i="1"/>
  <c r="S597" i="1"/>
  <c r="Q597" i="1"/>
  <c r="Q948" i="1"/>
  <c r="S948" i="1"/>
  <c r="S746" i="1"/>
  <c r="Q746" i="1"/>
  <c r="Q785" i="1"/>
  <c r="S785" i="1"/>
  <c r="S891" i="1"/>
  <c r="Q891" i="1"/>
  <c r="S532" i="1"/>
  <c r="Q532" i="1"/>
  <c r="Q901" i="1"/>
  <c r="S901" i="1"/>
  <c r="S797" i="1"/>
  <c r="Q797" i="1"/>
  <c r="S862" i="1"/>
  <c r="Q862" i="1"/>
  <c r="Q920" i="1"/>
  <c r="S920" i="1"/>
  <c r="Q795" i="1"/>
  <c r="S795" i="1"/>
  <c r="S722" i="1"/>
  <c r="Q722" i="1"/>
  <c r="S723" i="1"/>
  <c r="Q723" i="1"/>
  <c r="Q880" i="1"/>
  <c r="S880" i="1"/>
  <c r="Q928" i="1"/>
  <c r="S928" i="1"/>
  <c r="Q949" i="1"/>
  <c r="S949" i="1"/>
  <c r="Q726" i="1"/>
  <c r="S726" i="1"/>
  <c r="Q985" i="1"/>
  <c r="S985" i="1"/>
  <c r="Q935" i="1"/>
  <c r="S935" i="1"/>
  <c r="S29" i="1"/>
  <c r="Q29" i="1"/>
  <c r="S14" i="1"/>
  <c r="Q22" i="1"/>
  <c r="S22" i="1"/>
  <c r="Q104" i="1"/>
  <c r="S104" i="1"/>
  <c r="Q154" i="1"/>
  <c r="S154" i="1"/>
  <c r="Q80" i="1"/>
  <c r="S80" i="1"/>
  <c r="Q139" i="1"/>
  <c r="S139" i="1"/>
  <c r="Q194" i="1"/>
  <c r="S194" i="1"/>
  <c r="Q229" i="1"/>
  <c r="S229" i="1"/>
  <c r="Q234" i="1"/>
  <c r="S234" i="1"/>
  <c r="S315" i="1"/>
  <c r="Q315" i="1"/>
  <c r="S331" i="1"/>
  <c r="Q331" i="1"/>
  <c r="Q220" i="1"/>
  <c r="S220" i="1"/>
  <c r="Q319" i="1"/>
  <c r="S319" i="1"/>
  <c r="Q364" i="1"/>
  <c r="S364" i="1"/>
  <c r="Q316" i="1"/>
  <c r="S316" i="1"/>
  <c r="S410" i="1"/>
  <c r="Q410" i="1"/>
  <c r="S381" i="1"/>
  <c r="Q381" i="1"/>
  <c r="Q492" i="1"/>
  <c r="S492" i="1"/>
  <c r="Q524" i="1"/>
  <c r="S524" i="1"/>
  <c r="Q378" i="1"/>
  <c r="S378" i="1"/>
  <c r="Q422" i="1"/>
  <c r="S422" i="1"/>
  <c r="S466" i="1"/>
  <c r="Q466" i="1"/>
  <c r="Q405" i="1"/>
  <c r="S405" i="1"/>
  <c r="Q477" i="1"/>
  <c r="S477" i="1"/>
  <c r="S563" i="1"/>
  <c r="Q563" i="1"/>
  <c r="Q509" i="1"/>
  <c r="S509" i="1"/>
  <c r="S579" i="1"/>
  <c r="Q579" i="1"/>
  <c r="Q388" i="1"/>
  <c r="S388" i="1"/>
  <c r="S567" i="1"/>
  <c r="Q567" i="1"/>
  <c r="Q618" i="1"/>
  <c r="S618" i="1"/>
  <c r="S660" i="1"/>
  <c r="Q660" i="1"/>
  <c r="Q737" i="1"/>
  <c r="S737" i="1"/>
  <c r="Q915" i="1"/>
  <c r="S915" i="1"/>
  <c r="Q956" i="1"/>
  <c r="S956" i="1"/>
  <c r="Q657" i="1"/>
  <c r="S657" i="1"/>
  <c r="Q671" i="1"/>
  <c r="S671" i="1"/>
  <c r="Q770" i="1"/>
  <c r="S770" i="1"/>
  <c r="Q972" i="1"/>
  <c r="S972" i="1"/>
  <c r="S861" i="1"/>
  <c r="Q861" i="1"/>
  <c r="Q672" i="1"/>
  <c r="S672" i="1"/>
  <c r="Q803" i="1"/>
  <c r="S803" i="1"/>
  <c r="Q648" i="1"/>
  <c r="S648" i="1"/>
  <c r="Q835" i="1"/>
  <c r="S835" i="1"/>
  <c r="S921" i="1"/>
  <c r="Q921" i="1"/>
  <c r="S963" i="1"/>
  <c r="Q963" i="1"/>
  <c r="Q807" i="1"/>
  <c r="S807" i="1"/>
  <c r="Q848" i="1"/>
  <c r="S848" i="1"/>
  <c r="Q872" i="1"/>
  <c r="S872" i="1"/>
  <c r="Q929" i="1"/>
  <c r="S929" i="1"/>
  <c r="Q824" i="1"/>
  <c r="S824" i="1"/>
  <c r="Q873" i="1"/>
  <c r="S873" i="1"/>
  <c r="Q687" i="1"/>
  <c r="S687" i="1"/>
  <c r="Q811" i="1"/>
  <c r="S811" i="1"/>
  <c r="Q897" i="1"/>
  <c r="S897" i="1"/>
  <c r="Q780" i="1"/>
  <c r="S780" i="1"/>
  <c r="Q881" i="1"/>
  <c r="S881" i="1"/>
  <c r="Q63" i="1"/>
  <c r="S63" i="1"/>
  <c r="S65" i="1"/>
  <c r="Q65" i="1"/>
  <c r="Q268" i="1"/>
  <c r="S268" i="1"/>
  <c r="Q55" i="1"/>
  <c r="S55" i="1"/>
  <c r="Q130" i="1"/>
  <c r="S130" i="1"/>
  <c r="Q308" i="1"/>
  <c r="S308" i="1"/>
  <c r="Q76" i="1"/>
  <c r="S76" i="1"/>
  <c r="S506" i="1"/>
  <c r="Q506" i="1"/>
  <c r="Q610" i="1"/>
  <c r="S610" i="1"/>
  <c r="S655" i="1"/>
  <c r="Q655" i="1"/>
  <c r="Q602" i="1"/>
  <c r="S602" i="1"/>
  <c r="Q871" i="1"/>
  <c r="S871" i="1"/>
  <c r="Q827" i="1"/>
  <c r="S827" i="1"/>
  <c r="Q45" i="1"/>
  <c r="S45" i="1"/>
  <c r="Q96" i="1"/>
  <c r="S96" i="1"/>
  <c r="S255" i="1"/>
  <c r="Q255" i="1"/>
  <c r="Q321" i="1"/>
  <c r="S321" i="1"/>
  <c r="Q348" i="1"/>
  <c r="S348" i="1"/>
  <c r="Q295" i="1"/>
  <c r="S295" i="1"/>
  <c r="Q345" i="1"/>
  <c r="S345" i="1"/>
  <c r="Q464" i="1"/>
  <c r="S464" i="1"/>
  <c r="Q300" i="1"/>
  <c r="S300" i="1"/>
  <c r="Q530" i="1"/>
  <c r="S530" i="1"/>
  <c r="Q435" i="1"/>
  <c r="S435" i="1"/>
  <c r="Q15" i="1"/>
  <c r="S15" i="1"/>
  <c r="Q54" i="1"/>
  <c r="S54" i="1"/>
  <c r="Q150" i="1"/>
  <c r="S150" i="1"/>
  <c r="Q291" i="1"/>
  <c r="S291" i="1"/>
  <c r="Q88" i="1"/>
  <c r="S88" i="1"/>
  <c r="Q273" i="1"/>
  <c r="S273" i="1"/>
  <c r="Q299" i="1"/>
  <c r="S299" i="1"/>
  <c r="S339" i="1"/>
  <c r="Q339" i="1"/>
  <c r="S351" i="1"/>
  <c r="Q351" i="1"/>
  <c r="Q379" i="1"/>
  <c r="S379" i="1"/>
  <c r="Q416" i="1"/>
  <c r="S416" i="1"/>
  <c r="Q311" i="1"/>
  <c r="S311" i="1"/>
  <c r="Q373" i="1"/>
  <c r="S373" i="1"/>
  <c r="Q404" i="1"/>
  <c r="S404" i="1"/>
  <c r="Q486" i="1"/>
  <c r="S486" i="1"/>
  <c r="Q508" i="1"/>
  <c r="S508" i="1"/>
  <c r="S591" i="1"/>
  <c r="Q591" i="1"/>
  <c r="Q639" i="1"/>
  <c r="S639" i="1"/>
  <c r="Q684" i="1"/>
  <c r="S684" i="1"/>
  <c r="Q564" i="1"/>
  <c r="S564" i="1"/>
  <c r="Q621" i="1"/>
  <c r="S621" i="1"/>
  <c r="S576" i="1"/>
  <c r="Q576" i="1"/>
  <c r="Q681" i="1"/>
  <c r="S681" i="1"/>
  <c r="S645" i="1"/>
  <c r="Q645" i="1"/>
  <c r="Q605" i="1"/>
  <c r="S605" i="1"/>
  <c r="S631" i="1"/>
  <c r="Q631" i="1"/>
  <c r="Q624" i="1"/>
  <c r="S624" i="1"/>
  <c r="Q713" i="1"/>
  <c r="S713" i="1"/>
  <c r="Q494" i="1"/>
  <c r="S494" i="1"/>
  <c r="Q529" i="1"/>
  <c r="S529" i="1"/>
  <c r="S589" i="1"/>
  <c r="Q589" i="1"/>
  <c r="S662" i="1"/>
  <c r="Q662" i="1"/>
  <c r="Q710" i="1"/>
  <c r="S710" i="1"/>
  <c r="Q774" i="1"/>
  <c r="S774" i="1"/>
  <c r="Q843" i="1"/>
  <c r="S843" i="1"/>
  <c r="Q883" i="1"/>
  <c r="S883" i="1"/>
  <c r="Q791" i="1"/>
  <c r="S791" i="1"/>
  <c r="Q821" i="1"/>
  <c r="S821" i="1"/>
  <c r="Q902" i="1"/>
  <c r="S902" i="1"/>
  <c r="Q688" i="1"/>
  <c r="S688" i="1"/>
  <c r="S851" i="1"/>
  <c r="Q851" i="1"/>
  <c r="S923" i="1"/>
  <c r="Q923" i="1"/>
  <c r="S738" i="1"/>
  <c r="Q738" i="1"/>
  <c r="Q758" i="1"/>
  <c r="S758" i="1"/>
  <c r="Q869" i="1"/>
  <c r="S869" i="1"/>
  <c r="Q931" i="1"/>
  <c r="S931" i="1"/>
  <c r="Q867" i="1"/>
  <c r="S867" i="1"/>
  <c r="S907" i="1"/>
  <c r="Q907" i="1"/>
  <c r="Q941" i="1"/>
  <c r="S941" i="1"/>
  <c r="Q577" i="1"/>
  <c r="S577" i="1"/>
  <c r="Q988" i="1"/>
  <c r="S988" i="1"/>
  <c r="Q980" i="1"/>
  <c r="S980" i="1"/>
  <c r="Q690" i="1"/>
  <c r="S690" i="1"/>
  <c r="Q30" i="1"/>
  <c r="S30" i="1"/>
  <c r="Q171" i="1"/>
  <c r="S171" i="1"/>
  <c r="Q122" i="1"/>
  <c r="S122" i="1"/>
  <c r="S41" i="1"/>
  <c r="Q41" i="1"/>
  <c r="Q95" i="1"/>
  <c r="S95" i="1"/>
  <c r="Q112" i="1"/>
  <c r="S112" i="1"/>
  <c r="Q249" i="1"/>
  <c r="S249" i="1"/>
  <c r="Q179" i="1"/>
  <c r="S179" i="1"/>
  <c r="Q219" i="1"/>
  <c r="S219" i="1"/>
  <c r="Q280" i="1"/>
  <c r="S280" i="1"/>
  <c r="Q267" i="1"/>
  <c r="S267" i="1"/>
  <c r="Q261" i="1"/>
  <c r="S261" i="1"/>
  <c r="Q43" i="1"/>
  <c r="S43" i="1"/>
  <c r="S250" i="1"/>
  <c r="Q250" i="1"/>
  <c r="S347" i="1"/>
  <c r="Q347" i="1"/>
  <c r="S418" i="1"/>
  <c r="Q418" i="1"/>
  <c r="Q278" i="1"/>
  <c r="S278" i="1"/>
  <c r="S428" i="1"/>
  <c r="Q428" i="1"/>
  <c r="Q473" i="1"/>
  <c r="S473" i="1"/>
  <c r="Q552" i="1"/>
  <c r="S552" i="1"/>
  <c r="Q445" i="1"/>
  <c r="S445" i="1"/>
  <c r="Q521" i="1"/>
  <c r="S521" i="1"/>
  <c r="S420" i="1"/>
  <c r="Q420" i="1"/>
  <c r="S458" i="1"/>
  <c r="Q458" i="1"/>
  <c r="Q484" i="1"/>
  <c r="S484" i="1"/>
  <c r="Q617" i="1"/>
  <c r="S617" i="1"/>
  <c r="Q714" i="1"/>
  <c r="S714" i="1"/>
  <c r="Q74" i="1"/>
  <c r="S74" i="1"/>
  <c r="Q92" i="1"/>
  <c r="S92" i="1"/>
  <c r="Q165" i="1"/>
  <c r="S165" i="1"/>
  <c r="S239" i="1"/>
  <c r="Q239" i="1"/>
  <c r="Q209" i="1"/>
  <c r="S209" i="1"/>
  <c r="Q489" i="1"/>
  <c r="S489" i="1"/>
  <c r="Q430" i="1"/>
  <c r="S430" i="1"/>
  <c r="S48" i="1"/>
  <c r="Q48" i="1"/>
  <c r="Q81" i="1"/>
  <c r="S81" i="1"/>
  <c r="Q38" i="1"/>
  <c r="S38" i="1"/>
  <c r="Q247" i="1"/>
  <c r="S247" i="1"/>
  <c r="Q148" i="1"/>
  <c r="S148" i="1"/>
  <c r="S217" i="1"/>
  <c r="Q217" i="1"/>
  <c r="S361" i="1"/>
  <c r="Q361" i="1"/>
  <c r="S365" i="1"/>
  <c r="Q365" i="1"/>
  <c r="M8" i="1"/>
  <c r="Q25" i="1"/>
  <c r="S25" i="1"/>
  <c r="Q37" i="1"/>
  <c r="S37" i="1"/>
  <c r="S102" i="1"/>
  <c r="Q102" i="1"/>
  <c r="Q107" i="1"/>
  <c r="S107" i="1"/>
  <c r="Q138" i="1"/>
  <c r="S138" i="1"/>
  <c r="Q178" i="1"/>
  <c r="S178" i="1"/>
  <c r="Q111" i="1"/>
  <c r="S111" i="1"/>
  <c r="Q181" i="1"/>
  <c r="S181" i="1"/>
  <c r="Q212" i="1"/>
  <c r="S212" i="1"/>
  <c r="Q241" i="1"/>
  <c r="S241" i="1"/>
  <c r="Q324" i="1"/>
  <c r="S324" i="1"/>
  <c r="S369" i="1"/>
  <c r="Q369" i="1"/>
  <c r="S401" i="1"/>
  <c r="Q401" i="1"/>
  <c r="Q279" i="1"/>
  <c r="S279" i="1"/>
  <c r="Q452" i="1"/>
  <c r="S452" i="1"/>
  <c r="Q481" i="1"/>
  <c r="S481" i="1"/>
  <c r="Q513" i="1"/>
  <c r="S513" i="1"/>
  <c r="Q440" i="1"/>
  <c r="S440" i="1"/>
  <c r="Q476" i="1"/>
  <c r="S476" i="1"/>
  <c r="Q375" i="1"/>
  <c r="S375" i="1"/>
  <c r="Q549" i="1"/>
  <c r="S549" i="1"/>
  <c r="Q525" i="1"/>
  <c r="S525" i="1"/>
  <c r="Q616" i="1"/>
  <c r="S616" i="1"/>
  <c r="S553" i="1"/>
  <c r="Q553" i="1"/>
  <c r="Q560" i="1"/>
  <c r="S560" i="1"/>
  <c r="Q643" i="1"/>
  <c r="S643" i="1"/>
  <c r="Q542" i="1"/>
  <c r="S542" i="1"/>
  <c r="Q778" i="1"/>
  <c r="S778" i="1"/>
  <c r="Q964" i="1"/>
  <c r="S964" i="1"/>
  <c r="S756" i="1"/>
  <c r="Q756" i="1"/>
  <c r="Q771" i="1"/>
  <c r="S771" i="1"/>
  <c r="Q903" i="1"/>
  <c r="S903" i="1"/>
  <c r="S698" i="1"/>
  <c r="Q698" i="1"/>
  <c r="Q816" i="1"/>
  <c r="S816" i="1"/>
  <c r="S877" i="1"/>
  <c r="Q877" i="1"/>
  <c r="S939" i="1"/>
  <c r="Q939" i="1"/>
  <c r="Q969" i="1"/>
  <c r="S969" i="1"/>
  <c r="Q913" i="1"/>
  <c r="S913" i="1"/>
  <c r="S846" i="1"/>
  <c r="Q846" i="1"/>
  <c r="Q977" i="1"/>
  <c r="S977" i="1"/>
  <c r="Q783" i="1"/>
  <c r="S783" i="1"/>
  <c r="Q864" i="1"/>
  <c r="S864" i="1"/>
  <c r="S943" i="1"/>
  <c r="Q943" i="1"/>
  <c r="Q961" i="1"/>
  <c r="S961" i="1"/>
  <c r="Q838" i="1"/>
  <c r="S838" i="1"/>
  <c r="A3" i="17" l="1"/>
  <c r="B3" i="17" s="1"/>
  <c r="H3" i="17" l="1"/>
  <c r="A4" i="17"/>
  <c r="B4" i="17" s="1"/>
  <c r="A5" i="17" l="1"/>
  <c r="B5" i="17" s="1"/>
  <c r="H4" i="17"/>
  <c r="A6" i="17" l="1"/>
  <c r="B6" i="17" s="1"/>
  <c r="H5" i="17"/>
  <c r="A7" i="17" l="1"/>
  <c r="B7" i="17" s="1"/>
  <c r="E9" i="17"/>
  <c r="H6" i="17"/>
  <c r="G3" i="17"/>
  <c r="G4" i="17" s="1"/>
  <c r="G5" i="17" s="1"/>
  <c r="G6" i="17" s="1"/>
  <c r="G7" i="17" s="1"/>
  <c r="G8" i="17" s="1"/>
  <c r="A8" i="17" l="1"/>
  <c r="B8" i="17" s="1"/>
  <c r="E10" i="17"/>
  <c r="G9" i="17"/>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H7" i="17"/>
  <c r="A9" i="17" l="1"/>
  <c r="B9" i="17" s="1"/>
  <c r="E11" i="17"/>
  <c r="H8" i="17"/>
  <c r="C3" i="19"/>
  <c r="C4" i="19" s="1"/>
  <c r="C5" i="19" s="1"/>
  <c r="C6" i="19" s="1"/>
  <c r="C7" i="19" s="1"/>
  <c r="C8" i="19" s="1"/>
  <c r="C9" i="19" s="1"/>
  <c r="C10" i="19" s="1"/>
  <c r="C11" i="19" s="1"/>
  <c r="C12" i="19" s="1"/>
  <c r="C13" i="19" s="1"/>
  <c r="C14" i="19" s="1"/>
  <c r="C15" i="19" s="1"/>
  <c r="C16" i="19" s="1"/>
  <c r="C17" i="19" s="1"/>
  <c r="C18" i="19" s="1"/>
  <c r="C19" i="19" s="1"/>
  <c r="C20" i="19" s="1"/>
  <c r="C21" i="19" s="1"/>
  <c r="C22" i="19" s="1"/>
  <c r="C23" i="19" s="1"/>
  <c r="C24" i="19" s="1"/>
  <c r="C25" i="19" s="1"/>
  <c r="C26" i="19" s="1"/>
  <c r="C27" i="19" s="1"/>
  <c r="C28" i="19" s="1"/>
  <c r="C29" i="19" s="1"/>
  <c r="C30" i="19" s="1"/>
  <c r="C31" i="19" s="1"/>
  <c r="C32" i="19" s="1"/>
  <c r="C33" i="19" s="1"/>
  <c r="C34" i="19" s="1"/>
  <c r="C35" i="19" s="1"/>
  <c r="C36" i="19" s="1"/>
  <c r="C37" i="19" s="1"/>
  <c r="C38" i="19" s="1"/>
  <c r="C39" i="19" s="1"/>
  <c r="C40" i="19" s="1"/>
  <c r="C41" i="19" s="1"/>
  <c r="C42" i="19" s="1"/>
  <c r="C43" i="19" s="1"/>
  <c r="C44" i="19" s="1"/>
  <c r="C45" i="19" s="1"/>
  <c r="C46" i="19" s="1"/>
  <c r="C47" i="19" s="1"/>
  <c r="C48" i="19" s="1"/>
  <c r="C49" i="19" s="1"/>
  <c r="C50" i="19" s="1"/>
  <c r="C51" i="19" s="1"/>
  <c r="C52" i="19" s="1"/>
  <c r="C53" i="19" s="1"/>
  <c r="C54" i="19" s="1"/>
  <c r="C55" i="19" s="1"/>
  <c r="C56" i="19" s="1"/>
  <c r="C57" i="19" s="1"/>
  <c r="C58" i="19" s="1"/>
  <c r="C59" i="19" s="1"/>
  <c r="C60" i="19" s="1"/>
  <c r="C61" i="19" s="1"/>
  <c r="C62" i="19" s="1"/>
  <c r="C63" i="19" s="1"/>
  <c r="C64" i="19" s="1"/>
  <c r="C65" i="19" s="1"/>
  <c r="C66" i="19" s="1"/>
  <c r="C67" i="19" s="1"/>
  <c r="C68" i="19" s="1"/>
  <c r="C69" i="19" s="1"/>
  <c r="C70" i="19" s="1"/>
  <c r="C71" i="19" s="1"/>
  <c r="C72" i="19" s="1"/>
  <c r="C73" i="19" s="1"/>
  <c r="C74" i="19" s="1"/>
  <c r="C75" i="19" s="1"/>
  <c r="C76" i="19" s="1"/>
  <c r="C77" i="19" s="1"/>
  <c r="C78" i="19" s="1"/>
  <c r="C79" i="19" s="1"/>
  <c r="C80" i="19" s="1"/>
  <c r="C81" i="19" s="1"/>
  <c r="C82" i="19" s="1"/>
  <c r="C83" i="19" s="1"/>
  <c r="C84" i="19" s="1"/>
  <c r="C85" i="19" s="1"/>
  <c r="C86" i="19" s="1"/>
  <c r="C87" i="19" s="1"/>
  <c r="C88" i="19" s="1"/>
  <c r="C89" i="19" s="1"/>
  <c r="C90" i="19" s="1"/>
  <c r="C91" i="19" s="1"/>
  <c r="C92" i="19" s="1"/>
  <c r="C93" i="19" s="1"/>
  <c r="C94" i="19" s="1"/>
  <c r="C95" i="19" s="1"/>
  <c r="C96" i="19" s="1"/>
  <c r="C97" i="19" s="1"/>
  <c r="C98" i="19" s="1"/>
  <c r="C99" i="19" s="1"/>
  <c r="C100" i="19" s="1"/>
  <c r="C10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I2" i="17"/>
  <c r="F4" i="13"/>
  <c r="A9" i="13"/>
  <c r="B10" i="13"/>
  <c r="C10" i="13"/>
  <c r="A10" i="13" s="1"/>
  <c r="B11" i="13"/>
  <c r="C11" i="13"/>
  <c r="A11" i="13" s="1"/>
  <c r="B12" i="13"/>
  <c r="C12" i="13"/>
  <c r="A12" i="13"/>
  <c r="B13" i="13"/>
  <c r="C13" i="13"/>
  <c r="A13" i="13" s="1"/>
  <c r="B14" i="13"/>
  <c r="C14" i="13"/>
  <c r="A14" i="13" s="1"/>
  <c r="B15" i="13"/>
  <c r="C15" i="13"/>
  <c r="A15" i="13" s="1"/>
  <c r="B16" i="13"/>
  <c r="C16" i="13"/>
  <c r="A16" i="13" s="1"/>
  <c r="B17" i="13"/>
  <c r="C17" i="13"/>
  <c r="A17" i="13" s="1"/>
  <c r="B18" i="13"/>
  <c r="C18" i="13"/>
  <c r="A18" i="13" s="1"/>
  <c r="B19" i="13"/>
  <c r="C19" i="13"/>
  <c r="A19" i="13" s="1"/>
  <c r="B20" i="13"/>
  <c r="C20" i="13"/>
  <c r="A20" i="13" s="1"/>
  <c r="B21" i="13"/>
  <c r="C21" i="13"/>
  <c r="A21" i="13" s="1"/>
  <c r="B22" i="13"/>
  <c r="C22" i="13"/>
  <c r="A22" i="13" s="1"/>
  <c r="B23" i="13"/>
  <c r="C23" i="13"/>
  <c r="A23" i="13" s="1"/>
  <c r="B24" i="13"/>
  <c r="C24" i="13"/>
  <c r="A24" i="13" s="1"/>
  <c r="B25" i="13"/>
  <c r="C25" i="13"/>
  <c r="A25" i="13" s="1"/>
  <c r="B26" i="13"/>
  <c r="C26" i="13"/>
  <c r="A26" i="13" s="1"/>
  <c r="B27" i="13"/>
  <c r="C27" i="13"/>
  <c r="A27" i="13" s="1"/>
  <c r="B28" i="13"/>
  <c r="C28" i="13"/>
  <c r="A28" i="13" s="1"/>
  <c r="B29" i="13"/>
  <c r="C29" i="13"/>
  <c r="A29" i="13" s="1"/>
  <c r="B30" i="13"/>
  <c r="C30" i="13"/>
  <c r="A30" i="13" s="1"/>
  <c r="B31" i="13"/>
  <c r="C31" i="13"/>
  <c r="A31" i="13" s="1"/>
  <c r="B32" i="13"/>
  <c r="C32" i="13"/>
  <c r="A32" i="13" s="1"/>
  <c r="B33" i="13"/>
  <c r="C33" i="13"/>
  <c r="A33" i="13" s="1"/>
  <c r="B34" i="13"/>
  <c r="C34" i="13"/>
  <c r="A34" i="13" s="1"/>
  <c r="B35" i="13"/>
  <c r="C35" i="13"/>
  <c r="A35" i="13" s="1"/>
  <c r="B36" i="13"/>
  <c r="C36" i="13"/>
  <c r="A36" i="13" s="1"/>
  <c r="B37" i="13"/>
  <c r="C37" i="13"/>
  <c r="A37" i="13" s="1"/>
  <c r="B38" i="13"/>
  <c r="C38" i="13"/>
  <c r="A38" i="13" s="1"/>
  <c r="B39" i="13"/>
  <c r="C39" i="13"/>
  <c r="A39" i="13" s="1"/>
  <c r="B40" i="13"/>
  <c r="C40" i="13"/>
  <c r="A40" i="13" s="1"/>
  <c r="B41" i="13"/>
  <c r="C41" i="13"/>
  <c r="A41" i="13" s="1"/>
  <c r="B42" i="13"/>
  <c r="C42" i="13"/>
  <c r="A42" i="13" s="1"/>
  <c r="A43" i="13"/>
  <c r="B43" i="13"/>
  <c r="C43" i="13"/>
  <c r="B44" i="13"/>
  <c r="C44" i="13"/>
  <c r="A44" i="13" s="1"/>
  <c r="B45" i="13"/>
  <c r="C45" i="13"/>
  <c r="A45" i="13" s="1"/>
  <c r="B46" i="13"/>
  <c r="C46" i="13"/>
  <c r="A46" i="13" s="1"/>
  <c r="B47" i="13"/>
  <c r="C47" i="13"/>
  <c r="A47" i="13" s="1"/>
  <c r="B48" i="13"/>
  <c r="C48" i="13"/>
  <c r="A48" i="13" s="1"/>
  <c r="B49" i="13"/>
  <c r="C49" i="13"/>
  <c r="A49" i="13" s="1"/>
  <c r="B50" i="13"/>
  <c r="C50" i="13"/>
  <c r="A50" i="13" s="1"/>
  <c r="B51" i="13"/>
  <c r="C51" i="13"/>
  <c r="A51" i="13" s="1"/>
  <c r="B52" i="13"/>
  <c r="C52" i="13"/>
  <c r="A52" i="13" s="1"/>
  <c r="B53" i="13"/>
  <c r="C53" i="13"/>
  <c r="A53" i="13" s="1"/>
  <c r="B54" i="13"/>
  <c r="C54" i="13"/>
  <c r="A54" i="13" s="1"/>
  <c r="B55" i="13"/>
  <c r="C55" i="13"/>
  <c r="A55" i="13" s="1"/>
  <c r="B56" i="13"/>
  <c r="C56" i="13"/>
  <c r="A56" i="13" s="1"/>
  <c r="B57" i="13"/>
  <c r="C57" i="13"/>
  <c r="A57" i="13" s="1"/>
  <c r="B58" i="13"/>
  <c r="C58" i="13"/>
  <c r="A58" i="13" s="1"/>
  <c r="B59" i="13"/>
  <c r="C59" i="13"/>
  <c r="A59" i="13" s="1"/>
  <c r="B60" i="13"/>
  <c r="C60" i="13"/>
  <c r="A60" i="13" s="1"/>
  <c r="B61" i="13"/>
  <c r="C61" i="13"/>
  <c r="A61" i="13" s="1"/>
  <c r="B62" i="13"/>
  <c r="C62" i="13"/>
  <c r="A62" i="13" s="1"/>
  <c r="B63" i="13"/>
  <c r="C63" i="13"/>
  <c r="A63" i="13" s="1"/>
  <c r="B64" i="13"/>
  <c r="C64" i="13"/>
  <c r="A64" i="13" s="1"/>
  <c r="B65" i="13"/>
  <c r="C65" i="13"/>
  <c r="A65" i="13" s="1"/>
  <c r="B66" i="13"/>
  <c r="C66" i="13"/>
  <c r="A66" i="13" s="1"/>
  <c r="B67" i="13"/>
  <c r="C67" i="13"/>
  <c r="A67" i="13" s="1"/>
  <c r="B68" i="13"/>
  <c r="C68" i="13"/>
  <c r="A68" i="13" s="1"/>
  <c r="B69" i="13"/>
  <c r="C69" i="13"/>
  <c r="A69" i="13" s="1"/>
  <c r="B70" i="13"/>
  <c r="C70" i="13"/>
  <c r="A70" i="13" s="1"/>
  <c r="B71" i="13"/>
  <c r="C71" i="13"/>
  <c r="A71" i="13" s="1"/>
  <c r="B72" i="13"/>
  <c r="C72" i="13"/>
  <c r="A72" i="13" s="1"/>
  <c r="B73" i="13"/>
  <c r="C73" i="13"/>
  <c r="A73" i="13" s="1"/>
  <c r="B74" i="13"/>
  <c r="C74" i="13"/>
  <c r="A74" i="13" s="1"/>
  <c r="B75" i="13"/>
  <c r="C75" i="13"/>
  <c r="A75" i="13" s="1"/>
  <c r="B76" i="13"/>
  <c r="C76" i="13"/>
  <c r="A76" i="13" s="1"/>
  <c r="B77" i="13"/>
  <c r="C77" i="13"/>
  <c r="A77" i="13" s="1"/>
  <c r="B78" i="13"/>
  <c r="C78" i="13"/>
  <c r="A78" i="13" s="1"/>
  <c r="B79" i="13"/>
  <c r="C79" i="13"/>
  <c r="A79" i="13" s="1"/>
  <c r="B80" i="13"/>
  <c r="C80" i="13"/>
  <c r="A80" i="13" s="1"/>
  <c r="B81" i="13"/>
  <c r="C81" i="13"/>
  <c r="A81" i="13" s="1"/>
  <c r="B82" i="13"/>
  <c r="C82" i="13"/>
  <c r="A82" i="13" s="1"/>
  <c r="B83" i="13"/>
  <c r="C83" i="13"/>
  <c r="A83" i="13" s="1"/>
  <c r="B84" i="13"/>
  <c r="C84" i="13"/>
  <c r="A84" i="13" s="1"/>
  <c r="B85" i="13"/>
  <c r="C85" i="13"/>
  <c r="A85" i="13" s="1"/>
  <c r="B86" i="13"/>
  <c r="C86" i="13"/>
  <c r="A86" i="13" s="1"/>
  <c r="B87" i="13"/>
  <c r="C87" i="13"/>
  <c r="A87" i="13" s="1"/>
  <c r="B88" i="13"/>
  <c r="C88" i="13"/>
  <c r="A88" i="13" s="1"/>
  <c r="B89" i="13"/>
  <c r="C89" i="13"/>
  <c r="A89" i="13" s="1"/>
  <c r="B90" i="13"/>
  <c r="C90" i="13"/>
  <c r="A90" i="13"/>
  <c r="B91" i="13"/>
  <c r="C91" i="13"/>
  <c r="A91" i="13" s="1"/>
  <c r="B92" i="13"/>
  <c r="C92" i="13"/>
  <c r="A92" i="13" s="1"/>
  <c r="B93" i="13"/>
  <c r="C93" i="13"/>
  <c r="A93" i="13" s="1"/>
  <c r="B94" i="13"/>
  <c r="C94" i="13"/>
  <c r="A94" i="13" s="1"/>
  <c r="B95" i="13"/>
  <c r="C95" i="13"/>
  <c r="A95" i="13" s="1"/>
  <c r="B96" i="13"/>
  <c r="C96" i="13"/>
  <c r="A96" i="13" s="1"/>
  <c r="B97" i="13"/>
  <c r="C97" i="13"/>
  <c r="A97" i="13" s="1"/>
  <c r="B98" i="13"/>
  <c r="C98" i="13"/>
  <c r="A98" i="13" s="1"/>
  <c r="B99" i="13"/>
  <c r="C99" i="13"/>
  <c r="A99" i="13" s="1"/>
  <c r="B100" i="13"/>
  <c r="C100" i="13"/>
  <c r="A100" i="13" s="1"/>
  <c r="B101" i="13"/>
  <c r="C101" i="13"/>
  <c r="A101" i="13" s="1"/>
  <c r="B102" i="13"/>
  <c r="C102" i="13"/>
  <c r="A102" i="13" s="1"/>
  <c r="B103" i="13"/>
  <c r="C103" i="13"/>
  <c r="A103" i="13" s="1"/>
  <c r="B104" i="13"/>
  <c r="C104" i="13"/>
  <c r="A104" i="13" s="1"/>
  <c r="B105" i="13"/>
  <c r="C105" i="13"/>
  <c r="A105" i="13" s="1"/>
  <c r="B106" i="13"/>
  <c r="C106" i="13"/>
  <c r="A106" i="13" s="1"/>
  <c r="B107" i="13"/>
  <c r="C107" i="13"/>
  <c r="A107" i="13" s="1"/>
  <c r="B108" i="13"/>
  <c r="C108" i="13"/>
  <c r="A108" i="13" s="1"/>
  <c r="B109" i="13"/>
  <c r="C109" i="13"/>
  <c r="A109" i="13" s="1"/>
  <c r="B110" i="13"/>
  <c r="C110" i="13"/>
  <c r="A110" i="13" s="1"/>
  <c r="B111" i="13"/>
  <c r="C111" i="13"/>
  <c r="A111" i="13" s="1"/>
  <c r="B112" i="13"/>
  <c r="C112" i="13"/>
  <c r="A112" i="13" s="1"/>
  <c r="B113" i="13"/>
  <c r="C113" i="13"/>
  <c r="A113" i="13" s="1"/>
  <c r="B114" i="13"/>
  <c r="C114" i="13"/>
  <c r="A114" i="13" s="1"/>
  <c r="B115" i="13"/>
  <c r="C115" i="13"/>
  <c r="A115" i="13" s="1"/>
  <c r="B116" i="13"/>
  <c r="C116" i="13"/>
  <c r="A116" i="13" s="1"/>
  <c r="B117" i="13"/>
  <c r="C117" i="13"/>
  <c r="A117" i="13" s="1"/>
  <c r="B118" i="13"/>
  <c r="C118" i="13"/>
  <c r="A118" i="13" s="1"/>
  <c r="B119" i="13"/>
  <c r="C119" i="13"/>
  <c r="A119" i="13" s="1"/>
  <c r="B120" i="13"/>
  <c r="C120" i="13"/>
  <c r="A120" i="13" s="1"/>
  <c r="B121" i="13"/>
  <c r="C121" i="13"/>
  <c r="A121" i="13" s="1"/>
  <c r="B122" i="13"/>
  <c r="C122" i="13"/>
  <c r="A122" i="13"/>
  <c r="A123" i="13"/>
  <c r="B123" i="13"/>
  <c r="C123" i="13"/>
  <c r="B124" i="13"/>
  <c r="C124" i="13"/>
  <c r="A124" i="13" s="1"/>
  <c r="B125" i="13"/>
  <c r="C125" i="13"/>
  <c r="A125" i="13" s="1"/>
  <c r="B126" i="13"/>
  <c r="C126" i="13"/>
  <c r="A126" i="13" s="1"/>
  <c r="B127" i="13"/>
  <c r="C127" i="13"/>
  <c r="A127" i="13" s="1"/>
  <c r="B128" i="13"/>
  <c r="C128" i="13"/>
  <c r="A128" i="13" s="1"/>
  <c r="B129" i="13"/>
  <c r="C129" i="13"/>
  <c r="A129" i="13" s="1"/>
  <c r="B130" i="13"/>
  <c r="C130" i="13"/>
  <c r="A130" i="13" s="1"/>
  <c r="B131" i="13"/>
  <c r="C131" i="13"/>
  <c r="A131" i="13" s="1"/>
  <c r="B132" i="13"/>
  <c r="C132" i="13"/>
  <c r="A132" i="13" s="1"/>
  <c r="B133" i="13"/>
  <c r="C133" i="13"/>
  <c r="A133" i="13" s="1"/>
  <c r="B134" i="13"/>
  <c r="C134" i="13"/>
  <c r="A134" i="13" s="1"/>
  <c r="B135" i="13"/>
  <c r="C135" i="13"/>
  <c r="A135" i="13" s="1"/>
  <c r="B136" i="13"/>
  <c r="C136" i="13"/>
  <c r="A136" i="13" s="1"/>
  <c r="B137" i="13"/>
  <c r="C137" i="13"/>
  <c r="A137" i="13" s="1"/>
  <c r="B138" i="13"/>
  <c r="C138" i="13"/>
  <c r="A138" i="13" s="1"/>
  <c r="B139" i="13"/>
  <c r="C139" i="13"/>
  <c r="A139" i="13" s="1"/>
  <c r="B140" i="13"/>
  <c r="C140" i="13"/>
  <c r="A140" i="13" s="1"/>
  <c r="B141" i="13"/>
  <c r="C141" i="13"/>
  <c r="A141" i="13" s="1"/>
  <c r="B142" i="13"/>
  <c r="C142" i="13"/>
  <c r="A142" i="13" s="1"/>
  <c r="B143" i="13"/>
  <c r="C143" i="13"/>
  <c r="A143" i="13" s="1"/>
  <c r="B144" i="13"/>
  <c r="C144" i="13"/>
  <c r="A144" i="13" s="1"/>
  <c r="B145" i="13"/>
  <c r="C145" i="13"/>
  <c r="A145" i="13" s="1"/>
  <c r="B146" i="13"/>
  <c r="C146" i="13"/>
  <c r="A146" i="13" s="1"/>
  <c r="B147" i="13"/>
  <c r="C147" i="13"/>
  <c r="A147" i="13" s="1"/>
  <c r="B148" i="13"/>
  <c r="C148" i="13"/>
  <c r="A148" i="13" s="1"/>
  <c r="B149" i="13"/>
  <c r="C149" i="13"/>
  <c r="A149" i="13" s="1"/>
  <c r="B150" i="13"/>
  <c r="C150" i="13"/>
  <c r="A150" i="13" s="1"/>
  <c r="B151" i="13"/>
  <c r="C151" i="13"/>
  <c r="A151" i="13" s="1"/>
  <c r="B152" i="13"/>
  <c r="C152" i="13"/>
  <c r="A152" i="13" s="1"/>
  <c r="B153" i="13"/>
  <c r="C153" i="13"/>
  <c r="A153" i="13"/>
  <c r="B154" i="13"/>
  <c r="C154" i="13"/>
  <c r="A154" i="13" s="1"/>
  <c r="B155" i="13"/>
  <c r="C155" i="13"/>
  <c r="A155" i="13" s="1"/>
  <c r="B156" i="13"/>
  <c r="C156" i="13"/>
  <c r="A156" i="13" s="1"/>
  <c r="B157" i="13"/>
  <c r="C157" i="13"/>
  <c r="A157" i="13" s="1"/>
  <c r="B158" i="13"/>
  <c r="C158" i="13"/>
  <c r="A158" i="13" s="1"/>
  <c r="B159" i="13"/>
  <c r="C159" i="13"/>
  <c r="A159" i="13" s="1"/>
  <c r="B160" i="13"/>
  <c r="C160" i="13"/>
  <c r="A160" i="13" s="1"/>
  <c r="B161" i="13"/>
  <c r="C161" i="13"/>
  <c r="A161" i="13" s="1"/>
  <c r="B162" i="13"/>
  <c r="C162" i="13"/>
  <c r="A162" i="13" s="1"/>
  <c r="B163" i="13"/>
  <c r="C163" i="13"/>
  <c r="A163" i="13" s="1"/>
  <c r="B164" i="13"/>
  <c r="C164" i="13"/>
  <c r="A164" i="13" s="1"/>
  <c r="B165" i="13"/>
  <c r="C165" i="13"/>
  <c r="A165" i="13" s="1"/>
  <c r="B166" i="13"/>
  <c r="C166" i="13"/>
  <c r="A166" i="13" s="1"/>
  <c r="B167" i="13"/>
  <c r="C167" i="13"/>
  <c r="A167" i="13" s="1"/>
  <c r="B168" i="13"/>
  <c r="C168" i="13"/>
  <c r="A168" i="13" s="1"/>
  <c r="B169" i="13"/>
  <c r="C169" i="13"/>
  <c r="A169" i="13" s="1"/>
  <c r="B170" i="13"/>
  <c r="C170" i="13"/>
  <c r="A170" i="13" s="1"/>
  <c r="B171" i="13"/>
  <c r="C171" i="13"/>
  <c r="A171" i="13" s="1"/>
  <c r="B172" i="13"/>
  <c r="C172" i="13"/>
  <c r="A172" i="13"/>
  <c r="B173" i="13"/>
  <c r="C173" i="13"/>
  <c r="A173" i="13" s="1"/>
  <c r="B174" i="13"/>
  <c r="C174" i="13"/>
  <c r="A174" i="13" s="1"/>
  <c r="B175" i="13"/>
  <c r="C175" i="13"/>
  <c r="A175" i="13" s="1"/>
  <c r="B176" i="13"/>
  <c r="C176" i="13"/>
  <c r="A176" i="13" s="1"/>
  <c r="B177" i="13"/>
  <c r="C177" i="13"/>
  <c r="A177" i="13" s="1"/>
  <c r="B178" i="13"/>
  <c r="C178" i="13"/>
  <c r="A178" i="13" s="1"/>
  <c r="B179" i="13"/>
  <c r="C179" i="13"/>
  <c r="A179" i="13" s="1"/>
  <c r="B180" i="13"/>
  <c r="C180" i="13"/>
  <c r="A180" i="13" s="1"/>
  <c r="B181" i="13"/>
  <c r="C181" i="13"/>
  <c r="A181" i="13" s="1"/>
  <c r="B182" i="13"/>
  <c r="C182" i="13"/>
  <c r="A182" i="13" s="1"/>
  <c r="B183" i="13"/>
  <c r="C183" i="13"/>
  <c r="A183" i="13" s="1"/>
  <c r="B184" i="13"/>
  <c r="C184" i="13"/>
  <c r="A184" i="13" s="1"/>
  <c r="B185" i="13"/>
  <c r="C185" i="13"/>
  <c r="A185" i="13" s="1"/>
  <c r="B186" i="13"/>
  <c r="C186" i="13"/>
  <c r="A186" i="13" s="1"/>
  <c r="B187" i="13"/>
  <c r="C187" i="13"/>
  <c r="A187" i="13" s="1"/>
  <c r="B188" i="13"/>
  <c r="C188" i="13"/>
  <c r="A188" i="13" s="1"/>
  <c r="B189" i="13"/>
  <c r="C189" i="13"/>
  <c r="A189" i="13" s="1"/>
  <c r="B190" i="13"/>
  <c r="C190" i="13"/>
  <c r="A190" i="13" s="1"/>
  <c r="B191" i="13"/>
  <c r="C191" i="13"/>
  <c r="A191" i="13" s="1"/>
  <c r="B192" i="13"/>
  <c r="C192" i="13"/>
  <c r="A192" i="13" s="1"/>
  <c r="B193" i="13"/>
  <c r="C193" i="13"/>
  <c r="A193" i="13" s="1"/>
  <c r="B194" i="13"/>
  <c r="C194" i="13"/>
  <c r="A194" i="13" s="1"/>
  <c r="B195" i="13"/>
  <c r="C195" i="13"/>
  <c r="A195" i="13" s="1"/>
  <c r="B196" i="13"/>
  <c r="C196" i="13"/>
  <c r="A196" i="13" s="1"/>
  <c r="B197" i="13"/>
  <c r="C197" i="13"/>
  <c r="A197" i="13" s="1"/>
  <c r="B198" i="13"/>
  <c r="C198" i="13"/>
  <c r="A198" i="13" s="1"/>
  <c r="B199" i="13"/>
  <c r="C199" i="13"/>
  <c r="A199" i="13" s="1"/>
  <c r="B200" i="13"/>
  <c r="C200" i="13"/>
  <c r="A200" i="13" s="1"/>
  <c r="B201" i="13"/>
  <c r="C201" i="13"/>
  <c r="A201" i="13"/>
  <c r="B202" i="13"/>
  <c r="C202" i="13"/>
  <c r="A202" i="13" s="1"/>
  <c r="B203" i="13"/>
  <c r="C203" i="13"/>
  <c r="A203" i="13" s="1"/>
  <c r="B204" i="13"/>
  <c r="C204" i="13"/>
  <c r="A204" i="13" s="1"/>
  <c r="B205" i="13"/>
  <c r="C205" i="13"/>
  <c r="A205" i="13" s="1"/>
  <c r="B206" i="13"/>
  <c r="C206" i="13"/>
  <c r="A206" i="13" s="1"/>
  <c r="B207" i="13"/>
  <c r="C207" i="13"/>
  <c r="A207" i="13" s="1"/>
  <c r="B208" i="13"/>
  <c r="C208" i="13"/>
  <c r="A208" i="13" s="1"/>
  <c r="B209" i="13"/>
  <c r="C209" i="13"/>
  <c r="A209" i="13" s="1"/>
  <c r="B210" i="13"/>
  <c r="C210" i="13"/>
  <c r="A210" i="13" s="1"/>
  <c r="B211" i="13"/>
  <c r="C211" i="13"/>
  <c r="A211" i="13" s="1"/>
  <c r="B212" i="13"/>
  <c r="C212" i="13"/>
  <c r="A212" i="13" s="1"/>
  <c r="B213" i="13"/>
  <c r="C213" i="13"/>
  <c r="A213" i="13" s="1"/>
  <c r="B214" i="13"/>
  <c r="C214" i="13"/>
  <c r="A214" i="13" s="1"/>
  <c r="B215" i="13"/>
  <c r="C215" i="13"/>
  <c r="A215" i="13" s="1"/>
  <c r="B216" i="13"/>
  <c r="C216" i="13"/>
  <c r="A216" i="13" s="1"/>
  <c r="B217" i="13"/>
  <c r="C217" i="13"/>
  <c r="A217" i="13" s="1"/>
  <c r="B218" i="13"/>
  <c r="C218" i="13"/>
  <c r="A218" i="13" s="1"/>
  <c r="B219" i="13"/>
  <c r="C219" i="13"/>
  <c r="A219" i="13" s="1"/>
  <c r="B220" i="13"/>
  <c r="C220" i="13"/>
  <c r="A220" i="13" s="1"/>
  <c r="B221" i="13"/>
  <c r="C221" i="13"/>
  <c r="A221" i="13" s="1"/>
  <c r="B222" i="13"/>
  <c r="C222" i="13"/>
  <c r="A222" i="13" s="1"/>
  <c r="B223" i="13"/>
  <c r="C223" i="13"/>
  <c r="A223" i="13" s="1"/>
  <c r="B224" i="13"/>
  <c r="C224" i="13"/>
  <c r="A224" i="13" s="1"/>
  <c r="B225" i="13"/>
  <c r="C225" i="13"/>
  <c r="A225" i="13" s="1"/>
  <c r="B226" i="13"/>
  <c r="C226" i="13"/>
  <c r="A226" i="13" s="1"/>
  <c r="B227" i="13"/>
  <c r="C227" i="13"/>
  <c r="A227" i="13" s="1"/>
  <c r="B228" i="13"/>
  <c r="C228" i="13"/>
  <c r="A228" i="13" s="1"/>
  <c r="B229" i="13"/>
  <c r="C229" i="13"/>
  <c r="A229" i="13" s="1"/>
  <c r="B230" i="13"/>
  <c r="C230" i="13"/>
  <c r="A230" i="13" s="1"/>
  <c r="B231" i="13"/>
  <c r="C231" i="13"/>
  <c r="A231" i="13" s="1"/>
  <c r="B232" i="13"/>
  <c r="C232" i="13"/>
  <c r="A232" i="13" s="1"/>
  <c r="B233" i="13"/>
  <c r="C233" i="13"/>
  <c r="A233" i="13" s="1"/>
  <c r="B234" i="13"/>
  <c r="C234" i="13"/>
  <c r="A234" i="13" s="1"/>
  <c r="B235" i="13"/>
  <c r="C235" i="13"/>
  <c r="A235" i="13" s="1"/>
  <c r="B236" i="13"/>
  <c r="C236" i="13"/>
  <c r="A236" i="13" s="1"/>
  <c r="B237" i="13"/>
  <c r="C237" i="13"/>
  <c r="A237" i="13" s="1"/>
  <c r="B238" i="13"/>
  <c r="C238" i="13"/>
  <c r="A238" i="13" s="1"/>
  <c r="B239" i="13"/>
  <c r="C239" i="13"/>
  <c r="A239" i="13" s="1"/>
  <c r="B240" i="13"/>
  <c r="C240" i="13"/>
  <c r="A240" i="13" s="1"/>
  <c r="B241" i="13"/>
  <c r="C241" i="13"/>
  <c r="A241" i="13" s="1"/>
  <c r="B242" i="13"/>
  <c r="C242" i="13"/>
  <c r="A242" i="13" s="1"/>
  <c r="B243" i="13"/>
  <c r="C243" i="13"/>
  <c r="A243" i="13" s="1"/>
  <c r="B244" i="13"/>
  <c r="C244" i="13"/>
  <c r="A244" i="13" s="1"/>
  <c r="B245" i="13"/>
  <c r="C245" i="13"/>
  <c r="A245" i="13" s="1"/>
  <c r="B246" i="13"/>
  <c r="C246" i="13"/>
  <c r="A246" i="13" s="1"/>
  <c r="B247" i="13"/>
  <c r="C247" i="13"/>
  <c r="A247" i="13" s="1"/>
  <c r="B248" i="13"/>
  <c r="C248" i="13"/>
  <c r="A248" i="13" s="1"/>
  <c r="B249" i="13"/>
  <c r="C249" i="13"/>
  <c r="A249" i="13" s="1"/>
  <c r="B250" i="13"/>
  <c r="C250" i="13"/>
  <c r="A250" i="13" s="1"/>
  <c r="B251" i="13"/>
  <c r="C251" i="13"/>
  <c r="A251" i="13" s="1"/>
  <c r="B252" i="13"/>
  <c r="C252" i="13"/>
  <c r="A252" i="13" s="1"/>
  <c r="B253" i="13"/>
  <c r="C253" i="13"/>
  <c r="A253" i="13" s="1"/>
  <c r="B254" i="13"/>
  <c r="C254" i="13"/>
  <c r="A254" i="13" s="1"/>
  <c r="B255" i="13"/>
  <c r="C255" i="13"/>
  <c r="A255" i="13" s="1"/>
  <c r="B256" i="13"/>
  <c r="C256" i="13"/>
  <c r="A256" i="13" s="1"/>
  <c r="B257" i="13"/>
  <c r="C257" i="13"/>
  <c r="A257" i="13" s="1"/>
  <c r="B258" i="13"/>
  <c r="C258" i="13"/>
  <c r="A258" i="13" s="1"/>
  <c r="B259" i="13"/>
  <c r="C259" i="13"/>
  <c r="A259" i="13" s="1"/>
  <c r="B260" i="13"/>
  <c r="C260" i="13"/>
  <c r="A260" i="13" s="1"/>
  <c r="B261" i="13"/>
  <c r="C261" i="13"/>
  <c r="A261" i="13" s="1"/>
  <c r="B262" i="13"/>
  <c r="C262" i="13"/>
  <c r="A262" i="13" s="1"/>
  <c r="B263" i="13"/>
  <c r="C263" i="13"/>
  <c r="A263" i="13" s="1"/>
  <c r="B264" i="13"/>
  <c r="C264" i="13"/>
  <c r="A264" i="13" s="1"/>
  <c r="B265" i="13"/>
  <c r="C265" i="13"/>
  <c r="A265" i="13" s="1"/>
  <c r="B266" i="13"/>
  <c r="C266" i="13"/>
  <c r="A266" i="13" s="1"/>
  <c r="B267" i="13"/>
  <c r="C267" i="13"/>
  <c r="A267" i="13" s="1"/>
  <c r="B268" i="13"/>
  <c r="C268" i="13"/>
  <c r="A268" i="13" s="1"/>
  <c r="B269" i="13"/>
  <c r="C269" i="13"/>
  <c r="A269" i="13" s="1"/>
  <c r="B270" i="13"/>
  <c r="C270" i="13"/>
  <c r="A270" i="13" s="1"/>
  <c r="B271" i="13"/>
  <c r="C271" i="13"/>
  <c r="A271" i="13" s="1"/>
  <c r="B272" i="13"/>
  <c r="C272" i="13"/>
  <c r="A272" i="13"/>
  <c r="B273" i="13"/>
  <c r="C273" i="13"/>
  <c r="A273" i="13" s="1"/>
  <c r="B274" i="13"/>
  <c r="C274" i="13"/>
  <c r="A274" i="13" s="1"/>
  <c r="B275" i="13"/>
  <c r="C275" i="13"/>
  <c r="A275" i="13" s="1"/>
  <c r="B276" i="13"/>
  <c r="C276" i="13"/>
  <c r="A276" i="13" s="1"/>
  <c r="B277" i="13"/>
  <c r="C277" i="13"/>
  <c r="A277" i="13" s="1"/>
  <c r="B278" i="13"/>
  <c r="C278" i="13"/>
  <c r="A278" i="13" s="1"/>
  <c r="B279" i="13"/>
  <c r="C279" i="13"/>
  <c r="A279" i="13" s="1"/>
  <c r="B280" i="13"/>
  <c r="C280" i="13"/>
  <c r="A280" i="13" s="1"/>
  <c r="B281" i="13"/>
  <c r="C281" i="13"/>
  <c r="A281" i="13" s="1"/>
  <c r="B282" i="13"/>
  <c r="C282" i="13"/>
  <c r="A282" i="13" s="1"/>
  <c r="B283" i="13"/>
  <c r="C283" i="13"/>
  <c r="A283" i="13" s="1"/>
  <c r="B284" i="13"/>
  <c r="C284" i="13"/>
  <c r="A284" i="13" s="1"/>
  <c r="B285" i="13"/>
  <c r="C285" i="13"/>
  <c r="A285" i="13" s="1"/>
  <c r="B286" i="13"/>
  <c r="C286" i="13"/>
  <c r="A286" i="13" s="1"/>
  <c r="B287" i="13"/>
  <c r="C287" i="13"/>
  <c r="A287" i="13" s="1"/>
  <c r="B288" i="13"/>
  <c r="C288" i="13"/>
  <c r="A288" i="13" s="1"/>
  <c r="B289" i="13"/>
  <c r="C289" i="13"/>
  <c r="A289" i="13" s="1"/>
  <c r="B290" i="13"/>
  <c r="C290" i="13"/>
  <c r="A290" i="13" s="1"/>
  <c r="B291" i="13"/>
  <c r="C291" i="13"/>
  <c r="A291" i="13" s="1"/>
  <c r="B292" i="13"/>
  <c r="C292" i="13"/>
  <c r="A292" i="13" s="1"/>
  <c r="B293" i="13"/>
  <c r="C293" i="13"/>
  <c r="A293" i="13" s="1"/>
  <c r="B294" i="13"/>
  <c r="C294" i="13"/>
  <c r="A294" i="13" s="1"/>
  <c r="B295" i="13"/>
  <c r="C295" i="13"/>
  <c r="A295" i="13" s="1"/>
  <c r="B296" i="13"/>
  <c r="C296" i="13"/>
  <c r="A296" i="13" s="1"/>
  <c r="B297" i="13"/>
  <c r="C297" i="13"/>
  <c r="A297" i="13" s="1"/>
  <c r="B298" i="13"/>
  <c r="C298" i="13"/>
  <c r="A298" i="13" s="1"/>
  <c r="B299" i="13"/>
  <c r="C299" i="13"/>
  <c r="A299" i="13" s="1"/>
  <c r="B300" i="13"/>
  <c r="C300" i="13"/>
  <c r="A300" i="13" s="1"/>
  <c r="B301" i="13"/>
  <c r="C301" i="13"/>
  <c r="A301" i="13" s="1"/>
  <c r="B302" i="13"/>
  <c r="C302" i="13"/>
  <c r="A302" i="13" s="1"/>
  <c r="B303" i="13"/>
  <c r="C303" i="13"/>
  <c r="A303" i="13" s="1"/>
  <c r="B304" i="13"/>
  <c r="C304" i="13"/>
  <c r="A304" i="13" s="1"/>
  <c r="B305" i="13"/>
  <c r="C305" i="13"/>
  <c r="A305" i="13" s="1"/>
  <c r="B306" i="13"/>
  <c r="C306" i="13"/>
  <c r="A306" i="13" s="1"/>
  <c r="B307" i="13"/>
  <c r="C307" i="13"/>
  <c r="A307" i="13" s="1"/>
  <c r="B308" i="13"/>
  <c r="C308" i="13"/>
  <c r="A308" i="13" s="1"/>
  <c r="B309" i="13"/>
  <c r="C309" i="13"/>
  <c r="A309" i="13" s="1"/>
  <c r="B310" i="13"/>
  <c r="C310" i="13"/>
  <c r="A310" i="13" s="1"/>
  <c r="B311" i="13"/>
  <c r="C311" i="13"/>
  <c r="A311" i="13" s="1"/>
  <c r="B312" i="13"/>
  <c r="C312" i="13"/>
  <c r="A312" i="13" s="1"/>
  <c r="B313" i="13"/>
  <c r="C313" i="13"/>
  <c r="A313" i="13" s="1"/>
  <c r="B314" i="13"/>
  <c r="C314" i="13"/>
  <c r="A314" i="13" s="1"/>
  <c r="B315" i="13"/>
  <c r="C315" i="13"/>
  <c r="A315" i="13" s="1"/>
  <c r="B316" i="13"/>
  <c r="C316" i="13"/>
  <c r="A316" i="13" s="1"/>
  <c r="B317" i="13"/>
  <c r="C317" i="13"/>
  <c r="A317" i="13" s="1"/>
  <c r="B318" i="13"/>
  <c r="C318" i="13"/>
  <c r="A318" i="13" s="1"/>
  <c r="B319" i="13"/>
  <c r="C319" i="13"/>
  <c r="A319" i="13" s="1"/>
  <c r="B320" i="13"/>
  <c r="C320" i="13"/>
  <c r="A320" i="13" s="1"/>
  <c r="B321" i="13"/>
  <c r="C321" i="13"/>
  <c r="A321" i="13" s="1"/>
  <c r="B322" i="13"/>
  <c r="C322" i="13"/>
  <c r="A322" i="13" s="1"/>
  <c r="B323" i="13"/>
  <c r="C323" i="13"/>
  <c r="A323" i="13" s="1"/>
  <c r="B324" i="13"/>
  <c r="C324" i="13"/>
  <c r="A324" i="13" s="1"/>
  <c r="B325" i="13"/>
  <c r="C325" i="13"/>
  <c r="A325" i="13" s="1"/>
  <c r="B326" i="13"/>
  <c r="C326" i="13"/>
  <c r="A326" i="13" s="1"/>
  <c r="B327" i="13"/>
  <c r="C327" i="13"/>
  <c r="A327" i="13" s="1"/>
  <c r="B328" i="13"/>
  <c r="C328" i="13"/>
  <c r="A328" i="13" s="1"/>
  <c r="B329" i="13"/>
  <c r="C329" i="13"/>
  <c r="A329" i="13"/>
  <c r="B330" i="13"/>
  <c r="C330" i="13"/>
  <c r="A330" i="13" s="1"/>
  <c r="B331" i="13"/>
  <c r="C331" i="13"/>
  <c r="A331" i="13" s="1"/>
  <c r="B332" i="13"/>
  <c r="C332" i="13"/>
  <c r="A332" i="13" s="1"/>
  <c r="B333" i="13"/>
  <c r="C333" i="13"/>
  <c r="A333" i="13" s="1"/>
  <c r="B334" i="13"/>
  <c r="C334" i="13"/>
  <c r="A334" i="13" s="1"/>
  <c r="B335" i="13"/>
  <c r="C335" i="13"/>
  <c r="A335" i="13" s="1"/>
  <c r="B336" i="13"/>
  <c r="C336" i="13"/>
  <c r="A336" i="13" s="1"/>
  <c r="B337" i="13"/>
  <c r="C337" i="13"/>
  <c r="A337" i="13" s="1"/>
  <c r="B338" i="13"/>
  <c r="C338" i="13"/>
  <c r="A338" i="13" s="1"/>
  <c r="B339" i="13"/>
  <c r="C339" i="13"/>
  <c r="A339" i="13" s="1"/>
  <c r="B340" i="13"/>
  <c r="C340" i="13"/>
  <c r="A340" i="13"/>
  <c r="B341" i="13"/>
  <c r="C341" i="13"/>
  <c r="A341" i="13" s="1"/>
  <c r="B342" i="13"/>
  <c r="C342" i="13"/>
  <c r="A342" i="13" s="1"/>
  <c r="B343" i="13"/>
  <c r="C343" i="13"/>
  <c r="A343" i="13" s="1"/>
  <c r="B344" i="13"/>
  <c r="C344" i="13"/>
  <c r="A344" i="13" s="1"/>
  <c r="B345" i="13"/>
  <c r="C345" i="13"/>
  <c r="A345" i="13" s="1"/>
  <c r="B346" i="13"/>
  <c r="C346" i="13"/>
  <c r="A346" i="13" s="1"/>
  <c r="B347" i="13"/>
  <c r="C347" i="13"/>
  <c r="A347" i="13" s="1"/>
  <c r="B348" i="13"/>
  <c r="C348" i="13"/>
  <c r="A348" i="13" s="1"/>
  <c r="B349" i="13"/>
  <c r="C349" i="13"/>
  <c r="A349" i="13" s="1"/>
  <c r="B350" i="13"/>
  <c r="C350" i="13"/>
  <c r="A350" i="13" s="1"/>
  <c r="B351" i="13"/>
  <c r="C351" i="13"/>
  <c r="A351" i="13" s="1"/>
  <c r="B352" i="13"/>
  <c r="C352" i="13"/>
  <c r="A352" i="13" s="1"/>
  <c r="B353" i="13"/>
  <c r="C353" i="13"/>
  <c r="A353" i="13" s="1"/>
  <c r="B354" i="13"/>
  <c r="C354" i="13"/>
  <c r="A354" i="13" s="1"/>
  <c r="B355" i="13"/>
  <c r="C355" i="13"/>
  <c r="A355" i="13" s="1"/>
  <c r="B356" i="13"/>
  <c r="C356" i="13"/>
  <c r="A356" i="13" s="1"/>
  <c r="B357" i="13"/>
  <c r="C357" i="13"/>
  <c r="A357" i="13" s="1"/>
  <c r="B358" i="13"/>
  <c r="C358" i="13"/>
  <c r="A358" i="13" s="1"/>
  <c r="B359" i="13"/>
  <c r="C359" i="13"/>
  <c r="A359" i="13" s="1"/>
  <c r="B360" i="13"/>
  <c r="C360" i="13"/>
  <c r="A360" i="13"/>
  <c r="B361" i="13"/>
  <c r="C361" i="13"/>
  <c r="A361" i="13" s="1"/>
  <c r="B362" i="13"/>
  <c r="C362" i="13"/>
  <c r="A362" i="13" s="1"/>
  <c r="B363" i="13"/>
  <c r="C363" i="13"/>
  <c r="A363" i="13" s="1"/>
  <c r="B364" i="13"/>
  <c r="C364" i="13"/>
  <c r="A364" i="13" s="1"/>
  <c r="B365" i="13"/>
  <c r="C365" i="13"/>
  <c r="A365" i="13" s="1"/>
  <c r="B366" i="13"/>
  <c r="C366" i="13"/>
  <c r="A366" i="13" s="1"/>
  <c r="B367" i="13"/>
  <c r="C367" i="13"/>
  <c r="A367" i="13" s="1"/>
  <c r="B368" i="13"/>
  <c r="C368" i="13"/>
  <c r="A368" i="13" s="1"/>
  <c r="B369" i="13"/>
  <c r="C369" i="13"/>
  <c r="A369" i="13" s="1"/>
  <c r="B370" i="13"/>
  <c r="C370" i="13"/>
  <c r="A370" i="13" s="1"/>
  <c r="B371" i="13"/>
  <c r="C371" i="13"/>
  <c r="A371" i="13" s="1"/>
  <c r="B372" i="13"/>
  <c r="C372" i="13"/>
  <c r="A372" i="13" s="1"/>
  <c r="B373" i="13"/>
  <c r="C373" i="13"/>
  <c r="A373" i="13" s="1"/>
  <c r="B374" i="13"/>
  <c r="C374" i="13"/>
  <c r="A374" i="13" s="1"/>
  <c r="B375" i="13"/>
  <c r="C375" i="13"/>
  <c r="A375" i="13" s="1"/>
  <c r="B376" i="13"/>
  <c r="C376" i="13"/>
  <c r="A376" i="13" s="1"/>
  <c r="B377" i="13"/>
  <c r="C377" i="13"/>
  <c r="A377" i="13" s="1"/>
  <c r="B378" i="13"/>
  <c r="C378" i="13"/>
  <c r="A378" i="13" s="1"/>
  <c r="B379" i="13"/>
  <c r="C379" i="13"/>
  <c r="A379" i="13" s="1"/>
  <c r="B380" i="13"/>
  <c r="C380" i="13"/>
  <c r="A380" i="13" s="1"/>
  <c r="B381" i="13"/>
  <c r="C381" i="13"/>
  <c r="A381" i="13" s="1"/>
  <c r="B382" i="13"/>
  <c r="C382" i="13"/>
  <c r="A382" i="13" s="1"/>
  <c r="B383" i="13"/>
  <c r="C383" i="13"/>
  <c r="A383" i="13" s="1"/>
  <c r="B384" i="13"/>
  <c r="C384" i="13"/>
  <c r="A384" i="13" s="1"/>
  <c r="B385" i="13"/>
  <c r="C385" i="13"/>
  <c r="A385" i="13" s="1"/>
  <c r="B386" i="13"/>
  <c r="C386" i="13"/>
  <c r="A386" i="13" s="1"/>
  <c r="B387" i="13"/>
  <c r="C387" i="13"/>
  <c r="A387" i="13" s="1"/>
  <c r="B388" i="13"/>
  <c r="C388" i="13"/>
  <c r="A388" i="13"/>
  <c r="B389" i="13"/>
  <c r="C389" i="13"/>
  <c r="A389" i="13" s="1"/>
  <c r="B390" i="13"/>
  <c r="C390" i="13"/>
  <c r="A390" i="13" s="1"/>
  <c r="B391" i="13"/>
  <c r="C391" i="13"/>
  <c r="A391" i="13" s="1"/>
  <c r="B392" i="13"/>
  <c r="C392" i="13"/>
  <c r="A392" i="13" s="1"/>
  <c r="B393" i="13"/>
  <c r="C393" i="13"/>
  <c r="A393" i="13" s="1"/>
  <c r="B394" i="13"/>
  <c r="C394" i="13"/>
  <c r="A394" i="13" s="1"/>
  <c r="B395" i="13"/>
  <c r="C395" i="13"/>
  <c r="A395" i="13" s="1"/>
  <c r="B396" i="13"/>
  <c r="C396" i="13"/>
  <c r="A396" i="13" s="1"/>
  <c r="B397" i="13"/>
  <c r="C397" i="13"/>
  <c r="A397" i="13" s="1"/>
  <c r="B398" i="13"/>
  <c r="C398" i="13"/>
  <c r="A398" i="13" s="1"/>
  <c r="B399" i="13"/>
  <c r="C399" i="13"/>
  <c r="A399" i="13" s="1"/>
  <c r="B400" i="13"/>
  <c r="C400" i="13"/>
  <c r="A400" i="13" s="1"/>
  <c r="B401" i="13"/>
  <c r="C401" i="13"/>
  <c r="A401" i="13" s="1"/>
  <c r="B402" i="13"/>
  <c r="C402" i="13"/>
  <c r="A402" i="13" s="1"/>
  <c r="B403" i="13"/>
  <c r="C403" i="13"/>
  <c r="A403" i="13" s="1"/>
  <c r="B404" i="13"/>
  <c r="C404" i="13"/>
  <c r="A404" i="13"/>
  <c r="B405" i="13"/>
  <c r="C405" i="13"/>
  <c r="A405" i="13" s="1"/>
  <c r="B406" i="13"/>
  <c r="C406" i="13"/>
  <c r="A406" i="13" s="1"/>
  <c r="B407" i="13"/>
  <c r="C407" i="13"/>
  <c r="A407" i="13" s="1"/>
  <c r="B408" i="13"/>
  <c r="C408" i="13"/>
  <c r="A408" i="13" s="1"/>
  <c r="B409" i="13"/>
  <c r="C409" i="13"/>
  <c r="A409" i="13" s="1"/>
  <c r="B410" i="13"/>
  <c r="C410" i="13"/>
  <c r="A410" i="13" s="1"/>
  <c r="B411" i="13"/>
  <c r="C411" i="13"/>
  <c r="A411" i="13" s="1"/>
  <c r="B412" i="13"/>
  <c r="C412" i="13"/>
  <c r="A412" i="13" s="1"/>
  <c r="B413" i="13"/>
  <c r="C413" i="13"/>
  <c r="A413" i="13" s="1"/>
  <c r="B414" i="13"/>
  <c r="C414" i="13"/>
  <c r="A414" i="13" s="1"/>
  <c r="B415" i="13"/>
  <c r="C415" i="13"/>
  <c r="A415" i="13" s="1"/>
  <c r="B416" i="13"/>
  <c r="C416" i="13"/>
  <c r="A416" i="13" s="1"/>
  <c r="B417" i="13"/>
  <c r="C417" i="13"/>
  <c r="A417" i="13" s="1"/>
  <c r="B418" i="13"/>
  <c r="C418" i="13"/>
  <c r="A418" i="13" s="1"/>
  <c r="B419" i="13"/>
  <c r="C419" i="13"/>
  <c r="A419" i="13" s="1"/>
  <c r="B420" i="13"/>
  <c r="C420" i="13"/>
  <c r="A420" i="13" s="1"/>
  <c r="B421" i="13"/>
  <c r="C421" i="13"/>
  <c r="A421" i="13" s="1"/>
  <c r="B422" i="13"/>
  <c r="C422" i="13"/>
  <c r="A422" i="13" s="1"/>
  <c r="B423" i="13"/>
  <c r="C423" i="13"/>
  <c r="A423" i="13" s="1"/>
  <c r="B424" i="13"/>
  <c r="C424" i="13"/>
  <c r="A424" i="13" s="1"/>
  <c r="B425" i="13"/>
  <c r="C425" i="13"/>
  <c r="A425" i="13" s="1"/>
  <c r="B426" i="13"/>
  <c r="C426" i="13"/>
  <c r="A426" i="13" s="1"/>
  <c r="B427" i="13"/>
  <c r="C427" i="13"/>
  <c r="A427" i="13" s="1"/>
  <c r="B428" i="13"/>
  <c r="C428" i="13"/>
  <c r="A428" i="13" s="1"/>
  <c r="B429" i="13"/>
  <c r="C429" i="13"/>
  <c r="A429" i="13" s="1"/>
  <c r="B430" i="13"/>
  <c r="C430" i="13"/>
  <c r="A430" i="13" s="1"/>
  <c r="B431" i="13"/>
  <c r="C431" i="13"/>
  <c r="A431" i="13" s="1"/>
  <c r="B432" i="13"/>
  <c r="C432" i="13"/>
  <c r="A432" i="13" s="1"/>
  <c r="B433" i="13"/>
  <c r="C433" i="13"/>
  <c r="A433" i="13" s="1"/>
  <c r="B434" i="13"/>
  <c r="C434" i="13"/>
  <c r="A434" i="13" s="1"/>
  <c r="B435" i="13"/>
  <c r="C435" i="13"/>
  <c r="A435" i="13" s="1"/>
  <c r="B436" i="13"/>
  <c r="C436" i="13"/>
  <c r="A436" i="13" s="1"/>
  <c r="B437" i="13"/>
  <c r="C437" i="13"/>
  <c r="A437" i="13" s="1"/>
  <c r="B438" i="13"/>
  <c r="C438" i="13"/>
  <c r="A438" i="13" s="1"/>
  <c r="B439" i="13"/>
  <c r="C439" i="13"/>
  <c r="A439" i="13" s="1"/>
  <c r="B440" i="13"/>
  <c r="C440" i="13"/>
  <c r="A440" i="13" s="1"/>
  <c r="B441" i="13"/>
  <c r="C441" i="13"/>
  <c r="A441" i="13" s="1"/>
  <c r="B442" i="13"/>
  <c r="C442" i="13"/>
  <c r="A442" i="13" s="1"/>
  <c r="B443" i="13"/>
  <c r="C443" i="13"/>
  <c r="A443" i="13" s="1"/>
  <c r="B444" i="13"/>
  <c r="C444" i="13"/>
  <c r="A444" i="13" s="1"/>
  <c r="B445" i="13"/>
  <c r="C445" i="13"/>
  <c r="A445" i="13" s="1"/>
  <c r="B446" i="13"/>
  <c r="C446" i="13"/>
  <c r="A446" i="13" s="1"/>
  <c r="B447" i="13"/>
  <c r="C447" i="13"/>
  <c r="A447" i="13" s="1"/>
  <c r="B448" i="13"/>
  <c r="C448" i="13"/>
  <c r="A448" i="13" s="1"/>
  <c r="B449" i="13"/>
  <c r="C449" i="13"/>
  <c r="A449" i="13" s="1"/>
  <c r="B450" i="13"/>
  <c r="C450" i="13"/>
  <c r="A450" i="13" s="1"/>
  <c r="B451" i="13"/>
  <c r="C451" i="13"/>
  <c r="A451" i="13" s="1"/>
  <c r="B452" i="13"/>
  <c r="C452" i="13"/>
  <c r="A452" i="13" s="1"/>
  <c r="B453" i="13"/>
  <c r="C453" i="13"/>
  <c r="A453" i="13" s="1"/>
  <c r="B454" i="13"/>
  <c r="C454" i="13"/>
  <c r="A454" i="13" s="1"/>
  <c r="B455" i="13"/>
  <c r="C455" i="13"/>
  <c r="A455" i="13" s="1"/>
  <c r="B456" i="13"/>
  <c r="C456" i="13"/>
  <c r="A456" i="13" s="1"/>
  <c r="B457" i="13"/>
  <c r="C457" i="13"/>
  <c r="A457" i="13" s="1"/>
  <c r="B458" i="13"/>
  <c r="C458" i="13"/>
  <c r="A458" i="13" s="1"/>
  <c r="B459" i="13"/>
  <c r="C459" i="13"/>
  <c r="A459" i="13" s="1"/>
  <c r="B460" i="13"/>
  <c r="C460" i="13"/>
  <c r="A460" i="13" s="1"/>
  <c r="B461" i="13"/>
  <c r="C461" i="13"/>
  <c r="A461" i="13" s="1"/>
  <c r="B462" i="13"/>
  <c r="C462" i="13"/>
  <c r="A462" i="13" s="1"/>
  <c r="B463" i="13"/>
  <c r="C463" i="13"/>
  <c r="A463" i="13" s="1"/>
  <c r="B464" i="13"/>
  <c r="C464" i="13"/>
  <c r="A464" i="13" s="1"/>
  <c r="B465" i="13"/>
  <c r="C465" i="13"/>
  <c r="A465" i="13" s="1"/>
  <c r="B466" i="13"/>
  <c r="C466" i="13"/>
  <c r="A466" i="13" s="1"/>
  <c r="B467" i="13"/>
  <c r="C467" i="13"/>
  <c r="A467" i="13" s="1"/>
  <c r="B468" i="13"/>
  <c r="C468" i="13"/>
  <c r="A468" i="13" s="1"/>
  <c r="B469" i="13"/>
  <c r="C469" i="13"/>
  <c r="A469" i="13" s="1"/>
  <c r="B470" i="13"/>
  <c r="C470" i="13"/>
  <c r="A470" i="13" s="1"/>
  <c r="B471" i="13"/>
  <c r="C471" i="13"/>
  <c r="A471" i="13" s="1"/>
  <c r="B472" i="13"/>
  <c r="C472" i="13"/>
  <c r="A472" i="13" s="1"/>
  <c r="B473" i="13"/>
  <c r="C473" i="13"/>
  <c r="A473" i="13"/>
  <c r="B474" i="13"/>
  <c r="C474" i="13"/>
  <c r="A474" i="13" s="1"/>
  <c r="B475" i="13"/>
  <c r="C475" i="13"/>
  <c r="A475" i="13" s="1"/>
  <c r="B476" i="13"/>
  <c r="C476" i="13"/>
  <c r="A476" i="13" s="1"/>
  <c r="B477" i="13"/>
  <c r="C477" i="13"/>
  <c r="A477" i="13" s="1"/>
  <c r="B478" i="13"/>
  <c r="C478" i="13"/>
  <c r="A478" i="13" s="1"/>
  <c r="B479" i="13"/>
  <c r="C479" i="13"/>
  <c r="A479" i="13" s="1"/>
  <c r="B480" i="13"/>
  <c r="C480" i="13"/>
  <c r="A480" i="13" s="1"/>
  <c r="B481" i="13"/>
  <c r="C481" i="13"/>
  <c r="A481" i="13" s="1"/>
  <c r="B482" i="13"/>
  <c r="C482" i="13"/>
  <c r="A482" i="13" s="1"/>
  <c r="B483" i="13"/>
  <c r="C483" i="13"/>
  <c r="A483" i="13" s="1"/>
  <c r="B484" i="13"/>
  <c r="C484" i="13"/>
  <c r="A484" i="13" s="1"/>
  <c r="B485" i="13"/>
  <c r="C485" i="13"/>
  <c r="A485" i="13" s="1"/>
  <c r="B486" i="13"/>
  <c r="C486" i="13"/>
  <c r="A486" i="13" s="1"/>
  <c r="B487" i="13"/>
  <c r="C487" i="13"/>
  <c r="A487" i="13" s="1"/>
  <c r="B488" i="13"/>
  <c r="C488" i="13"/>
  <c r="A488" i="13" s="1"/>
  <c r="B489" i="13"/>
  <c r="C489" i="13"/>
  <c r="A489" i="13" s="1"/>
  <c r="B490" i="13"/>
  <c r="C490" i="13"/>
  <c r="A490" i="13" s="1"/>
  <c r="B491" i="13"/>
  <c r="C491" i="13"/>
  <c r="A491" i="13" s="1"/>
  <c r="B492" i="13"/>
  <c r="C492" i="13"/>
  <c r="A492" i="13" s="1"/>
  <c r="B493" i="13"/>
  <c r="C493" i="13"/>
  <c r="A493" i="13" s="1"/>
  <c r="B494" i="13"/>
  <c r="C494" i="13"/>
  <c r="A494" i="13" s="1"/>
  <c r="B495" i="13"/>
  <c r="C495" i="13"/>
  <c r="A495" i="13" s="1"/>
  <c r="B496" i="13"/>
  <c r="C496" i="13"/>
  <c r="A496" i="13" s="1"/>
  <c r="B497" i="13"/>
  <c r="C497" i="13"/>
  <c r="A497" i="13" s="1"/>
  <c r="B498" i="13"/>
  <c r="C498" i="13"/>
  <c r="A498" i="13" s="1"/>
  <c r="B499" i="13"/>
  <c r="C499" i="13"/>
  <c r="A499" i="13" s="1"/>
  <c r="B500" i="13"/>
  <c r="C500" i="13"/>
  <c r="A500" i="13" s="1"/>
  <c r="B501" i="13"/>
  <c r="C501" i="13"/>
  <c r="A501" i="13" s="1"/>
  <c r="B502" i="13"/>
  <c r="C502" i="13"/>
  <c r="A502" i="13" s="1"/>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I3" i="17"/>
  <c r="F9" i="17" l="1"/>
  <c r="A10" i="17"/>
  <c r="B10" i="17" s="1"/>
  <c r="H9" i="17"/>
  <c r="I9" i="17" s="1"/>
  <c r="E12" i="17"/>
  <c r="I4" i="1"/>
  <c r="I7" i="15"/>
  <c r="L7" i="15" s="1"/>
  <c r="J7" i="15"/>
  <c r="I4" i="17"/>
  <c r="I5" i="17"/>
  <c r="F10" i="17" l="1"/>
  <c r="H10" i="17"/>
  <c r="I10" i="17" s="1"/>
  <c r="A11" i="17"/>
  <c r="B11" i="17" s="1"/>
  <c r="E13" i="17"/>
  <c r="Y12" i="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U12" i="1"/>
  <c r="Q12" i="1"/>
  <c r="U13" i="1"/>
  <c r="U14" i="1"/>
  <c r="Q14" i="1"/>
  <c r="Q13" i="1"/>
  <c r="X997" i="1"/>
  <c r="M5" i="1" s="1"/>
  <c r="Q7" i="1"/>
  <c r="X996" i="1"/>
  <c r="M4" i="1" s="1"/>
  <c r="X995" i="1"/>
  <c r="M6" i="1" s="1"/>
  <c r="V995" i="1"/>
  <c r="F7" i="15"/>
  <c r="K7" i="15" s="1"/>
  <c r="I6" i="17"/>
  <c r="F11" i="17" l="1"/>
  <c r="H11" i="17"/>
  <c r="I11" i="17" s="1"/>
  <c r="A12" i="17"/>
  <c r="B12" i="17" s="1"/>
  <c r="E14" i="17"/>
  <c r="Q8" i="1"/>
  <c r="W995" i="1"/>
  <c r="P5" i="1" s="1"/>
  <c r="I7" i="17"/>
  <c r="F12" i="17" l="1"/>
  <c r="H12" i="17"/>
  <c r="I12" i="17" s="1"/>
  <c r="A13" i="17"/>
  <c r="B13" i="17" s="1"/>
  <c r="E15" i="17"/>
  <c r="P6" i="1"/>
  <c r="I8" i="17"/>
  <c r="F13" i="17" l="1"/>
  <c r="A14" i="17"/>
  <c r="B14" i="17" s="1"/>
  <c r="H13" i="17"/>
  <c r="I13" i="17" s="1"/>
  <c r="E17" i="17"/>
  <c r="E16" i="17"/>
  <c r="F14" i="17" l="1"/>
  <c r="A15" i="17"/>
  <c r="B15" i="17" s="1"/>
  <c r="H14" i="17"/>
  <c r="I14" i="17" s="1"/>
  <c r="F15" i="17" l="1"/>
  <c r="A16" i="17"/>
  <c r="B16" i="17" s="1"/>
  <c r="H15" i="17"/>
  <c r="I15" i="17" s="1"/>
  <c r="E127" i="17"/>
  <c r="F16" i="17" l="1"/>
  <c r="H16" i="17"/>
  <c r="I16" i="17" s="1"/>
  <c r="A17" i="17"/>
  <c r="B17" i="17" s="1"/>
  <c r="E128" i="17"/>
  <c r="F17" i="17" l="1"/>
  <c r="H17" i="17"/>
  <c r="I17" i="17" s="1"/>
  <c r="A18" i="17"/>
  <c r="B18" i="17" s="1"/>
  <c r="E129" i="17"/>
  <c r="A19" i="17" l="1"/>
  <c r="B19" i="17" s="1"/>
  <c r="E130" i="17"/>
  <c r="H18" i="17"/>
  <c r="A20" i="17" l="1"/>
  <c r="B20" i="17" s="1"/>
  <c r="E131" i="17"/>
  <c r="H19" i="17"/>
  <c r="A21" i="17" l="1"/>
  <c r="B21" i="17" s="1"/>
  <c r="E132" i="17"/>
  <c r="H20" i="17"/>
  <c r="A22" i="17" l="1"/>
  <c r="B22" i="17" s="1"/>
  <c r="E133" i="17"/>
  <c r="H21" i="17"/>
  <c r="E18" i="17"/>
  <c r="F18" i="17" s="1"/>
  <c r="A23" i="17" l="1"/>
  <c r="B23" i="17" s="1"/>
  <c r="E134" i="17"/>
  <c r="H22" i="17"/>
  <c r="E19" i="17"/>
  <c r="F19" i="17" s="1"/>
  <c r="I18" i="17"/>
  <c r="A24" i="17" l="1"/>
  <c r="B24" i="17" s="1"/>
  <c r="E135" i="17"/>
  <c r="H23" i="17"/>
  <c r="E20" i="17"/>
  <c r="F20" i="17" s="1"/>
  <c r="I19" i="17"/>
  <c r="A25" i="17" l="1"/>
  <c r="B25" i="17" s="1"/>
  <c r="E136" i="17"/>
  <c r="H24" i="17"/>
  <c r="E21" i="17"/>
  <c r="F21" i="17" s="1"/>
  <c r="I20" i="17"/>
  <c r="A26" i="17" l="1"/>
  <c r="B26" i="17" s="1"/>
  <c r="E137" i="17"/>
  <c r="H25" i="17"/>
  <c r="E22" i="17"/>
  <c r="F22" i="17" s="1"/>
  <c r="I21" i="17"/>
  <c r="A27" i="17" l="1"/>
  <c r="B27" i="17" s="1"/>
  <c r="E138" i="17"/>
  <c r="H26" i="17"/>
  <c r="E23" i="17"/>
  <c r="F23" i="17" s="1"/>
  <c r="I22" i="17"/>
  <c r="A28" i="17" l="1"/>
  <c r="B28" i="17" s="1"/>
  <c r="E139" i="17"/>
  <c r="H27" i="17"/>
  <c r="E24" i="17"/>
  <c r="F24" i="17" s="1"/>
  <c r="I23" i="17"/>
  <c r="A29" i="17" l="1"/>
  <c r="B29" i="17" s="1"/>
  <c r="E140" i="17"/>
  <c r="H28" i="17"/>
  <c r="E25" i="17"/>
  <c r="F25" i="17" s="1"/>
  <c r="I24" i="17"/>
  <c r="A30" i="17" l="1"/>
  <c r="B30" i="17" s="1"/>
  <c r="E141" i="17"/>
  <c r="H29" i="17"/>
  <c r="E26" i="17"/>
  <c r="F26" i="17" s="1"/>
  <c r="I25" i="17"/>
  <c r="A31" i="17" l="1"/>
  <c r="B31" i="17" s="1"/>
  <c r="E142" i="17"/>
  <c r="H30" i="17"/>
  <c r="E27" i="17"/>
  <c r="F27" i="17" s="1"/>
  <c r="I26" i="17"/>
  <c r="A32" i="17" l="1"/>
  <c r="B32" i="17" s="1"/>
  <c r="E143" i="17"/>
  <c r="H31" i="17"/>
  <c r="E28" i="17"/>
  <c r="F28" i="17" s="1"/>
  <c r="I27" i="17"/>
  <c r="A33" i="17" l="1"/>
  <c r="B33" i="17" s="1"/>
  <c r="E144" i="17"/>
  <c r="H32" i="17"/>
  <c r="E29" i="17"/>
  <c r="F29" i="17" s="1"/>
  <c r="I28" i="17"/>
  <c r="A34" i="17" l="1"/>
  <c r="B34" i="17" s="1"/>
  <c r="E145" i="17"/>
  <c r="H33" i="17"/>
  <c r="E30" i="17"/>
  <c r="F30" i="17" s="1"/>
  <c r="I29" i="17"/>
  <c r="A35" i="17" l="1"/>
  <c r="B35" i="17" s="1"/>
  <c r="E146" i="17"/>
  <c r="H34" i="17"/>
  <c r="E31" i="17"/>
  <c r="F31" i="17" s="1"/>
  <c r="I30" i="17"/>
  <c r="A36" i="17" l="1"/>
  <c r="B36" i="17" s="1"/>
  <c r="E147" i="17"/>
  <c r="H35" i="17"/>
  <c r="E32" i="17"/>
  <c r="F32" i="17" s="1"/>
  <c r="I31" i="17"/>
  <c r="A37" i="17" l="1"/>
  <c r="B37" i="17" s="1"/>
  <c r="E148" i="17"/>
  <c r="H36" i="17"/>
  <c r="E33" i="17"/>
  <c r="F33" i="17" s="1"/>
  <c r="I32" i="17"/>
  <c r="A38" i="17" l="1"/>
  <c r="B38" i="17" s="1"/>
  <c r="E149" i="17"/>
  <c r="H37" i="17"/>
  <c r="E34" i="17"/>
  <c r="F34" i="17" s="1"/>
  <c r="I33" i="17"/>
  <c r="A39" i="17" l="1"/>
  <c r="B39" i="17" s="1"/>
  <c r="E150" i="17"/>
  <c r="H38" i="17"/>
  <c r="E35" i="17"/>
  <c r="F35" i="17" s="1"/>
  <c r="I34" i="17"/>
  <c r="A40" i="17" l="1"/>
  <c r="B40" i="17" s="1"/>
  <c r="E151" i="17"/>
  <c r="H39" i="17"/>
  <c r="E36" i="17"/>
  <c r="F36" i="17" s="1"/>
  <c r="I35" i="17"/>
  <c r="A41" i="17" l="1"/>
  <c r="B41" i="17" s="1"/>
  <c r="E152" i="17"/>
  <c r="H40" i="17"/>
  <c r="E37" i="17"/>
  <c r="F37" i="17" s="1"/>
  <c r="I36" i="17"/>
  <c r="A42" i="17" l="1"/>
  <c r="B42" i="17" s="1"/>
  <c r="E153" i="17"/>
  <c r="H41" i="17"/>
  <c r="E38" i="17"/>
  <c r="F38" i="17" s="1"/>
  <c r="I37" i="17"/>
  <c r="A43" i="17" l="1"/>
  <c r="B43" i="17" s="1"/>
  <c r="H42" i="17"/>
  <c r="E39" i="17"/>
  <c r="F39" i="17" s="1"/>
  <c r="I38" i="17"/>
  <c r="A44" i="17" l="1"/>
  <c r="B44" i="17" s="1"/>
  <c r="E154" i="17"/>
  <c r="H43" i="17"/>
  <c r="E40" i="17"/>
  <c r="F40" i="17" s="1"/>
  <c r="I39" i="17"/>
  <c r="A45" i="17" l="1"/>
  <c r="B45" i="17" s="1"/>
  <c r="H44" i="17"/>
  <c r="E41" i="17"/>
  <c r="F41" i="17" s="1"/>
  <c r="I40" i="17"/>
  <c r="A46" i="17" l="1"/>
  <c r="B46" i="17" s="1"/>
  <c r="H45" i="17"/>
  <c r="E42" i="17"/>
  <c r="F42" i="17" s="1"/>
  <c r="I41" i="17"/>
  <c r="A47" i="17" l="1"/>
  <c r="B47" i="17" s="1"/>
  <c r="H46" i="17"/>
  <c r="E43" i="17"/>
  <c r="F43" i="17" s="1"/>
  <c r="I42" i="17"/>
  <c r="A48" i="17" l="1"/>
  <c r="B48" i="17" s="1"/>
  <c r="H47" i="17"/>
  <c r="E44" i="17"/>
  <c r="F44" i="17" s="1"/>
  <c r="I43" i="17"/>
  <c r="A49" i="17" l="1"/>
  <c r="B49" i="17" s="1"/>
  <c r="H48" i="17"/>
  <c r="E45" i="17"/>
  <c r="F45" i="17" s="1"/>
  <c r="I44" i="17"/>
  <c r="A50" i="17" l="1"/>
  <c r="B50" i="17" s="1"/>
  <c r="H49" i="17"/>
  <c r="E46" i="17"/>
  <c r="F46" i="17" s="1"/>
  <c r="I45" i="17"/>
  <c r="A51" i="17" l="1"/>
  <c r="B51" i="17" s="1"/>
  <c r="H50" i="17"/>
  <c r="E47" i="17"/>
  <c r="F47" i="17" s="1"/>
  <c r="I46" i="17"/>
  <c r="A52" i="17" l="1"/>
  <c r="B52" i="17" s="1"/>
  <c r="H51" i="17"/>
  <c r="E48" i="17"/>
  <c r="F48" i="17" s="1"/>
  <c r="I47" i="17"/>
  <c r="A53" i="17" l="1"/>
  <c r="B53" i="17" s="1"/>
  <c r="H52" i="17"/>
  <c r="E49" i="17"/>
  <c r="F49" i="17" s="1"/>
  <c r="I48" i="17"/>
  <c r="A54" i="17" l="1"/>
  <c r="B54" i="17" s="1"/>
  <c r="H53" i="17"/>
  <c r="E50" i="17"/>
  <c r="F50" i="17" s="1"/>
  <c r="I49" i="17"/>
  <c r="A55" i="17" l="1"/>
  <c r="B55" i="17" s="1"/>
  <c r="H54" i="17"/>
  <c r="E51" i="17"/>
  <c r="F51" i="17" s="1"/>
  <c r="I50" i="17"/>
  <c r="A56" i="17" l="1"/>
  <c r="B56" i="17" s="1"/>
  <c r="H55" i="17"/>
  <c r="E52" i="17"/>
  <c r="F52" i="17" s="1"/>
  <c r="I51" i="17"/>
  <c r="A57" i="17" l="1"/>
  <c r="B57" i="17" s="1"/>
  <c r="H56" i="17"/>
  <c r="E53" i="17"/>
  <c r="F53" i="17" s="1"/>
  <c r="I52" i="17"/>
  <c r="A58" i="17" l="1"/>
  <c r="B58" i="17" s="1"/>
  <c r="H57" i="17"/>
  <c r="E54" i="17"/>
  <c r="F54" i="17" s="1"/>
  <c r="I53" i="17"/>
  <c r="A59" i="17" l="1"/>
  <c r="B59" i="17" s="1"/>
  <c r="H58" i="17"/>
  <c r="E55" i="17"/>
  <c r="F55" i="17" s="1"/>
  <c r="I54" i="17"/>
  <c r="A60" i="17" l="1"/>
  <c r="B60" i="17" s="1"/>
  <c r="H59" i="17"/>
  <c r="E56" i="17"/>
  <c r="F56" i="17" s="1"/>
  <c r="I55" i="17"/>
  <c r="A61" i="17" l="1"/>
  <c r="B61" i="17" s="1"/>
  <c r="H60" i="17"/>
  <c r="E57" i="17"/>
  <c r="F57" i="17" s="1"/>
  <c r="I56" i="17"/>
  <c r="A62" i="17" l="1"/>
  <c r="B62" i="17" s="1"/>
  <c r="H61" i="17"/>
  <c r="E58" i="17"/>
  <c r="F58" i="17" s="1"/>
  <c r="I57" i="17"/>
  <c r="A63" i="17" l="1"/>
  <c r="B63" i="17" s="1"/>
  <c r="H62" i="17"/>
  <c r="E59" i="17"/>
  <c r="F59" i="17" s="1"/>
  <c r="I58" i="17"/>
  <c r="A64" i="17" l="1"/>
  <c r="B64" i="17" s="1"/>
  <c r="H63" i="17"/>
  <c r="E60" i="17"/>
  <c r="F60" i="17" s="1"/>
  <c r="I59" i="17"/>
  <c r="A65" i="17" l="1"/>
  <c r="B65" i="17" s="1"/>
  <c r="H64" i="17"/>
  <c r="E61" i="17"/>
  <c r="F61" i="17" s="1"/>
  <c r="I60" i="17"/>
  <c r="A66" i="17" l="1"/>
  <c r="B66" i="17" s="1"/>
  <c r="H65" i="17"/>
  <c r="E62" i="17"/>
  <c r="F62" i="17" s="1"/>
  <c r="I61" i="17"/>
  <c r="A67" i="17" l="1"/>
  <c r="B67" i="17" s="1"/>
  <c r="H66" i="17"/>
  <c r="E63" i="17"/>
  <c r="F63" i="17" s="1"/>
  <c r="I62" i="17"/>
  <c r="A68" i="17" l="1"/>
  <c r="B68" i="17" s="1"/>
  <c r="H67" i="17"/>
  <c r="E64" i="17"/>
  <c r="F64" i="17" s="1"/>
  <c r="I63" i="17"/>
  <c r="A69" i="17" l="1"/>
  <c r="B69" i="17" s="1"/>
  <c r="H68" i="17"/>
  <c r="E65" i="17"/>
  <c r="F65" i="17" s="1"/>
  <c r="I64" i="17"/>
  <c r="A70" i="17" l="1"/>
  <c r="B70" i="17" s="1"/>
  <c r="H69" i="17"/>
  <c r="E66" i="17"/>
  <c r="F66" i="17" s="1"/>
  <c r="I65" i="17"/>
  <c r="A71" i="17" l="1"/>
  <c r="B71" i="17" s="1"/>
  <c r="H70" i="17"/>
  <c r="E67" i="17"/>
  <c r="F67" i="17" s="1"/>
  <c r="I66" i="17"/>
  <c r="A72" i="17" l="1"/>
  <c r="B72" i="17" s="1"/>
  <c r="H71" i="17"/>
  <c r="E68" i="17"/>
  <c r="F68" i="17" s="1"/>
  <c r="I67" i="17"/>
  <c r="A73" i="17" l="1"/>
  <c r="B73" i="17" s="1"/>
  <c r="H72" i="17"/>
  <c r="E69" i="17"/>
  <c r="F69" i="17" s="1"/>
  <c r="I68" i="17"/>
  <c r="A74" i="17" l="1"/>
  <c r="B74" i="17" s="1"/>
  <c r="H73" i="17"/>
  <c r="E70" i="17"/>
  <c r="F70" i="17" s="1"/>
  <c r="I69" i="17"/>
  <c r="A75" i="17" l="1"/>
  <c r="B75" i="17" s="1"/>
  <c r="H74" i="17"/>
  <c r="E71" i="17"/>
  <c r="F71" i="17" s="1"/>
  <c r="I70" i="17"/>
  <c r="A76" i="17" l="1"/>
  <c r="B76" i="17" s="1"/>
  <c r="H75" i="17"/>
  <c r="E72" i="17"/>
  <c r="F72" i="17" s="1"/>
  <c r="I71" i="17"/>
  <c r="A77" i="17" l="1"/>
  <c r="B77" i="17" s="1"/>
  <c r="H76" i="17"/>
  <c r="E73" i="17"/>
  <c r="F73" i="17" s="1"/>
  <c r="I72" i="17"/>
  <c r="A78" i="17" l="1"/>
  <c r="B78" i="17" s="1"/>
  <c r="H77" i="17"/>
  <c r="E74" i="17"/>
  <c r="F74" i="17" s="1"/>
  <c r="I73" i="17"/>
  <c r="A79" i="17" l="1"/>
  <c r="B79" i="17" s="1"/>
  <c r="H78" i="17"/>
  <c r="E75" i="17"/>
  <c r="F75" i="17" s="1"/>
  <c r="I74" i="17"/>
  <c r="A80" i="17" l="1"/>
  <c r="B80" i="17" s="1"/>
  <c r="H79" i="17"/>
  <c r="E76" i="17"/>
  <c r="F76" i="17" s="1"/>
  <c r="I75" i="17"/>
  <c r="A81" i="17" l="1"/>
  <c r="B81" i="17" s="1"/>
  <c r="H80" i="17"/>
  <c r="E77" i="17"/>
  <c r="F77" i="17" s="1"/>
  <c r="I76" i="17"/>
  <c r="A82" i="17" l="1"/>
  <c r="B82" i="17" s="1"/>
  <c r="H81" i="17"/>
  <c r="E78" i="17"/>
  <c r="F78" i="17" s="1"/>
  <c r="I77" i="17"/>
  <c r="A83" i="17" l="1"/>
  <c r="B83" i="17" s="1"/>
  <c r="H82" i="17"/>
  <c r="E79" i="17"/>
  <c r="F79" i="17" s="1"/>
  <c r="I78" i="17"/>
  <c r="A84" i="17" l="1"/>
  <c r="B84" i="17" s="1"/>
  <c r="H83" i="17"/>
  <c r="E80" i="17"/>
  <c r="F80" i="17" s="1"/>
  <c r="I79" i="17"/>
  <c r="A85" i="17" l="1"/>
  <c r="B85" i="17" s="1"/>
  <c r="H84" i="17"/>
  <c r="E81" i="17"/>
  <c r="F81" i="17" s="1"/>
  <c r="I80" i="17"/>
  <c r="A86" i="17" l="1"/>
  <c r="B86" i="17" s="1"/>
  <c r="H85" i="17"/>
  <c r="E82" i="17"/>
  <c r="F82" i="17" s="1"/>
  <c r="I81" i="17"/>
  <c r="A87" i="17" l="1"/>
  <c r="B87" i="17" s="1"/>
  <c r="H86" i="17"/>
  <c r="E83" i="17"/>
  <c r="F83" i="17" s="1"/>
  <c r="I82" i="17"/>
  <c r="A88" i="17" l="1"/>
  <c r="B88" i="17" s="1"/>
  <c r="H87" i="17"/>
  <c r="E84" i="17"/>
  <c r="F84" i="17" s="1"/>
  <c r="I83" i="17"/>
  <c r="A89" i="17" l="1"/>
  <c r="B89" i="17" s="1"/>
  <c r="H88" i="17"/>
  <c r="E85" i="17"/>
  <c r="F85" i="17" s="1"/>
  <c r="I84" i="17"/>
  <c r="A90" i="17" l="1"/>
  <c r="B90" i="17" s="1"/>
  <c r="H89" i="17"/>
  <c r="E86" i="17"/>
  <c r="F86" i="17" s="1"/>
  <c r="I85" i="17"/>
  <c r="A91" i="17" l="1"/>
  <c r="B91" i="17" s="1"/>
  <c r="H90" i="17"/>
  <c r="E87" i="17"/>
  <c r="F87" i="17" s="1"/>
  <c r="I86" i="17"/>
  <c r="A92" i="17" l="1"/>
  <c r="B92" i="17" s="1"/>
  <c r="H91" i="17"/>
  <c r="E88" i="17"/>
  <c r="F88" i="17" s="1"/>
  <c r="I87" i="17"/>
  <c r="A93" i="17" l="1"/>
  <c r="B93" i="17" s="1"/>
  <c r="H92" i="17"/>
  <c r="E89" i="17"/>
  <c r="F89" i="17" s="1"/>
  <c r="I88" i="17"/>
  <c r="A94" i="17" l="1"/>
  <c r="B94" i="17" s="1"/>
  <c r="H93" i="17"/>
  <c r="E90" i="17"/>
  <c r="F90" i="17" s="1"/>
  <c r="I89" i="17"/>
  <c r="A95" i="17" l="1"/>
  <c r="B95" i="17" s="1"/>
  <c r="H94" i="17"/>
  <c r="E91" i="17"/>
  <c r="F91" i="17" s="1"/>
  <c r="I90" i="17"/>
  <c r="A96" i="17" l="1"/>
  <c r="B96" i="17" s="1"/>
  <c r="H95" i="17"/>
  <c r="E92" i="17"/>
  <c r="F92" i="17" s="1"/>
  <c r="I91" i="17"/>
  <c r="A97" i="17" l="1"/>
  <c r="B97" i="17" s="1"/>
  <c r="H96" i="17"/>
  <c r="E93" i="17"/>
  <c r="F93" i="17" s="1"/>
  <c r="I92" i="17"/>
  <c r="A98" i="17" l="1"/>
  <c r="B98" i="17" s="1"/>
  <c r="H97" i="17"/>
  <c r="E94" i="17"/>
  <c r="F94" i="17" s="1"/>
  <c r="I93" i="17"/>
  <c r="A99" i="17" l="1"/>
  <c r="B99" i="17" s="1"/>
  <c r="H98" i="17"/>
  <c r="E95" i="17"/>
  <c r="F95" i="17" s="1"/>
  <c r="I94" i="17"/>
  <c r="A100" i="17" l="1"/>
  <c r="B100" i="17" s="1"/>
  <c r="H99" i="17"/>
  <c r="E96" i="17"/>
  <c r="F96" i="17" s="1"/>
  <c r="I95" i="17"/>
  <c r="A101" i="17" l="1"/>
  <c r="B101" i="17" s="1"/>
  <c r="H100" i="17"/>
  <c r="E97" i="17"/>
  <c r="F97" i="17" s="1"/>
  <c r="I96" i="17"/>
  <c r="A102" i="17" l="1"/>
  <c r="B102" i="17" s="1"/>
  <c r="H101" i="17"/>
  <c r="E98" i="17"/>
  <c r="F98" i="17" s="1"/>
  <c r="I97" i="17"/>
  <c r="A103" i="17" l="1"/>
  <c r="B103" i="17" s="1"/>
  <c r="H102" i="17"/>
  <c r="E99" i="17"/>
  <c r="F99" i="17" s="1"/>
  <c r="I98" i="17"/>
  <c r="A104" i="17" l="1"/>
  <c r="B104" i="17" s="1"/>
  <c r="H103" i="17"/>
  <c r="E100" i="17"/>
  <c r="F100" i="17" s="1"/>
  <c r="I99" i="17"/>
  <c r="A105" i="17" l="1"/>
  <c r="B105" i="17" s="1"/>
  <c r="H104" i="17"/>
  <c r="E101" i="17"/>
  <c r="F101" i="17" s="1"/>
  <c r="I100" i="17"/>
  <c r="A106" i="17" l="1"/>
  <c r="B106" i="17" s="1"/>
  <c r="H105" i="17"/>
  <c r="E102" i="17"/>
  <c r="F102" i="17" s="1"/>
  <c r="I101" i="17"/>
  <c r="A107" i="17" l="1"/>
  <c r="B107" i="17" s="1"/>
  <c r="H106" i="17"/>
  <c r="E103" i="17"/>
  <c r="F103" i="17" s="1"/>
  <c r="I102" i="17"/>
  <c r="A108" i="17" l="1"/>
  <c r="B108" i="17" s="1"/>
  <c r="H107" i="17"/>
  <c r="E104" i="17"/>
  <c r="F104" i="17" s="1"/>
  <c r="I103" i="17"/>
  <c r="A109" i="17" l="1"/>
  <c r="B109" i="17" s="1"/>
  <c r="H108" i="17"/>
  <c r="E105" i="17"/>
  <c r="F105" i="17" s="1"/>
  <c r="I104" i="17"/>
  <c r="A110" i="17" l="1"/>
  <c r="B110" i="17" s="1"/>
  <c r="H109" i="17"/>
  <c r="E106" i="17"/>
  <c r="F106" i="17" s="1"/>
  <c r="I105" i="17"/>
  <c r="A111" i="17" l="1"/>
  <c r="B111" i="17" s="1"/>
  <c r="H110" i="17"/>
  <c r="E107" i="17"/>
  <c r="F107" i="17" s="1"/>
  <c r="I106" i="17"/>
  <c r="A112" i="17" l="1"/>
  <c r="B112" i="17" s="1"/>
  <c r="H111" i="17"/>
  <c r="E108" i="17"/>
  <c r="F108" i="17" s="1"/>
  <c r="I107" i="17"/>
  <c r="A113" i="17" l="1"/>
  <c r="B113" i="17" s="1"/>
  <c r="H112" i="17"/>
  <c r="E109" i="17"/>
  <c r="F109" i="17" s="1"/>
  <c r="I108" i="17"/>
  <c r="A114" i="17" l="1"/>
  <c r="B114" i="17" s="1"/>
  <c r="H113" i="17"/>
  <c r="E110" i="17"/>
  <c r="F110" i="17" s="1"/>
  <c r="I109" i="17"/>
  <c r="A115" i="17" l="1"/>
  <c r="B115" i="17" s="1"/>
  <c r="H114" i="17"/>
  <c r="E111" i="17"/>
  <c r="F111" i="17" s="1"/>
  <c r="I110" i="17"/>
  <c r="A116" i="17" l="1"/>
  <c r="B116" i="17" s="1"/>
  <c r="H115" i="17"/>
  <c r="E112" i="17"/>
  <c r="F112" i="17" s="1"/>
  <c r="I111" i="17"/>
  <c r="A117" i="17" l="1"/>
  <c r="B117" i="17" s="1"/>
  <c r="H116" i="17"/>
  <c r="E113" i="17"/>
  <c r="F113" i="17" s="1"/>
  <c r="I112" i="17"/>
  <c r="A118" i="17" l="1"/>
  <c r="B118" i="17" s="1"/>
  <c r="H117" i="17"/>
  <c r="E114" i="17"/>
  <c r="F114" i="17" s="1"/>
  <c r="I113" i="17"/>
  <c r="A119" i="17" l="1"/>
  <c r="B119" i="17" s="1"/>
  <c r="H118" i="17"/>
  <c r="E115" i="17"/>
  <c r="F115" i="17" s="1"/>
  <c r="I114" i="17"/>
  <c r="A120" i="17" l="1"/>
  <c r="B120" i="17" s="1"/>
  <c r="H119" i="17"/>
  <c r="E116" i="17"/>
  <c r="F116" i="17" s="1"/>
  <c r="I115" i="17"/>
  <c r="A121" i="17" l="1"/>
  <c r="B121" i="17" s="1"/>
  <c r="H120" i="17"/>
  <c r="E117" i="17"/>
  <c r="F117" i="17" s="1"/>
  <c r="I116" i="17"/>
  <c r="A122" i="17" l="1"/>
  <c r="B122" i="17" s="1"/>
  <c r="H121" i="17"/>
  <c r="E118" i="17"/>
  <c r="F118" i="17" s="1"/>
  <c r="I117" i="17"/>
  <c r="A123" i="17" l="1"/>
  <c r="B123" i="17" s="1"/>
  <c r="H122" i="17"/>
  <c r="E119" i="17"/>
  <c r="F119" i="17" s="1"/>
  <c r="I118" i="17"/>
  <c r="A124" i="17" l="1"/>
  <c r="B124" i="17" s="1"/>
  <c r="H123" i="17"/>
  <c r="E120" i="17"/>
  <c r="F120" i="17" s="1"/>
  <c r="I119" i="17"/>
  <c r="A125" i="17" l="1"/>
  <c r="B125" i="17" s="1"/>
  <c r="H124" i="17"/>
  <c r="E121" i="17"/>
  <c r="F121" i="17" s="1"/>
  <c r="I120" i="17"/>
  <c r="A126" i="17" l="1"/>
  <c r="B126" i="17" s="1"/>
  <c r="H125" i="17"/>
  <c r="E122" i="17"/>
  <c r="F122" i="17" s="1"/>
  <c r="I121" i="17"/>
  <c r="A127" i="17" l="1"/>
  <c r="B127" i="17" s="1"/>
  <c r="H126" i="17"/>
  <c r="E123" i="17"/>
  <c r="F123" i="17" s="1"/>
  <c r="I122" i="17"/>
  <c r="F127" i="17" l="1"/>
  <c r="H127" i="17"/>
  <c r="I127" i="17" s="1"/>
  <c r="A128" i="17"/>
  <c r="B128" i="17" s="1"/>
  <c r="E124" i="17"/>
  <c r="F124" i="17" s="1"/>
  <c r="I123" i="17"/>
  <c r="F128" i="17" l="1"/>
  <c r="A129" i="17"/>
  <c r="B129" i="17" s="1"/>
  <c r="H128" i="17"/>
  <c r="I128" i="17" s="1"/>
  <c r="E125" i="17"/>
  <c r="F125" i="17" s="1"/>
  <c r="I124" i="17"/>
  <c r="F129" i="17" l="1"/>
  <c r="H129" i="17"/>
  <c r="I129" i="17" s="1"/>
  <c r="A130" i="17"/>
  <c r="B130" i="17" s="1"/>
  <c r="E126" i="17"/>
  <c r="F126" i="17" s="1"/>
  <c r="I125" i="17"/>
  <c r="F130" i="17" l="1"/>
  <c r="H130" i="17"/>
  <c r="I130" i="17" s="1"/>
  <c r="A131" i="17"/>
  <c r="B131" i="17" s="1"/>
  <c r="I126" i="17"/>
  <c r="F131" i="17" l="1"/>
  <c r="A132" i="17"/>
  <c r="B132" i="17" s="1"/>
  <c r="H131" i="17"/>
  <c r="I131" i="17" s="1"/>
  <c r="T995" i="1"/>
  <c r="T996" i="1"/>
  <c r="I6" i="1" s="1"/>
  <c r="T997" i="1"/>
  <c r="I7" i="1" s="1"/>
  <c r="F132" i="17" l="1"/>
  <c r="A133" i="17"/>
  <c r="B133" i="17" s="1"/>
  <c r="H132" i="17"/>
  <c r="I132" i="17" s="1"/>
  <c r="I8" i="1"/>
  <c r="I5" i="1"/>
  <c r="E3" i="17"/>
  <c r="F3" i="17" s="1"/>
  <c r="E4" i="17"/>
  <c r="F4" i="17" s="1"/>
  <c r="E8" i="17"/>
  <c r="F8" i="17" s="1"/>
  <c r="E7" i="17"/>
  <c r="F7" i="17" s="1"/>
  <c r="E6" i="17"/>
  <c r="F6" i="17" s="1"/>
  <c r="E5" i="17"/>
  <c r="F5" i="17" s="1"/>
  <c r="E2" i="17"/>
  <c r="F2" i="17" s="1"/>
  <c r="F133" i="17" l="1"/>
  <c r="A134" i="17"/>
  <c r="B134" i="17" s="1"/>
  <c r="H133" i="17"/>
  <c r="I133" i="17" s="1"/>
  <c r="D6" i="1"/>
  <c r="P4" i="1"/>
  <c r="A302" i="1"/>
  <c r="A930" i="1"/>
  <c r="A588" i="1"/>
  <c r="A950" i="1"/>
  <c r="A832" i="1"/>
  <c r="A759" i="1"/>
  <c r="A808" i="1"/>
  <c r="A728" i="1"/>
  <c r="A594" i="1"/>
  <c r="A951" i="1"/>
  <c r="A289" i="1"/>
  <c r="A739" i="1"/>
  <c r="A547" i="1"/>
  <c r="A386" i="1"/>
  <c r="A755" i="1"/>
  <c r="A42" i="1"/>
  <c r="A233" i="1"/>
  <c r="A928" i="1"/>
  <c r="A201" i="1"/>
  <c r="A418" i="1"/>
  <c r="A456" i="1"/>
  <c r="A535" i="1"/>
  <c r="A745" i="1"/>
  <c r="A794" i="1"/>
  <c r="A491" i="1"/>
  <c r="A580" i="1"/>
  <c r="A172" i="1"/>
  <c r="A767" i="1"/>
  <c r="A285" i="1"/>
  <c r="A250" i="1"/>
  <c r="A304" i="1"/>
  <c r="A130" i="1"/>
  <c r="A888" i="1"/>
  <c r="A370" i="1"/>
  <c r="A202" i="1"/>
  <c r="A783" i="1"/>
  <c r="A718" i="1"/>
  <c r="A407" i="1"/>
  <c r="A393" i="1"/>
  <c r="A636" i="1"/>
  <c r="A834" i="1"/>
  <c r="A850" i="1"/>
  <c r="A840" i="1"/>
  <c r="A769" i="1"/>
  <c r="A806" i="1"/>
  <c r="A116" i="1"/>
  <c r="A682" i="1"/>
  <c r="A121" i="1"/>
  <c r="A110" i="1"/>
  <c r="A112" i="1"/>
  <c r="A446" i="1"/>
  <c r="A719" i="1"/>
  <c r="A574" i="1"/>
  <c r="A382" i="1"/>
  <c r="A186" i="1"/>
  <c r="A236" i="1"/>
  <c r="A858" i="1"/>
  <c r="A124" i="1"/>
  <c r="A194" i="1"/>
  <c r="A216" i="1"/>
  <c r="A361" i="1"/>
  <c r="A860" i="1"/>
  <c r="A908" i="1"/>
  <c r="A862" i="1"/>
  <c r="A722" i="1"/>
  <c r="A475" i="1"/>
  <c r="A154" i="1"/>
  <c r="A401" i="1"/>
  <c r="A34" i="1"/>
  <c r="A49" i="1"/>
  <c r="A585" i="1"/>
  <c r="A842" i="1"/>
  <c r="A557" i="1"/>
  <c r="A137" i="1"/>
  <c r="A661" i="1"/>
  <c r="A68" i="1"/>
  <c r="A906" i="1"/>
  <c r="A813" i="1"/>
  <c r="A655" i="1"/>
  <c r="A156" i="1"/>
  <c r="A451" i="1"/>
  <c r="A360" i="1"/>
  <c r="A917" i="1"/>
  <c r="A177" i="1"/>
  <c r="A428" i="1"/>
  <c r="A100" i="1"/>
  <c r="A495" i="1"/>
  <c r="A658" i="1"/>
  <c r="A942" i="1"/>
  <c r="A453" i="1"/>
  <c r="A494" i="1"/>
  <c r="A912" i="1"/>
  <c r="A957" i="1"/>
  <c r="A600" i="1"/>
  <c r="A800" i="1"/>
  <c r="A373" i="1"/>
  <c r="A368" i="1"/>
  <c r="A193" i="1"/>
  <c r="A416" i="1"/>
  <c r="A802" i="1"/>
  <c r="A787" i="1"/>
  <c r="A556" i="1"/>
  <c r="A98" i="1"/>
  <c r="A96" i="1"/>
  <c r="A587" i="1"/>
  <c r="A976" i="1"/>
  <c r="A293" i="1"/>
  <c r="A364" i="1"/>
  <c r="A381" i="1"/>
  <c r="A768" i="1"/>
  <c r="A238" i="1"/>
  <c r="A689" i="1"/>
  <c r="A374" i="1"/>
  <c r="A856" i="1"/>
  <c r="A678" i="1"/>
  <c r="A799" i="1"/>
  <c r="A602" i="1"/>
  <c r="A61" i="1"/>
  <c r="A581" i="1"/>
  <c r="A409" i="1"/>
  <c r="A152" i="1"/>
  <c r="A687" i="1"/>
  <c r="A218" i="1"/>
  <c r="A104" i="1"/>
  <c r="A609" i="1"/>
  <c r="A639" i="1"/>
  <c r="A839" i="1"/>
  <c r="A171" i="1"/>
  <c r="A700" i="1"/>
  <c r="A214" i="1"/>
  <c r="A509" i="1"/>
  <c r="A334" i="1"/>
  <c r="A974" i="1"/>
  <c r="A562" i="1"/>
  <c r="A485" i="1"/>
  <c r="A692" i="1"/>
  <c r="A965" i="1"/>
  <c r="A66" i="1"/>
  <c r="A952" i="1"/>
  <c r="A280" i="1"/>
  <c r="A87" i="1"/>
  <c r="A440" i="1"/>
  <c r="A825" i="1"/>
  <c r="A209" i="1"/>
  <c r="A415" i="1"/>
  <c r="A599" i="1"/>
  <c r="A462" i="1"/>
  <c r="A69" i="1"/>
  <c r="A439" i="1"/>
  <c r="A981" i="1"/>
  <c r="A833" i="1"/>
  <c r="A21" i="1"/>
  <c r="A32" i="1"/>
  <c r="A271" i="1"/>
  <c r="A713" i="1"/>
  <c r="A937" i="1"/>
  <c r="A455" i="1"/>
  <c r="A738" i="1"/>
  <c r="A488" i="1"/>
  <c r="A85" i="1"/>
  <c r="A249" i="1"/>
  <c r="A479" i="1"/>
  <c r="A441" i="1"/>
  <c r="A287" i="1"/>
  <c r="A704" i="1"/>
  <c r="A134" i="1"/>
  <c r="A567" i="1"/>
  <c r="A859" i="1"/>
  <c r="A608" i="1"/>
  <c r="A487" i="1"/>
  <c r="A264" i="1"/>
  <c r="A660" i="1"/>
  <c r="A147" i="1"/>
  <c r="A328" i="1"/>
  <c r="A753" i="1"/>
  <c r="A592" i="1"/>
  <c r="A99" i="1"/>
  <c r="A265" i="1"/>
  <c r="A135" i="1"/>
  <c r="A405" i="1"/>
  <c r="A696" i="1"/>
  <c r="A356" i="1"/>
  <c r="A168" i="1"/>
  <c r="A80" i="1"/>
  <c r="A157" i="1"/>
  <c r="A652" i="1"/>
  <c r="A748" i="1"/>
  <c r="A788" i="1"/>
  <c r="A308" i="1"/>
  <c r="A573" i="1"/>
  <c r="A820" i="1"/>
  <c r="A396" i="1"/>
  <c r="A101" i="1"/>
  <c r="A841" i="1"/>
  <c r="A55" i="1"/>
  <c r="A138" i="1"/>
  <c r="A865" i="1"/>
  <c r="A579" i="1"/>
  <c r="A500" i="1"/>
  <c r="A699" i="1"/>
  <c r="A355" i="1"/>
  <c r="A844" i="1"/>
  <c r="A235" i="1"/>
  <c r="A565" i="1"/>
  <c r="A869" i="1"/>
  <c r="A365" i="1"/>
  <c r="A384" i="1"/>
  <c r="A921" i="1"/>
  <c r="A169" i="1"/>
  <c r="A499" i="1"/>
  <c r="A211" i="1"/>
  <c r="A89" i="1"/>
  <c r="A893" i="1"/>
  <c r="A868" i="1"/>
  <c r="A341" i="1"/>
  <c r="A192" i="1"/>
  <c r="A546" i="1"/>
  <c r="A81" i="1"/>
  <c r="A736" i="1"/>
  <c r="A533" i="1"/>
  <c r="A922" i="1"/>
  <c r="A519" i="1"/>
  <c r="A671" i="1"/>
  <c r="A560" i="1"/>
  <c r="A279" i="1"/>
  <c r="A528" i="1"/>
  <c r="A540" i="1"/>
  <c r="A958" i="1"/>
  <c r="A144" i="1"/>
  <c r="A58" i="1"/>
  <c r="A703" i="1"/>
  <c r="A476" i="1"/>
  <c r="A50" i="1"/>
  <c r="A276" i="1"/>
  <c r="A857" i="1"/>
  <c r="A715" i="1"/>
  <c r="A679" i="1"/>
  <c r="A601" i="1"/>
  <c r="A299" i="1"/>
  <c r="A538" i="1"/>
  <c r="A254" i="1"/>
  <c r="A469" i="1"/>
  <c r="A553" i="1"/>
  <c r="A388" i="1"/>
  <c r="A297" i="1"/>
  <c r="A613" i="1"/>
  <c r="A593" i="1"/>
  <c r="A761" i="1"/>
  <c r="A478" i="1"/>
  <c r="A991" i="1"/>
  <c r="A674" i="1"/>
  <c r="A926" i="1"/>
  <c r="A910" i="1"/>
  <c r="A353" i="1"/>
  <c r="A818" i="1"/>
  <c r="A803" i="1"/>
  <c r="A646" i="1"/>
  <c r="A426" i="1"/>
  <c r="A884" i="1"/>
  <c r="A649" i="1"/>
  <c r="A780" i="1"/>
  <c r="A108" i="1"/>
  <c r="A707" i="1"/>
  <c r="A760" i="1"/>
  <c r="A505" i="1"/>
  <c r="A399" i="1"/>
  <c r="A417" i="1"/>
  <c r="A536" i="1"/>
  <c r="A318" i="1"/>
  <c r="A904" i="1"/>
  <c r="A424" i="1"/>
  <c r="A84" i="1"/>
  <c r="A595" i="1"/>
  <c r="A309" i="1"/>
  <c r="A669" i="1"/>
  <c r="A848" i="1"/>
  <c r="A944" i="1"/>
  <c r="A685" i="1"/>
  <c r="A970" i="1"/>
  <c r="A615" i="1"/>
  <c r="A895" i="1"/>
  <c r="A333" i="1"/>
  <c r="A205" i="1"/>
  <c r="A836" i="1"/>
  <c r="A167" i="1"/>
  <c r="A229" i="1"/>
  <c r="A690" i="1"/>
  <c r="A534" i="1"/>
  <c r="A207" i="1"/>
  <c r="A107" i="1"/>
  <c r="A197" i="1"/>
  <c r="A871" i="1"/>
  <c r="A410" i="1"/>
  <c r="A268" i="1"/>
  <c r="A665" i="1"/>
  <c r="A502" i="1"/>
  <c r="A620" i="1"/>
  <c r="A575" i="1"/>
  <c r="A691" i="1"/>
  <c r="A62" i="1"/>
  <c r="A870" i="1"/>
  <c r="A54" i="1"/>
  <c r="A907" i="1"/>
  <c r="A606" i="1"/>
  <c r="A179" i="1"/>
  <c r="A572" i="1"/>
  <c r="A625" i="1"/>
  <c r="A963" i="1"/>
  <c r="A784" i="1"/>
  <c r="A683" i="1"/>
  <c r="A315" i="1"/>
  <c r="A507" i="1"/>
  <c r="A939" i="1"/>
  <c r="A226" i="1"/>
  <c r="A400" i="1"/>
  <c r="A114" i="1"/>
  <c r="A688" i="1"/>
  <c r="A379" i="1"/>
  <c r="A795" i="1"/>
  <c r="A122" i="1"/>
  <c r="A131" i="1"/>
  <c r="A106" i="1"/>
  <c r="A831" i="1"/>
  <c r="A597" i="1"/>
  <c r="A742" i="1"/>
  <c r="A854" i="1"/>
  <c r="A931" i="1"/>
  <c r="A244" i="1"/>
  <c r="A73" i="1"/>
  <c r="A598" i="1"/>
  <c r="A642" i="1"/>
  <c r="A243" i="1"/>
  <c r="A359" i="1"/>
  <c r="A631" i="1"/>
  <c r="A445" i="1"/>
  <c r="A985" i="1"/>
  <c r="A956" i="1"/>
  <c r="A959" i="1"/>
  <c r="A647" i="1"/>
  <c r="A136" i="1"/>
  <c r="A673" i="1"/>
  <c r="A978" i="1"/>
  <c r="A577" i="1"/>
  <c r="A900" i="1"/>
  <c r="A344" i="1"/>
  <c r="A295" i="1"/>
  <c r="A463" i="1"/>
  <c r="A648" i="1"/>
  <c r="A576" i="1"/>
  <c r="A883" i="1"/>
  <c r="A938" i="1"/>
  <c r="A717" i="1"/>
  <c r="A458" i="1"/>
  <c r="A940" i="1"/>
  <c r="A363" i="1"/>
  <c r="A635" i="1"/>
  <c r="A398" i="1"/>
  <c r="A864" i="1"/>
  <c r="A346" i="1"/>
  <c r="A729" i="1"/>
  <c r="A182" i="1"/>
  <c r="A882" i="1"/>
  <c r="A245" i="1"/>
  <c r="A568" i="1"/>
  <c r="A222" i="1"/>
  <c r="A807" i="1"/>
  <c r="A733" i="1"/>
  <c r="A390" i="1"/>
  <c r="A732" i="1"/>
  <c r="A161" i="1"/>
  <c r="A123" i="1"/>
  <c r="A525" i="1"/>
  <c r="A340" i="1"/>
  <c r="A79" i="1"/>
  <c r="A109" i="1"/>
  <c r="A749" i="1"/>
  <c r="A886" i="1"/>
  <c r="A52" i="1"/>
  <c r="A436" i="1"/>
  <c r="A915" i="1"/>
  <c r="A336" i="1"/>
  <c r="A27" i="1"/>
  <c r="A133" i="1"/>
  <c r="A610" i="1"/>
  <c r="A878" i="1"/>
  <c r="A621" i="1"/>
  <c r="A554" i="1"/>
  <c r="A672" i="1"/>
  <c r="A17" i="1"/>
  <c r="A90" i="1"/>
  <c r="A640" i="1"/>
  <c r="A60" i="1"/>
  <c r="A427" i="1"/>
  <c r="A571" i="1"/>
  <c r="A490" i="1"/>
  <c r="A460" i="1"/>
  <c r="A786" i="1"/>
  <c r="A394" i="1"/>
  <c r="A274" i="1"/>
  <c r="A298" i="1"/>
  <c r="A300" i="1"/>
  <c r="A391" i="1"/>
  <c r="A227" i="1"/>
  <c r="A552" i="1"/>
  <c r="A228" i="1"/>
  <c r="A512" i="1"/>
  <c r="A466" i="1"/>
  <c r="A331" i="1"/>
  <c r="A949" i="1"/>
  <c r="A527" i="1"/>
  <c r="A644" i="1"/>
  <c r="A288" i="1"/>
  <c r="A730" i="1"/>
  <c r="A863" i="1"/>
  <c r="A332" i="1"/>
  <c r="A125" i="1"/>
  <c r="A866" i="1"/>
  <c r="A159" i="1"/>
  <c r="A570" i="1"/>
  <c r="A757" i="1"/>
  <c r="A532" i="1"/>
  <c r="A709" i="1"/>
  <c r="A504" i="1"/>
  <c r="A170" i="1"/>
  <c r="A805" i="1"/>
  <c r="A220" i="1"/>
  <c r="A515" i="1"/>
  <c r="A633" i="1"/>
  <c r="A993" i="1"/>
  <c r="A142" i="1"/>
  <c r="A372" i="1"/>
  <c r="A764" i="1"/>
  <c r="A326" i="1"/>
  <c r="A988" i="1"/>
  <c r="A817" i="1"/>
  <c r="A482" i="1"/>
  <c r="A181" i="1"/>
  <c r="A545" i="1"/>
  <c r="A70" i="1"/>
  <c r="A185" i="1"/>
  <c r="A270" i="1"/>
  <c r="A269" i="1"/>
  <c r="A899" i="1"/>
  <c r="A51" i="1"/>
  <c r="A420" i="1"/>
  <c r="A467" i="1"/>
  <c r="A303" i="1"/>
  <c r="A550" i="1"/>
  <c r="A465" i="1"/>
  <c r="A522" i="1"/>
  <c r="A63" i="1"/>
  <c r="A750" i="1"/>
  <c r="A650" i="1"/>
  <c r="A559" i="1"/>
  <c r="A26" i="1"/>
  <c r="A290" i="1"/>
  <c r="A189" i="1"/>
  <c r="A343" i="1"/>
  <c r="A378" i="1"/>
  <c r="A790" i="1"/>
  <c r="A91" i="1"/>
  <c r="A483" i="1"/>
  <c r="A821" i="1"/>
  <c r="A984" i="1"/>
  <c r="A493" i="1"/>
  <c r="A880" i="1"/>
  <c r="A77" i="1"/>
  <c r="A387" i="1"/>
  <c r="A468" i="1"/>
  <c r="A267" i="1"/>
  <c r="A442" i="1"/>
  <c r="A28" i="1"/>
  <c r="A823" i="1"/>
  <c r="A330" i="1"/>
  <c r="A447" i="1"/>
  <c r="A261" i="1"/>
  <c r="A139" i="1"/>
  <c r="A558" i="1"/>
  <c r="A305" i="1"/>
  <c r="A437" i="1"/>
  <c r="A772" i="1"/>
  <c r="A796" i="1"/>
  <c r="A932" i="1"/>
  <c r="A46" i="1"/>
  <c r="A471" i="1"/>
  <c r="A163" i="1"/>
  <c r="A178" i="1"/>
  <c r="A433" i="1"/>
  <c r="A668" i="1"/>
  <c r="A990" i="1"/>
  <c r="A830" i="1"/>
  <c r="A83" i="1"/>
  <c r="A971" i="1"/>
  <c r="A973" i="1"/>
  <c r="A143" i="1"/>
  <c r="A881" i="1"/>
  <c r="A127" i="1"/>
  <c r="A680" i="1"/>
  <c r="A506" i="1"/>
  <c r="A111" i="1"/>
  <c r="A314" i="1"/>
  <c r="A901" i="1"/>
  <c r="A793" i="1"/>
  <c r="A603" i="1"/>
  <c r="A898" i="1"/>
  <c r="A725" i="1"/>
  <c r="A517" i="1"/>
  <c r="A470" i="1"/>
  <c r="A24" i="1"/>
  <c r="A153" i="1"/>
  <c r="A969" i="1"/>
  <c r="A617" i="1"/>
  <c r="A953" i="1"/>
  <c r="A731" i="1"/>
  <c r="A763" i="1"/>
  <c r="A48" i="1"/>
  <c r="A306" i="1"/>
  <c r="A569" i="1"/>
  <c r="A775" i="1"/>
  <c r="A362" i="1"/>
  <c r="A651" i="1"/>
  <c r="A887" i="1"/>
  <c r="A677" i="1"/>
  <c r="A492" i="1"/>
  <c r="A273" i="1"/>
  <c r="A838" i="1"/>
  <c r="A947" i="1"/>
  <c r="A242" i="1"/>
  <c r="A350" i="1"/>
  <c r="A918" i="1"/>
  <c r="A637" i="1"/>
  <c r="A564" i="1"/>
  <c r="A541" i="1"/>
  <c r="A714" i="1"/>
  <c r="A962" i="1"/>
  <c r="A480" i="1"/>
  <c r="A754" i="1"/>
  <c r="A392" i="1"/>
  <c r="A412" i="1"/>
  <c r="A224" i="1"/>
  <c r="A724" i="1"/>
  <c r="A819" i="1"/>
  <c r="A989" i="1"/>
  <c r="A737" i="1"/>
  <c r="A811" i="1"/>
  <c r="A627" i="1"/>
  <c r="A845" i="1"/>
  <c r="A555" i="1"/>
  <c r="A816" i="1"/>
  <c r="A653" i="1"/>
  <c r="A589" i="1"/>
  <c r="A115" i="1"/>
  <c r="A697" i="1"/>
  <c r="A543" i="1"/>
  <c r="A272" i="1"/>
  <c r="A983" i="1"/>
  <c r="A891" i="1"/>
  <c r="A162" i="1"/>
  <c r="A92" i="1"/>
  <c r="A629" i="1"/>
  <c r="A246" i="1"/>
  <c r="A212" i="1"/>
  <c r="A628" i="1"/>
  <c r="A253" i="1"/>
  <c r="A681" i="1"/>
  <c r="A47" i="1"/>
  <c r="A425" i="1"/>
  <c r="A86" i="1"/>
  <c r="A675" i="1"/>
  <c r="A855" i="1"/>
  <c r="A711" i="1"/>
  <c r="A526" i="1"/>
  <c r="A979" i="1"/>
  <c r="A43" i="1"/>
  <c r="A544" i="1"/>
  <c r="A165" i="1"/>
  <c r="A74" i="1"/>
  <c r="A782" i="1"/>
  <c r="A705" i="1"/>
  <c r="A539" i="1"/>
  <c r="A354" i="1"/>
  <c r="A824" i="1"/>
  <c r="A508" i="1"/>
  <c r="A128" i="1"/>
  <c r="A641" i="1"/>
  <c r="A215" i="1"/>
  <c r="A583" i="1"/>
  <c r="A903" i="1"/>
  <c r="A148" i="1"/>
  <c r="A36" i="1"/>
  <c r="A972" i="1"/>
  <c r="A198" i="1"/>
  <c r="A251" i="1"/>
  <c r="A744" i="1"/>
  <c r="A408" i="1"/>
  <c r="A337" i="1"/>
  <c r="A126" i="1"/>
  <c r="A708" i="1"/>
  <c r="A284" i="1"/>
  <c r="A240" i="1"/>
  <c r="A498" i="1"/>
  <c r="A402" i="1"/>
  <c r="A327" i="1"/>
  <c r="A44" i="1"/>
  <c r="A53" i="1"/>
  <c r="A727" i="1"/>
  <c r="A774" i="1"/>
  <c r="A584" i="1"/>
  <c r="A664" i="1"/>
  <c r="A967" i="1"/>
  <c r="A335" i="1"/>
  <c r="A196" i="1"/>
  <c r="A852" i="1"/>
  <c r="A684" i="1"/>
  <c r="A914" i="1"/>
  <c r="A812" i="1"/>
  <c r="A35" i="1"/>
  <c r="A765" i="1"/>
  <c r="A591" i="1"/>
  <c r="A176" i="1"/>
  <c r="A404" i="1"/>
  <c r="A275" i="1"/>
  <c r="A977" i="1"/>
  <c r="A256" i="1"/>
  <c r="A145" i="1"/>
  <c r="A464" i="1"/>
  <c r="A743" i="1"/>
  <c r="A435" i="1"/>
  <c r="A367" i="1"/>
  <c r="A828" i="1"/>
  <c r="A40" i="1"/>
  <c r="A897" i="1"/>
  <c r="A843" i="1"/>
  <c r="A826" i="1"/>
  <c r="A82" i="1"/>
  <c r="A119" i="1"/>
  <c r="A779" i="1"/>
  <c r="A563" i="1"/>
  <c r="A312" i="1"/>
  <c r="A792" i="1"/>
  <c r="A140" i="1"/>
  <c r="A604" i="1"/>
  <c r="A206" i="1"/>
  <c r="A310" i="1"/>
  <c r="A740" i="1"/>
  <c r="A429" i="1"/>
  <c r="A375" i="1"/>
  <c r="A23" i="1"/>
  <c r="A946" i="1"/>
  <c r="A151" i="1"/>
  <c r="A874" i="1"/>
  <c r="A514" i="1"/>
  <c r="A278" i="1"/>
  <c r="A477" i="1"/>
  <c r="A347" i="1"/>
  <c r="A911" i="1"/>
  <c r="A208" i="1"/>
  <c r="A191" i="1"/>
  <c r="A187" i="1"/>
  <c r="A933" i="1"/>
  <c r="A348" i="1"/>
  <c r="A413" i="1"/>
  <c r="A120" i="1"/>
  <c r="A146" i="1"/>
  <c r="A751" i="1"/>
  <c r="A849" i="1"/>
  <c r="A484" i="1"/>
  <c r="A955" i="1"/>
  <c r="A987" i="1"/>
  <c r="A809" i="1"/>
  <c r="A835" i="1"/>
  <c r="A158" i="1"/>
  <c r="A889" i="1"/>
  <c r="A582" i="1"/>
  <c r="A457" i="1"/>
  <c r="A654" i="1"/>
  <c r="A486" i="1"/>
  <c r="A103" i="1"/>
  <c r="A529" i="1"/>
  <c r="A913" i="1"/>
  <c r="A752" i="1"/>
  <c r="A175" i="1"/>
  <c r="A876" i="1"/>
  <c r="A663" i="1"/>
  <c r="A184" i="1"/>
  <c r="A461" i="1"/>
  <c r="A797" i="1"/>
  <c r="A422" i="1"/>
  <c r="A411" i="1"/>
  <c r="A741" i="1"/>
  <c r="A210" i="1"/>
  <c r="A771" i="1"/>
  <c r="A936" i="1"/>
  <c r="A549" i="1"/>
  <c r="A225" i="1"/>
  <c r="A785" i="1"/>
  <c r="A791" i="1"/>
  <c r="A319" i="1"/>
  <c r="A217" i="1"/>
  <c r="A596" i="1"/>
  <c r="A57" i="1"/>
  <c r="A385" i="1"/>
  <c r="A338" i="1"/>
  <c r="A263" i="1"/>
  <c r="A716" i="1"/>
  <c r="A829" i="1"/>
  <c r="A430" i="1"/>
  <c r="A434" i="1"/>
  <c r="A164" i="1"/>
  <c r="A349" i="1"/>
  <c r="A383" i="1"/>
  <c r="A322" i="1"/>
  <c r="A59" i="1"/>
  <c r="A25" i="1"/>
  <c r="A698" i="1"/>
  <c r="A877" i="1"/>
  <c r="A76" i="1"/>
  <c r="A454" i="1"/>
  <c r="A325" i="1"/>
  <c r="A266" i="1"/>
  <c r="A657" i="1"/>
  <c r="A307" i="1"/>
  <c r="A95" i="1"/>
  <c r="A188" i="1"/>
  <c r="A894" i="1"/>
  <c r="A982" i="1"/>
  <c r="A616" i="1"/>
  <c r="A875" i="1"/>
  <c r="A945" i="1"/>
  <c r="A358" i="1"/>
  <c r="A521" i="1"/>
  <c r="A173" i="1"/>
  <c r="A102" i="1"/>
  <c r="A473" i="1"/>
  <c r="A380" i="1"/>
  <c r="A513" i="1"/>
  <c r="A994" i="1"/>
  <c r="A992" i="1"/>
  <c r="A149" i="1"/>
  <c r="A612" i="1"/>
  <c r="A132" i="1"/>
  <c r="A129" i="1"/>
  <c r="A292" i="1"/>
  <c r="A320" i="1"/>
  <c r="A283" i="1"/>
  <c r="A33" i="1"/>
  <c r="A329" i="1"/>
  <c r="A916" i="1"/>
  <c r="A301" i="1"/>
  <c r="A662" i="1"/>
  <c r="A113" i="1"/>
  <c r="A706" i="1"/>
  <c r="A885" i="1"/>
  <c r="A676" i="1"/>
  <c r="A449" i="1"/>
  <c r="A93" i="1"/>
  <c r="A452" i="1"/>
  <c r="A41" i="1"/>
  <c r="A213" i="1"/>
  <c r="A822" i="1"/>
  <c r="A666" i="1"/>
  <c r="A943" i="1"/>
  <c r="A150" i="1"/>
  <c r="A905" i="1"/>
  <c r="A65" i="1"/>
  <c r="A935" i="1"/>
  <c r="A183" i="1"/>
  <c r="A659" i="1"/>
  <c r="A155" i="1"/>
  <c r="A247" i="1"/>
  <c r="A853" i="1"/>
  <c r="A432" i="1"/>
  <c r="A395" i="1"/>
  <c r="A141" i="1"/>
  <c r="A667" i="1"/>
  <c r="A406" i="1"/>
  <c r="A954" i="1"/>
  <c r="A203" i="1"/>
  <c r="A339" i="1"/>
  <c r="A72" i="1"/>
  <c r="A986" i="1"/>
  <c r="A448" i="1"/>
  <c r="A219" i="1"/>
  <c r="A756" i="1"/>
  <c r="A94" i="1"/>
  <c r="A746" i="1"/>
  <c r="A523" i="1"/>
  <c r="A975" i="1"/>
  <c r="A38" i="1"/>
  <c r="A397" i="1"/>
  <c r="A282" i="1"/>
  <c r="A623" i="1"/>
  <c r="A414" i="1"/>
  <c r="A237" i="1"/>
  <c r="A948" i="1"/>
  <c r="A45" i="1"/>
  <c r="A239" i="1"/>
  <c r="A964" i="1"/>
  <c r="A670" i="1"/>
  <c r="A37" i="1"/>
  <c r="A734" i="1"/>
  <c r="A252" i="1"/>
  <c r="A712" i="1"/>
  <c r="A376" i="1"/>
  <c r="A537" i="1"/>
  <c r="A656" i="1"/>
  <c r="A693" i="1"/>
  <c r="A542" i="1"/>
  <c r="A342" i="1"/>
  <c r="A872" i="1"/>
  <c r="A366" i="1"/>
  <c r="A258" i="1"/>
  <c r="A313" i="1"/>
  <c r="A105" i="1"/>
  <c r="A920" i="1"/>
  <c r="A923" i="1"/>
  <c r="A934" i="1"/>
  <c r="A695" i="1"/>
  <c r="A586" i="1"/>
  <c r="A166" i="1"/>
  <c r="A75" i="1"/>
  <c r="A720" i="1"/>
  <c r="A324" i="1"/>
  <c r="A248" i="1"/>
  <c r="A232" i="1"/>
  <c r="A694" i="1"/>
  <c r="A160" i="1"/>
  <c r="A352" i="1"/>
  <c r="A78" i="1"/>
  <c r="A622" i="1"/>
  <c r="A459" i="1"/>
  <c r="A879" i="1"/>
  <c r="A630" i="1"/>
  <c r="A450" i="1"/>
  <c r="A118" i="1"/>
  <c r="A723" i="1"/>
  <c r="A827" i="1"/>
  <c r="A234" i="1"/>
  <c r="A611" i="1"/>
  <c r="A31" i="1"/>
  <c r="A199" i="1"/>
  <c r="A762" i="1"/>
  <c r="A721" i="1"/>
  <c r="A241" i="1"/>
  <c r="A710" i="1"/>
  <c r="A260" i="1"/>
  <c r="A389" i="1"/>
  <c r="A71" i="1"/>
  <c r="A851" i="1"/>
  <c r="A867" i="1"/>
  <c r="A419" i="1"/>
  <c r="A578" i="1"/>
  <c r="A776" i="1"/>
  <c r="A902" i="1"/>
  <c r="A200" i="1"/>
  <c r="A421" i="1"/>
  <c r="A503" i="1"/>
  <c r="A294" i="1"/>
  <c r="A20" i="1"/>
  <c r="A443" i="1"/>
  <c r="A357" i="1"/>
  <c r="A190" i="1"/>
  <c r="A174" i="1"/>
  <c r="A804" i="1"/>
  <c r="A789" i="1"/>
  <c r="A896" i="1"/>
  <c r="A345" i="1"/>
  <c r="A223" i="1"/>
  <c r="A846" i="1"/>
  <c r="A317" i="1"/>
  <c r="A180" i="1"/>
  <c r="A520" i="1"/>
  <c r="A64" i="1"/>
  <c r="A18" i="1"/>
  <c r="A531" i="1"/>
  <c r="A262" i="1"/>
  <c r="A548" i="1"/>
  <c r="A316" i="1"/>
  <c r="A230" i="1"/>
  <c r="A735" i="1"/>
  <c r="A22" i="1"/>
  <c r="A311" i="1"/>
  <c r="A618" i="1"/>
  <c r="A919" i="1"/>
  <c r="A961" i="1"/>
  <c r="A281" i="1"/>
  <c r="A968" i="1"/>
  <c r="A632" i="1"/>
  <c r="A778" i="1"/>
  <c r="A195" i="1"/>
  <c r="A321" i="1"/>
  <c r="A815" i="1"/>
  <c r="A624" i="1"/>
  <c r="A511" i="1"/>
  <c r="A626" i="1"/>
  <c r="A619" i="1"/>
  <c r="A847" i="1"/>
  <c r="A927" i="1"/>
  <c r="A814" i="1"/>
  <c r="A873" i="1"/>
  <c r="A561" i="1"/>
  <c r="A605" i="1"/>
  <c r="A97" i="1"/>
  <c r="A726" i="1"/>
  <c r="A423" i="1"/>
  <c r="A438" i="1"/>
  <c r="A67" i="1"/>
  <c r="A19" i="1"/>
  <c r="A518" i="1"/>
  <c r="A892" i="1"/>
  <c r="A444" i="1"/>
  <c r="A369" i="1"/>
  <c r="A286" i="1"/>
  <c r="A798" i="1"/>
  <c r="A770" i="1"/>
  <c r="A204" i="1"/>
  <c r="A291" i="1"/>
  <c r="A277" i="1"/>
  <c r="A88" i="1"/>
  <c r="A643" i="1"/>
  <c r="A590" i="1"/>
  <c r="A747" i="1"/>
  <c r="A474" i="1"/>
  <c r="A29" i="1"/>
  <c r="A516" i="1"/>
  <c r="A929" i="1"/>
  <c r="A510" i="1"/>
  <c r="A702" i="1"/>
  <c r="A323" i="1"/>
  <c r="A351" i="1"/>
  <c r="A524" i="1"/>
  <c r="A781" i="1"/>
  <c r="A966" i="1"/>
  <c r="A607" i="1"/>
  <c r="A56" i="1"/>
  <c r="A117" i="1"/>
  <c r="A614" i="1"/>
  <c r="A773" i="1"/>
  <c r="A638" i="1"/>
  <c r="A766" i="1"/>
  <c r="A909" i="1"/>
  <c r="A259" i="1"/>
  <c r="A924" i="1"/>
  <c r="A497" i="1"/>
  <c r="A472" i="1"/>
  <c r="A296" i="1"/>
  <c r="A30" i="1"/>
  <c r="A496" i="1"/>
  <c r="A221" i="1"/>
  <c r="A231" i="1"/>
  <c r="A551" i="1"/>
  <c r="A980" i="1"/>
  <c r="A777" i="1"/>
  <c r="A645" i="1"/>
  <c r="A481" i="1"/>
  <c r="A925" i="1"/>
  <c r="A566" i="1"/>
  <c r="A257" i="1"/>
  <c r="A890" i="1"/>
  <c r="A431" i="1"/>
  <c r="A39" i="1"/>
  <c r="A941" i="1"/>
  <c r="A501" i="1"/>
  <c r="A837" i="1"/>
  <c r="A801" i="1"/>
  <c r="A377" i="1"/>
  <c r="A758" i="1"/>
  <c r="A861" i="1"/>
  <c r="A686" i="1"/>
  <c r="A634" i="1"/>
  <c r="A371" i="1"/>
  <c r="A530" i="1"/>
  <c r="A489" i="1"/>
  <c r="A403" i="1"/>
  <c r="A960" i="1"/>
  <c r="A255" i="1"/>
  <c r="A810" i="1"/>
  <c r="A701" i="1"/>
  <c r="E155" i="17"/>
  <c r="F134" i="17" l="1"/>
  <c r="A135" i="17"/>
  <c r="B135" i="17" s="1"/>
  <c r="H134" i="17"/>
  <c r="I134" i="17" s="1"/>
  <c r="F135" i="17" l="1"/>
  <c r="H135" i="17"/>
  <c r="I135" i="17" s="1"/>
  <c r="A136" i="17"/>
  <c r="B136" i="17" s="1"/>
  <c r="F136" i="17" l="1"/>
  <c r="H136" i="17"/>
  <c r="I136" i="17" s="1"/>
  <c r="A137" i="17"/>
  <c r="B137" i="17" s="1"/>
  <c r="F137" i="17" l="1"/>
  <c r="H137" i="17"/>
  <c r="I137" i="17" s="1"/>
  <c r="A138" i="17"/>
  <c r="B138" i="17" s="1"/>
  <c r="F138" i="17" l="1"/>
  <c r="A139" i="17"/>
  <c r="B139" i="17" s="1"/>
  <c r="H138" i="17"/>
  <c r="I138" i="17" s="1"/>
  <c r="F139" i="17" l="1"/>
  <c r="H139" i="17"/>
  <c r="I139" i="17" s="1"/>
  <c r="A140" i="17"/>
  <c r="B140" i="17" s="1"/>
  <c r="F140" i="17" l="1"/>
  <c r="H140" i="17"/>
  <c r="I140" i="17" s="1"/>
  <c r="A141" i="17"/>
  <c r="B141" i="17" s="1"/>
  <c r="F141" i="17" l="1"/>
  <c r="H141" i="17"/>
  <c r="I141" i="17" s="1"/>
  <c r="A142" i="17"/>
  <c r="B142" i="17" s="1"/>
  <c r="F142" i="17" l="1"/>
  <c r="H142" i="17"/>
  <c r="I142" i="17" s="1"/>
  <c r="A143" i="17"/>
  <c r="B143" i="17" s="1"/>
  <c r="F143" i="17" l="1"/>
  <c r="A144" i="17"/>
  <c r="B144" i="17" s="1"/>
  <c r="H143" i="17"/>
  <c r="I143" i="17" s="1"/>
  <c r="F144" i="17" l="1"/>
  <c r="A145" i="17"/>
  <c r="B145" i="17" s="1"/>
  <c r="H144" i="17"/>
  <c r="I144" i="17" s="1"/>
  <c r="F145" i="17" l="1"/>
  <c r="A146" i="17"/>
  <c r="B146" i="17" s="1"/>
  <c r="H145" i="17"/>
  <c r="I145" i="17" s="1"/>
  <c r="F146" i="17" l="1"/>
  <c r="H146" i="17"/>
  <c r="I146" i="17" s="1"/>
  <c r="A147" i="17"/>
  <c r="B147" i="17" s="1"/>
  <c r="F147" i="17" l="1"/>
  <c r="A148" i="17"/>
  <c r="B148" i="17" s="1"/>
  <c r="H147" i="17"/>
  <c r="I147" i="17" s="1"/>
  <c r="F148" i="17" l="1"/>
  <c r="A149" i="17"/>
  <c r="B149" i="17" s="1"/>
  <c r="H148" i="17"/>
  <c r="I148" i="17" s="1"/>
  <c r="F149" i="17" l="1"/>
  <c r="H149" i="17"/>
  <c r="I149" i="17" s="1"/>
  <c r="A150" i="17"/>
  <c r="B150" i="17" s="1"/>
  <c r="F150" i="17" l="1"/>
  <c r="A151" i="17"/>
  <c r="B151" i="17" s="1"/>
  <c r="H150" i="17"/>
  <c r="I150" i="17" s="1"/>
  <c r="F151" i="17" l="1"/>
  <c r="A152" i="17"/>
  <c r="B152" i="17" s="1"/>
  <c r="H151" i="17"/>
  <c r="I151" i="17" s="1"/>
  <c r="F152" i="17" l="1"/>
  <c r="A153" i="17"/>
  <c r="B153" i="17" s="1"/>
  <c r="H152" i="17"/>
  <c r="I152" i="17" s="1"/>
  <c r="F153" i="17" l="1"/>
  <c r="A154" i="17"/>
  <c r="B154" i="17" s="1"/>
  <c r="H153" i="17"/>
  <c r="I153" i="17" s="1"/>
  <c r="F154" i="17" l="1"/>
  <c r="H154" i="17"/>
  <c r="I154" i="17" s="1"/>
  <c r="A155" i="17"/>
  <c r="B155" i="17" s="1"/>
  <c r="F155" i="17" l="1"/>
  <c r="H155" i="17"/>
  <c r="I155" i="17" s="1"/>
</calcChain>
</file>

<file path=xl/sharedStrings.xml><?xml version="1.0" encoding="utf-8"?>
<sst xmlns="http://schemas.openxmlformats.org/spreadsheetml/2006/main" count="218" uniqueCount="190">
  <si>
    <t>Date Entry  Area</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</si>
  <si>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</si>
  <si>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</si>
  <si>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</si>
  <si>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</si>
  <si>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</si>
  <si>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</si>
  <si>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</si>
  <si>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</si>
  <si>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</si>
  <si>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</si>
  <si>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</si>
  <si>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</si>
  <si>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</si>
  <si>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</si>
  <si>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</si>
  <si>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</si>
  <si>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</si>
  <si>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</si>
  <si>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</si>
  <si>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</si>
  <si>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</si>
  <si>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</si>
  <si>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</si>
  <si>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</si>
  <si>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</si>
  <si>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</si>
  <si>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</si>
  <si>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</si>
  <si>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</si>
  <si>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</si>
  <si>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</si>
  <si>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</si>
  <si>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</si>
  <si>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</si>
  <si>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</si>
  <si>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</si>
  <si>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</si>
  <si>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</si>
  <si>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</si>
  <si>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</si>
  <si>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</si>
  <si>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</si>
  <si>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</si>
  <si>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</si>
  <si>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</si>
  <si>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</si>
  <si>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</si>
  <si>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</si>
  <si>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</si>
  <si>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</si>
  <si>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</si>
  <si>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</si>
  <si>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</si>
  <si>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</si>
  <si>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</si>
  <si>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</si>
  <si>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</si>
  <si>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</si>
  <si>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</si>
  <si>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</si>
  <si>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</si>
  <si>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</si>
  <si>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</si>
  <si>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</si>
  <si>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</si>
  <si>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</si>
  <si>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</si>
  <si>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</si>
  <si>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</si>
  <si>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</si>
  <si>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</si>
  <si>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</si>
  <si>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</si>
  <si>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</si>
  <si>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</si>
  <si>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</si>
  <si>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</si>
  <si>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</si>
  <si>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</si>
  <si>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</si>
  <si>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</si>
  <si>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</si>
  <si>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</si>
  <si>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</si>
  <si>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</si>
  <si>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</si>
  <si>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</si>
  <si>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</si>
  <si>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</si>
  <si>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</si>
  <si>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</si>
  <si>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</si>
  <si>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</si>
  <si>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</si>
  <si>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</si>
  <si>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</si>
  <si>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</si>
  <si>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</si>
  <si>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</si>
  <si>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</si>
  <si>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</si>
  <si>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S/L Price</t>
  </si>
  <si>
    <t>Capital Size</t>
  </si>
  <si>
    <t>Pips</t>
  </si>
  <si>
    <t>Days</t>
  </si>
  <si>
    <t>Pips / Day</t>
  </si>
  <si>
    <t>$ / Day</t>
  </si>
  <si>
    <t>Milestones</t>
  </si>
  <si>
    <t>Largest Profit Pips</t>
    <phoneticPr fontId="1" type="noConversion"/>
  </si>
  <si>
    <t>Largest Loss Pips</t>
    <phoneticPr fontId="1" type="noConversion"/>
  </si>
  <si>
    <t>Capital Balance</t>
  </si>
  <si>
    <r>
      <t>Tip:</t>
    </r>
    <r>
      <rPr>
        <b/>
        <sz val="10"/>
        <color indexed="18"/>
        <rFont val="Arial"/>
        <family val="2"/>
      </rPr>
      <t xml:space="preserve"> when you deposit or withdraw funds take a record on this log</t>
    </r>
  </si>
  <si>
    <t>Max S/L(Pips):</t>
  </si>
  <si>
    <t>Profit  Trades</t>
  </si>
  <si>
    <t>Average Profit Pips</t>
  </si>
  <si>
    <t>Average Loss Pips</t>
  </si>
  <si>
    <t>幽灵规则一：只持有正确的仓位。</t>
  </si>
  <si>
    <t>幽灵规则二：正确加码才能获利。</t>
  </si>
  <si>
    <t>幽灵规则三：巨量即是套现良机。</t>
  </si>
  <si>
    <t>智慧宝石</t>
  </si>
  <si>
    <t>财经日历</t>
  </si>
  <si>
    <t>求和项:Actual Profit/Loss</t>
  </si>
  <si>
    <t>定法！定心！善输！小错！</t>
  </si>
  <si>
    <t>战胜心魔</t>
  </si>
  <si>
    <t>操作总结</t>
  </si>
  <si>
    <t>% of Capital at Risk</t>
  </si>
  <si>
    <t xml:space="preserve">Rate of Return </t>
  </si>
  <si>
    <t>Trade #</t>
  </si>
  <si>
    <t>Period</t>
  </si>
  <si>
    <t>Size</t>
  </si>
  <si>
    <t>Type</t>
  </si>
  <si>
    <t>WinPips</t>
  </si>
  <si>
    <t>Oanada</t>
  </si>
  <si>
    <t>Withdraw</t>
  </si>
  <si>
    <t>夫未戰而廟算勝者，得算多也﹔未戰而廟算不勝者，得算少也。多算勝，少算不勝，而況無算乎！</t>
  </si>
  <si>
    <t>错误的交易行为习惯</t>
  </si>
  <si>
    <t>财经数据</t>
  </si>
  <si>
    <t/>
  </si>
  <si>
    <t>Actual Profit/Loss</t>
  </si>
  <si>
    <t>正确的交易行为习惯</t>
  </si>
  <si>
    <t>侥幸，所以不止损</t>
  </si>
  <si>
    <t>散漫，所以不执行交易计划</t>
  </si>
  <si>
    <t>自负，所以主观臆测市场</t>
  </si>
  <si>
    <t>怕输，所以手贱拿不住盈利单</t>
  </si>
  <si>
    <t>多算胜，少算不胜，而況无算乎！</t>
  </si>
  <si>
    <t>Ticket #</t>
  </si>
  <si>
    <t>Open Time</t>
  </si>
  <si>
    <t>Item</t>
  </si>
  <si>
    <t>T/P Price</t>
  </si>
  <si>
    <t>Close Time</t>
  </si>
  <si>
    <t>S/L Pips</t>
  </si>
  <si>
    <t>被脑筋所动的眼睛充满了成见</t>
  </si>
  <si>
    <t>后位出场，市场给多少就拿多少</t>
  </si>
  <si>
    <t>烂赌，所以过量交易</t>
  </si>
  <si>
    <t>贪婪，所以不能专注</t>
  </si>
  <si>
    <t>最熟悉的品种都做不好，还有什么资格做其他的？</t>
  </si>
  <si>
    <t>急躁，所以好高骛远</t>
  </si>
  <si>
    <t>200刀都做不好，你还想做200刀的平方啊？</t>
  </si>
  <si>
    <t>Open Stategy</t>
  </si>
  <si>
    <t>Close Strategy</t>
  </si>
  <si>
    <t>Close Stategy</t>
  </si>
  <si>
    <t>不止损，爆仓没商量 (主动保护已经向安全区间移动的单子)</t>
  </si>
  <si>
    <t>第二类买点</t>
  </si>
  <si>
    <t>第三类买点</t>
  </si>
  <si>
    <t>第二类卖点</t>
  </si>
  <si>
    <t>第三类卖点</t>
  </si>
  <si>
    <t>底线止损</t>
  </si>
  <si>
    <t>Pip value(0.01 lot):</t>
  </si>
  <si>
    <t>大饼单</t>
  </si>
  <si>
    <t>30分钟平仓</t>
  </si>
  <si>
    <t>规则 1： 固定操作周期日内</t>
  </si>
  <si>
    <t>规则 2： 固定交易品种白糖</t>
  </si>
  <si>
    <t>规则 2： 固定操作级别30分钟</t>
  </si>
  <si>
    <t>规则 3： 固定资金暴露风险1%</t>
  </si>
  <si>
    <t>规则 4： 固定开仓止损底线21</t>
  </si>
  <si>
    <t>规则 5： 固定开仓自动保护止损33点（仓位保护成功后取消）</t>
  </si>
  <si>
    <t>规则 6： 固定预期盈利目标300点（确保300点利润后敞开盈利端）</t>
  </si>
  <si>
    <t>规则 7： 固定二三类买卖点辅以MACD黄白线和红绿柱过滤交易信号</t>
  </si>
  <si>
    <t>规则 8： 固定单日最大亏损70点</t>
  </si>
  <si>
    <t>规则 9： 固定单周最大亏损150点</t>
  </si>
  <si>
    <t>夫汇者，观形辨意，审时度势，谋进思退，布局猎机，忌随律行。多于阴竭阳至，空于阳极阴生，补于顺势之初，歇于迷惑之时。其心如山之不动，其性如水之至柔，无喜，无悲，无汇，无我，行法于无法，超然局外，乃汇之道也！</t>
  </si>
  <si>
    <t>没有严格控制风险的能力没资格交易！</t>
  </si>
  <si>
    <t>1.0%风险控制</t>
  </si>
  <si>
    <t>开单立即设置底线止损21点+自动移动保护止损33点</t>
  </si>
  <si>
    <t>没有规矩，不成方圆</t>
  </si>
  <si>
    <t>底线止损，敞开盈利端</t>
  </si>
  <si>
    <t>客观跟随市场，价格为王</t>
  </si>
  <si>
    <t>从200刀0.05手做起</t>
  </si>
  <si>
    <t>集中精力日内交易一个品种白糖</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</si>
</sst>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_ ;[Red]\-#,##0.00\ "/>
    <numFmt numFmtId="174" formatCode="0.0"/>
    <numFmt numFmtId="175" formatCode="[$-409]mmmm\ d\,\ yyyy;@"/>
    <numFmt numFmtId="176" formatCode="[$-1009]mmmm\ d\,\ yyyy;@"/>
    <numFmt numFmtId="177" formatCode="[&gt;10].000;.00000"/>
    <numFmt numFmtId="178" formatCode=".00000"/>
    <numFmt numFmtId="179" formatCode="&quot;$&quot;#,##0.00000;\-&quot;$&quot;#,##0.00000"/>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sz val="9"/>
      <color indexed="9"/>
      <name val="Arial"/>
      <family val="2"/>
    </font>
    <font>
      <b/>
      <sz val="9"/>
      <color indexed="9"/>
      <name val="宋体"/>
      <charset val="134"/>
    </font>
    <font>
      <b/>
      <sz val="9"/>
      <color rgb="FF333399"/>
      <name val="Arial"/>
      <family val="2"/>
    </font>
    <font>
      <b/>
      <sz val="10"/>
      <color rgb="FF00CC00"/>
      <name val="Arial"/>
      <family val="2"/>
    </font>
    <font>
      <b/>
      <sz val="10"/>
      <color indexed="9"/>
      <name val="Arial"/>
    </font>
    <font>
      <b/>
      <sz val="10"/>
      <name val="Arial"/>
    </font>
    <font>
      <sz val="10"/>
      <name val="Arial"/>
    </font>
  </fonts>
  <fills count="14">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2">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0" fontId="0" fillId="6" borderId="0" xfId="0" applyFill="1"/>
    <xf numFmtId="0" fontId="22" fillId="5" borderId="0" xfId="0" applyFont="1" applyFill="1" applyAlignment="1">
      <alignment horizontal="center" vertical="center"/>
    </xf>
    <xf numFmtId="0" fontId="5" fillId="5" borderId="0" xfId="0" applyFont="1" applyFill="1" applyAlignment="1">
      <alignment horizontal="center" vertical="center"/>
    </xf>
    <xf numFmtId="0" fontId="23" fillId="5" borderId="0" xfId="0" applyFont="1" applyFill="1" applyAlignment="1">
      <alignment horizontal="center" vertical="center"/>
    </xf>
    <xf numFmtId="0" fontId="22" fillId="5" borderId="0" xfId="0" applyFont="1" applyFill="1" applyAlignment="1">
      <alignment horizontal="left" vertical="center"/>
    </xf>
    <xf numFmtId="0" fontId="11" fillId="5" borderId="0" xfId="0" applyFont="1" applyFill="1" applyAlignment="1">
      <alignment horizontal="left" vertical="center" indent="1"/>
    </xf>
    <xf numFmtId="0" fontId="22"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4" fillId="6" borderId="0" xfId="0" applyFont="1" applyFill="1" applyAlignment="1">
      <alignment horizontal="left"/>
    </xf>
    <xf numFmtId="0" fontId="13" fillId="6" borderId="0" xfId="0" applyFont="1" applyFill="1" applyAlignment="1">
      <alignment horizontal="left" indent="1"/>
    </xf>
    <xf numFmtId="0" fontId="25" fillId="6" borderId="0" xfId="1" applyFont="1" applyFill="1" applyAlignment="1" applyProtection="1">
      <alignment horizontal="center"/>
    </xf>
    <xf numFmtId="0" fontId="26"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4" fontId="0" fillId="0" borderId="0" xfId="0" applyNumberFormat="1" applyAlignment="1">
      <alignment horizontal="center"/>
    </xf>
    <xf numFmtId="176"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5" fillId="9" borderId="0" xfId="0" applyNumberFormat="1" applyFont="1" applyFill="1" applyBorder="1" applyAlignment="1" applyProtection="1">
      <alignment horizontal="left" vertical="center"/>
    </xf>
    <xf numFmtId="173" fontId="36" fillId="9" borderId="0" xfId="0" applyNumberFormat="1" applyFont="1" applyFill="1" applyAlignment="1" applyProtection="1">
      <alignment horizontal="left" vertical="center"/>
    </xf>
    <xf numFmtId="10" fontId="35" fillId="9" borderId="0" xfId="0" applyNumberFormat="1" applyFont="1" applyFill="1" applyAlignment="1" applyProtection="1">
      <alignment horizontal="left" vertical="center"/>
    </xf>
    <xf numFmtId="0" fontId="33" fillId="5" borderId="0" xfId="0" applyFont="1" applyFill="1" applyAlignment="1" applyProtection="1">
      <alignment horizontal="left"/>
    </xf>
    <xf numFmtId="171" fontId="37" fillId="5" borderId="0" xfId="0" applyNumberFormat="1" applyFont="1" applyFill="1" applyAlignment="1" applyProtection="1">
      <alignment horizontal="center" vertical="center"/>
    </xf>
    <xf numFmtId="171" fontId="38" fillId="5" borderId="0" xfId="0" applyNumberFormat="1" applyFont="1" applyFill="1" applyAlignment="1" applyProtection="1">
      <alignment horizontal="center" vertical="center"/>
    </xf>
    <xf numFmtId="0" fontId="40" fillId="2" borderId="0" xfId="0" applyFont="1" applyFill="1" applyBorder="1" applyProtection="1"/>
    <xf numFmtId="0" fontId="41" fillId="5" borderId="0" xfId="0" applyNumberFormat="1" applyFont="1" applyFill="1" applyAlignment="1" applyProtection="1">
      <alignment horizontal="left"/>
    </xf>
    <xf numFmtId="0" fontId="43" fillId="4" borderId="0" xfId="0" applyFont="1" applyFill="1" applyAlignment="1" applyProtection="1">
      <alignment horizontal="center" vertical="center"/>
    </xf>
    <xf numFmtId="2" fontId="43"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4" fillId="7" borderId="0" xfId="0" applyFont="1" applyFill="1" applyAlignment="1" applyProtection="1">
      <alignment horizontal="center"/>
    </xf>
    <xf numFmtId="0" fontId="0" fillId="7" borderId="0" xfId="0" applyFill="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4" fontId="0" fillId="0" borderId="0" xfId="0" applyNumberFormat="1" applyFont="1" applyFill="1" applyAlignment="1">
      <alignment horizontal="center"/>
    </xf>
    <xf numFmtId="172" fontId="0" fillId="0" borderId="0" xfId="0" applyNumberFormat="1" applyFont="1" applyAlignment="1">
      <alignment horizontal="center"/>
    </xf>
    <xf numFmtId="176" fontId="0" fillId="0" borderId="0" xfId="0" applyNumberFormat="1" applyFont="1"/>
    <xf numFmtId="172" fontId="0" fillId="0" borderId="0" xfId="0" applyNumberFormat="1" applyFont="1"/>
    <xf numFmtId="0" fontId="3" fillId="2" borderId="0" xfId="0" applyFont="1" applyFill="1" applyBorder="1" applyAlignment="1" applyProtection="1">
      <alignment horizontal="center"/>
    </xf>
    <xf numFmtId="0" fontId="1" fillId="13" borderId="0" xfId="0" applyFont="1" applyFill="1" applyProtection="1"/>
    <xf numFmtId="172" fontId="0" fillId="0" borderId="0" xfId="0" applyNumberFormat="1" applyFont="1" applyFill="1" applyAlignment="1">
      <alignment horizontal="center"/>
    </xf>
    <xf numFmtId="176" fontId="0" fillId="0" borderId="0" xfId="0" applyNumberFormat="1" applyFont="1" applyFill="1"/>
    <xf numFmtId="172" fontId="0" fillId="0" borderId="0" xfId="0" applyNumberFormat="1" applyFont="1" applyFill="1"/>
    <xf numFmtId="175" fontId="0" fillId="0" borderId="0" xfId="0" applyNumberFormat="1" applyFont="1" applyFill="1"/>
    <xf numFmtId="0" fontId="45" fillId="6" borderId="0" xfId="0" applyFont="1" applyFill="1" applyAlignment="1">
      <alignment horizontal="center"/>
    </xf>
    <xf numFmtId="0" fontId="15" fillId="5" borderId="0" xfId="1" applyFill="1" applyAlignment="1" applyProtection="1">
      <alignment horizontal="left"/>
    </xf>
    <xf numFmtId="49" fontId="43" fillId="4" borderId="0" xfId="0" applyNumberFormat="1" applyFont="1" applyFill="1" applyAlignment="1" applyProtection="1">
      <alignment horizontal="center"/>
    </xf>
    <xf numFmtId="170" fontId="7" fillId="5" borderId="0" xfId="0" applyNumberFormat="1" applyFont="1" applyFill="1" applyAlignment="1" applyProtection="1">
      <alignment horizontal="left"/>
    </xf>
    <xf numFmtId="0" fontId="4" fillId="5" borderId="0" xfId="0" applyNumberFormat="1" applyFont="1" applyFill="1" applyAlignment="1" applyProtection="1">
      <alignment horizontal="center"/>
    </xf>
    <xf numFmtId="177" fontId="43" fillId="4" borderId="0" xfId="0" applyNumberFormat="1" applyFont="1" applyFill="1" applyAlignment="1" applyProtection="1">
      <alignment horizontal="center" wrapText="1"/>
    </xf>
    <xf numFmtId="0" fontId="43" fillId="2" borderId="0" xfId="0" applyFont="1" applyFill="1" applyAlignment="1" applyProtection="1">
      <alignment horizontal="center"/>
    </xf>
    <xf numFmtId="0" fontId="46" fillId="0" borderId="0" xfId="0" applyFont="1" applyAlignment="1">
      <alignment horizontal="center"/>
    </xf>
    <xf numFmtId="22" fontId="43" fillId="2" borderId="0" xfId="0" applyNumberFormat="1" applyFont="1" applyFill="1" applyAlignment="1" applyProtection="1">
      <alignment horizontal="center"/>
    </xf>
    <xf numFmtId="0" fontId="43" fillId="2" borderId="0" xfId="0" applyNumberFormat="1" applyFont="1" applyFill="1" applyAlignment="1" applyProtection="1">
      <alignment horizontal="center"/>
    </xf>
    <xf numFmtId="49" fontId="43" fillId="2" borderId="0" xfId="0" applyNumberFormat="1" applyFont="1" applyFill="1" applyAlignment="1" applyProtection="1">
      <alignment horizontal="center"/>
    </xf>
    <xf numFmtId="0" fontId="47" fillId="12" borderId="0" xfId="0" applyFont="1" applyFill="1" applyBorder="1"/>
    <xf numFmtId="0" fontId="48" fillId="11" borderId="0" xfId="0" applyFont="1" applyFill="1" applyAlignment="1">
      <alignment horizontal="left"/>
    </xf>
    <xf numFmtId="0" fontId="47" fillId="12" borderId="0" xfId="0" applyFont="1" applyFill="1" applyAlignment="1">
      <alignment horizontal="left"/>
    </xf>
    <xf numFmtId="0" fontId="47" fillId="12" borderId="0" xfId="0" applyNumberFormat="1" applyFont="1" applyFill="1"/>
    <xf numFmtId="0" fontId="49" fillId="11" borderId="0" xfId="0" applyFont="1" applyFill="1" applyAlignment="1">
      <alignment horizontal="left"/>
    </xf>
    <xf numFmtId="0" fontId="48" fillId="5" borderId="0" xfId="0" applyFont="1" applyFill="1" applyBorder="1" applyAlignment="1">
      <alignment horizontal="right"/>
    </xf>
    <xf numFmtId="0" fontId="48" fillId="5" borderId="0" xfId="0" applyFont="1" applyFill="1" applyAlignment="1">
      <alignment horizontal="left"/>
    </xf>
    <xf numFmtId="0" fontId="48" fillId="5" borderId="0" xfId="0" applyNumberFormat="1" applyFont="1" applyFill="1"/>
    <xf numFmtId="0" fontId="49" fillId="5" borderId="0" xfId="0" applyFont="1" applyFill="1" applyAlignment="1">
      <alignment horizontal="left"/>
    </xf>
    <xf numFmtId="0" fontId="49" fillId="5" borderId="0" xfId="0" applyNumberFormat="1" applyFont="1" applyFill="1"/>
    <xf numFmtId="170" fontId="47" fillId="12" borderId="0" xfId="0" applyNumberFormat="1" applyFont="1" applyFill="1"/>
    <xf numFmtId="178" fontId="43" fillId="4" borderId="0" xfId="0" applyNumberFormat="1" applyFont="1" applyFill="1" applyAlignment="1" applyProtection="1">
      <alignment horizontal="center" wrapText="1"/>
    </xf>
    <xf numFmtId="179" fontId="7" fillId="9" borderId="0" xfId="0" applyNumberFormat="1" applyFont="1" applyFill="1" applyBorder="1" applyAlignment="1" applyProtection="1">
      <alignment horizontal="left" vertical="center"/>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1"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1"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7"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170" fontId="7" fillId="5" borderId="0" xfId="0" applyNumberFormat="1" applyFont="1" applyFill="1" applyAlignment="1" applyProtection="1">
      <alignment horizontal="left"/>
    </xf>
    <xf numFmtId="0" fontId="28" fillId="9" borderId="0" xfId="0" applyFont="1" applyFill="1" applyBorder="1" applyAlignment="1" applyProtection="1">
      <alignment horizontal="left" vertical="center"/>
    </xf>
    <xf numFmtId="0" fontId="29" fillId="0" borderId="0" xfId="0" applyFont="1" applyAlignment="1" applyProtection="1">
      <alignment horizontal="left" vertical="center"/>
    </xf>
    <xf numFmtId="0" fontId="39" fillId="9" borderId="2" xfId="0" applyFont="1" applyFill="1" applyBorder="1" applyAlignment="1" applyProtection="1">
      <alignment horizontal="left" vertical="center"/>
    </xf>
    <xf numFmtId="0" fontId="39" fillId="9" borderId="0" xfId="0" applyFont="1" applyFill="1" applyBorder="1" applyAlignment="1" applyProtection="1">
      <alignment horizontal="left" vertical="center"/>
    </xf>
    <xf numFmtId="0" fontId="33" fillId="9" borderId="0" xfId="0" applyFont="1" applyFill="1" applyBorder="1" applyAlignment="1" applyProtection="1">
      <alignment horizontal="left" vertical="center"/>
    </xf>
    <xf numFmtId="0" fontId="34"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39" fillId="9" borderId="3" xfId="0" applyFont="1" applyFill="1" applyBorder="1" applyAlignment="1" applyProtection="1">
      <alignment horizontal="left" vertical="center"/>
    </xf>
    <xf numFmtId="0" fontId="39" fillId="9" borderId="4" xfId="0" applyFont="1" applyFill="1" applyBorder="1" applyAlignment="1" applyProtection="1">
      <alignment horizontal="left" vertical="center"/>
    </xf>
    <xf numFmtId="0" fontId="33" fillId="9" borderId="4" xfId="0" applyFont="1" applyFill="1" applyBorder="1" applyAlignment="1" applyProtection="1">
      <alignment horizontal="left" vertical="center"/>
    </xf>
    <xf numFmtId="0" fontId="34"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0" borderId="0" xfId="0" applyAlignment="1">
      <alignment horizontal="center"/>
    </xf>
    <xf numFmtId="170" fontId="2" fillId="3" borderId="0" xfId="0" applyNumberFormat="1" applyFont="1" applyFill="1" applyAlignment="1">
      <alignment horizontal="center"/>
    </xf>
    <xf numFmtId="0" fontId="30"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2"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2"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95">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00CC00"/>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8</xdr:col>
      <xdr:colOff>335280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5</xdr:col>
      <xdr:colOff>106680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6</xdr:col>
      <xdr:colOff>53340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ng, Junjie" refreshedDate="41920.404598958332" createdVersion="4" refreshedVersion="4" minRefreshableVersion="3" recordCount="983">
  <cacheSource type="worksheet">
    <worksheetSource ref="A11:AA994" sheet="Trade Log"/>
  </cacheSource>
  <cacheFields count="33">
    <cacheField name="Trade #" numFmtId="0">
      <sharedItems/>
    </cacheField>
    <cacheField name="Ticket #" numFmtId="0">
      <sharedItems containsNonDate="0" containsString="0" containsBlank="1"/>
    </cacheField>
    <cacheField name="Open Time" numFmtId="49">
      <sharedItems containsNonDate="0" containsString="0" containsBlank="1"/>
    </cacheField>
    <cacheField name="Item" numFmtId="22">
      <sharedItems/>
    </cacheField>
    <cacheField name="Size" numFmtId="0">
      <sharedItems containsBlank="1"/>
    </cacheField>
    <cacheField name="Period" numFmtId="22">
      <sharedItems containsNonDate="0" containsString="0" containsBlank="1"/>
    </cacheField>
    <cacheField name="Open Stategy" numFmtId="0">
      <sharedItems containsNonDate="0" containsString="0" containsBlank="1"/>
    </cacheField>
    <cacheField name="Type" numFmtId="2">
      <sharedItems/>
    </cacheField>
    <cacheField name="Open Price" numFmtId="177">
      <sharedItems containsNonDate="0" containsString="0" containsBlank="1"/>
    </cacheField>
    <cacheField name="S/L Price" numFmtId="177">
      <sharedItems containsNonDate="0" containsString="0" containsBlank="1"/>
    </cacheField>
    <cacheField name="T/P Price" numFmtId="177">
      <sharedItems containsNonDate="0" containsString="0" containsBlank="1"/>
    </cacheField>
    <cacheField name="S/L Pips" numFmtId="0">
      <sharedItems/>
    </cacheField>
    <cacheField name="Close  Price" numFmtId="177">
      <sharedItems containsBlank="1"/>
    </cacheField>
    <cacheField name="Close Strategy" numFmtId="177">
      <sharedItems containsNonDate="0" containsString="0" containsBlank="1"/>
    </cacheField>
    <cacheField name="Close Time" numFmtId="49">
      <sharedItems containsNonDate="0" containsString="0" containsBlank="1"/>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ntainsMixedTypes="1" containsNumber="1" containsInteger="1" minValue="7" maxValue="7" count="2">
        <s v=""/>
        <n v="7" u="1"/>
      </sharedItems>
    </cacheField>
    <cacheField name="Trade Year" numFmtId="0">
      <sharedItems containsMixedTypes="1" containsNumber="1" containsInteger="1" minValue="2014" maxValue="2014" count="2">
        <s v=""/>
        <n v="2014" u="1"/>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NAME?)"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83">
  <r>
    <s v=""/>
    <m/>
    <m/>
    <s v=""/>
    <m/>
    <m/>
    <m/>
    <s v=""/>
    <m/>
    <m/>
    <m/>
    <s v=""/>
    <m/>
    <m/>
    <m/>
    <s v=""/>
    <s v=""/>
    <s v=""/>
    <s v=""/>
    <s v=""/>
    <s v=""/>
    <s v=""/>
    <s v=""/>
    <s v=""/>
    <s v=""/>
    <x v="0"/>
    <x v="0"/>
  </r>
  <r>
    <s v=""/>
    <m/>
    <m/>
    <s v=""/>
    <m/>
    <m/>
    <m/>
    <s v=""/>
    <m/>
    <m/>
    <m/>
    <s v=""/>
    <s v=""/>
    <m/>
    <m/>
    <s v=""/>
    <s v=""/>
    <s v=""/>
    <s v=""/>
    <s v=""/>
    <s v=""/>
    <s v=""/>
    <s v=""/>
    <s v=""/>
    <s v=""/>
    <x v="0"/>
    <x v="0"/>
  </r>
  <r>
    <s v=""/>
    <m/>
    <m/>
    <s v=""/>
    <m/>
    <m/>
    <m/>
    <s v=""/>
    <m/>
    <m/>
    <m/>
    <s v=""/>
    <m/>
    <m/>
    <m/>
    <s v=""/>
    <s v=""/>
    <s v=""/>
    <s v=""/>
    <s v=""/>
    <s v=""/>
    <s v=""/>
    <s v=""/>
    <s v=""/>
    <s v=""/>
    <x v="0"/>
    <x v="0"/>
  </r>
  <r>
    <s v=""/>
    <m/>
    <m/>
    <s v=""/>
    <m/>
    <m/>
    <m/>
    <s v=""/>
    <m/>
    <m/>
    <m/>
    <s v=""/>
    <s v=""/>
    <m/>
    <m/>
    <s v=""/>
    <s v=""/>
    <s v=""/>
    <s v=""/>
    <s v=""/>
    <s v=""/>
    <s v=""/>
    <s v=""/>
    <s v=""/>
    <s v=""/>
    <x v="0"/>
    <x v="0"/>
  </r>
  <r>
    <s v=""/>
    <m/>
    <m/>
    <s v=""/>
    <m/>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0"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9:G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sd="0"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3">
    <i>
      <x/>
    </i>
    <i t="blank">
      <x/>
    </i>
    <i t="grand">
      <x/>
    </i>
  </rowItems>
  <colItems count="1">
    <i/>
  </colItems>
  <dataFields count="1">
    <dataField name="Sum of Actual Profit/Loss" fld="19" baseField="0" baseItem="0"/>
  </dataFields>
  <formats count="17">
    <format dxfId="80">
      <pivotArea type="all" dataOnly="0" outline="0" fieldPosition="0"/>
    </format>
    <format dxfId="79">
      <pivotArea type="all" dataOnly="0" outline="0" fieldPosition="0"/>
    </format>
    <format dxfId="78">
      <pivotArea outline="0" fieldPosition="0"/>
    </format>
    <format dxfId="77">
      <pivotArea dataOnly="0" labelOnly="1" grandRow="1" fieldPosition="0"/>
    </format>
    <format dxfId="76">
      <pivotArea field="26" type="button" dataOnly="0" labelOnly="1" outline="0" axis="axisRow" fieldPosition="0"/>
    </format>
    <format dxfId="75">
      <pivotArea field="25" type="button" dataOnly="0" labelOnly="1" outline="0" axis="axisRow" fieldPosition="1"/>
    </format>
    <format dxfId="74">
      <pivotArea type="all" dataOnly="0" outline="0" fieldPosition="0"/>
    </format>
    <format dxfId="73">
      <pivotArea dataOnly="0" grandCol="1" outline="0" axis="axisCol" fieldPosition="0"/>
    </format>
    <format dxfId="72">
      <pivotArea grandRow="1" outline="0" fieldPosition="0"/>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9: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v="1"/>
    </i>
    <i t="blank">
      <x/>
    </i>
    <i t="grand">
      <x/>
    </i>
  </rowItems>
  <colItems count="1">
    <i/>
  </colItems>
  <dataFields count="1">
    <dataField name="Sum of WinPips" fld="23" baseField="14" baseItem="1"/>
  </dataFields>
  <formats count="14">
    <format dxfId="94">
      <pivotArea type="all" dataOnly="0" outline="0" fieldPosition="0"/>
    </format>
    <format dxfId="93">
      <pivotArea type="all" dataOnly="0" outline="0" fieldPosition="0"/>
    </format>
    <format dxfId="92">
      <pivotArea type="all" dataOnly="0" outline="0" fieldPosition="0"/>
    </format>
    <format dxfId="91">
      <pivotArea outline="0" fieldPosition="0"/>
    </format>
    <format dxfId="90">
      <pivotArea type="all" dataOnly="0" outline="0" fieldPosition="0"/>
    </format>
    <format dxfId="89">
      <pivotArea dataOnly="0" grandRow="1" fieldPosition="0"/>
    </format>
    <format dxfId="88">
      <pivotArea dataOnly="0" labelOnly="1" grandRow="1" fieldPosition="0"/>
    </format>
    <format dxfId="87">
      <pivotArea field="26" type="button" dataOnly="0" labelOnly="1" outline="0" axis="axisRow" fieldPosition="0"/>
    </format>
    <format dxfId="86">
      <pivotArea field="25" type="button" dataOnly="0" labelOnly="1" outline="0" axis="axisRow" fieldPosition="1"/>
    </format>
    <format dxfId="85">
      <pivotArea field="25" type="button" dataOnly="0" labelOnly="1" outline="0" axis="axisRow" fieldPosition="1"/>
    </format>
    <format dxfId="84">
      <pivotArea field="26" type="button" dataOnly="0" labelOnly="1" outline="0" axis="axisRow" fieldPosition="0"/>
    </format>
    <format dxfId="83">
      <pivotArea type="all" dataOnly="0" outline="0" fieldPosition="0"/>
    </format>
    <format dxfId="82">
      <pivotArea dataOnly="0" grandCol="1" outline="0" axis="axisCol" fieldPosition="0"/>
    </format>
    <format dxfId="81">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pivotTables/pivotTable4.xml><?xml version="1.0" encoding="utf-8"?>
<pivotTableDefinition xmlns="http://schemas.openxmlformats.org/spreadsheetml/2006/main" name="数据透视表13"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v="1"/>
    </i>
    <i t="blank">
      <x/>
    </i>
    <i t="grand">
      <x/>
    </i>
  </rowItems>
  <colItems count="1">
    <i/>
  </colItems>
  <dataFields count="1">
    <dataField name="Sum of WinPips" fld="23" baseField="14" baseItem="1"/>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9"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m="1" x="1"/>
        <item x="0"/>
        <item t="default"/>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1">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ormat>
    <format dxfId="5">
      <pivotArea field="25" type="button" dataOnly="0" labelOnly="1" outline="0"/>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pivotTables/pivotTable6.xml><?xml version="1.0" encoding="utf-8"?>
<pivotTableDefinition xmlns="http://schemas.openxmlformats.org/spreadsheetml/2006/main" name="数据透视表12"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9"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m="1" x="1"/>
        <item x="0"/>
        <item t="default"/>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1">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ormat>
    <format dxfId="21">
      <pivotArea field="25" type="button" dataOnly="0" labelOnly="1" outline="0"/>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calendar.hexun.com/" TargetMode="External"/><Relationship Id="rId1" Type="http://schemas.openxmlformats.org/officeDocument/2006/relationships/hyperlink" Target="http://www.dailyfx.com.hk/calendar/index.html"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5" customWidth="1"/>
    <col min="2" max="2" width="91.8984375" style="56" customWidth="1"/>
    <col min="3" max="3" width="25.8984375" style="36" customWidth="1"/>
    <col min="4" max="4" width="38.09765625" style="36" customWidth="1"/>
    <col min="5" max="16384" width="38.09765625" style="28"/>
  </cols>
  <sheetData>
    <row r="1" spans="1:3" ht="18" customHeight="1">
      <c r="A1" s="65" t="s">
        <v>71</v>
      </c>
    </row>
    <row r="2" spans="1:3">
      <c r="A2" s="66" t="s">
        <v>72</v>
      </c>
    </row>
    <row r="3" spans="1:3">
      <c r="A3" s="66" t="s">
        <v>68</v>
      </c>
    </row>
    <row r="4" spans="1:3">
      <c r="A4" s="66" t="s">
        <v>69</v>
      </c>
    </row>
    <row r="5" spans="1:3">
      <c r="A5" s="66" t="s">
        <v>70</v>
      </c>
    </row>
    <row r="6" spans="1:3" ht="17.25" customHeight="1">
      <c r="A6" s="64"/>
      <c r="B6" s="57" t="s">
        <v>66</v>
      </c>
    </row>
    <row r="7" spans="1:3" ht="16.2">
      <c r="A7" s="67" t="s">
        <v>88</v>
      </c>
      <c r="B7" s="58" t="s">
        <v>65</v>
      </c>
    </row>
    <row r="9" spans="1:3" ht="16.2">
      <c r="A9" s="67" t="s">
        <v>89</v>
      </c>
      <c r="B9" s="60" t="s">
        <v>93</v>
      </c>
      <c r="C9" s="68"/>
    </row>
    <row r="10" spans="1:3">
      <c r="B10" s="62" t="s">
        <v>94</v>
      </c>
      <c r="C10" s="69"/>
    </row>
    <row r="11" spans="1:3">
      <c r="B11" s="62" t="s">
        <v>95</v>
      </c>
      <c r="C11" s="69"/>
    </row>
    <row r="12" spans="1:3">
      <c r="B12" s="61"/>
      <c r="C12" s="68"/>
    </row>
    <row r="13" spans="1:3">
      <c r="B13" s="62" t="s">
        <v>75</v>
      </c>
      <c r="C13" s="69"/>
    </row>
    <row r="14" spans="1:3">
      <c r="B14" s="62" t="s">
        <v>96</v>
      </c>
      <c r="C14" s="69"/>
    </row>
    <row r="15" spans="1:3">
      <c r="B15" s="62" t="s">
        <v>97</v>
      </c>
      <c r="C15" s="69"/>
    </row>
    <row r="16" spans="1:3">
      <c r="B16" s="62" t="s">
        <v>73</v>
      </c>
      <c r="C16" s="69"/>
    </row>
    <row r="17" spans="2:3">
      <c r="B17" s="61"/>
      <c r="C17" s="68"/>
    </row>
    <row r="18" spans="2:3">
      <c r="B18" s="62" t="s">
        <v>98</v>
      </c>
      <c r="C18" s="69"/>
    </row>
    <row r="19" spans="2:3">
      <c r="B19" s="62" t="s">
        <v>99</v>
      </c>
      <c r="C19" s="69"/>
    </row>
    <row r="20" spans="2:3">
      <c r="B20" s="62" t="s">
        <v>100</v>
      </c>
      <c r="C20" s="69"/>
    </row>
    <row r="21" spans="2:3">
      <c r="B21" s="62" t="s">
        <v>101</v>
      </c>
      <c r="C21" s="69"/>
    </row>
    <row r="23" spans="2:3">
      <c r="B23" s="60" t="s">
        <v>67</v>
      </c>
    </row>
    <row r="24" spans="2:3">
      <c r="B24" s="62"/>
    </row>
    <row r="25" spans="2:3">
      <c r="B25" s="62"/>
    </row>
    <row r="26" spans="2:3">
      <c r="B26" s="62"/>
    </row>
    <row r="27" spans="2:3">
      <c r="B27" s="62"/>
    </row>
    <row r="28" spans="2:3">
      <c r="B28" s="62"/>
    </row>
    <row r="29" spans="2:3">
      <c r="B29" s="63"/>
    </row>
    <row r="30" spans="2:3">
      <c r="B30" s="63"/>
    </row>
    <row r="31" spans="2:3">
      <c r="B31" s="63"/>
    </row>
    <row r="32" spans="2:3">
      <c r="B32" s="63"/>
    </row>
    <row r="33" spans="2:2">
      <c r="B33" s="63"/>
    </row>
    <row r="34" spans="2:2">
      <c r="B34" s="63"/>
    </row>
    <row r="35" spans="2:2">
      <c r="B35" s="59"/>
    </row>
    <row r="36" spans="2:2">
      <c r="B36" s="59"/>
    </row>
    <row r="37" spans="2:2">
      <c r="B37" s="59"/>
    </row>
    <row r="38" spans="2:2">
      <c r="B38" s="59"/>
    </row>
    <row r="39" spans="2:2">
      <c r="B39" s="59"/>
    </row>
  </sheetData>
  <sheetProtection password="CC6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D9" sqref="D9"/>
    </sheetView>
  </sheetViews>
  <sheetFormatPr defaultColWidth="9" defaultRowHeight="12"/>
  <cols>
    <col min="1" max="1" width="7.69921875" style="1" customWidth="1"/>
    <col min="2" max="2" width="4.69921875" style="1" customWidth="1"/>
    <col min="3" max="3" width="7.8984375" style="1" customWidth="1"/>
    <col min="4" max="4" width="11.09765625" style="5" customWidth="1"/>
    <col min="5" max="5" width="11.5" style="38" customWidth="1"/>
    <col min="6" max="6" width="10.69921875" style="38" customWidth="1"/>
    <col min="7" max="7" width="11.69921875" style="38" customWidth="1"/>
    <col min="8" max="13" width="9" style="39"/>
    <col min="14" max="15" width="0" style="39" hidden="1" customWidth="1"/>
    <col min="16" max="16384" width="9" style="39"/>
  </cols>
  <sheetData>
    <row r="1" spans="1:15" s="51" customFormat="1" ht="14.25" customHeight="1">
      <c r="A1" s="232" t="s">
        <v>112</v>
      </c>
      <c r="B1" s="233"/>
      <c r="C1" s="233"/>
      <c r="D1" s="229" t="s">
        <v>76</v>
      </c>
      <c r="E1" s="229"/>
      <c r="F1" s="230">
        <v>0</v>
      </c>
      <c r="G1" s="231"/>
      <c r="N1" s="51" t="s">
        <v>62</v>
      </c>
      <c r="O1" s="51" t="s">
        <v>63</v>
      </c>
    </row>
    <row r="2" spans="1:15" s="51" customFormat="1" ht="15" customHeight="1">
      <c r="A2" s="233"/>
      <c r="B2" s="233"/>
      <c r="C2" s="233"/>
      <c r="D2" s="236"/>
      <c r="E2" s="237"/>
      <c r="F2" s="238"/>
      <c r="G2" s="236"/>
    </row>
    <row r="3" spans="1:15" s="51" customFormat="1" ht="13.5" customHeight="1">
      <c r="A3" s="233"/>
      <c r="B3" s="233"/>
      <c r="C3" s="233"/>
      <c r="D3" s="236" t="s">
        <v>77</v>
      </c>
      <c r="E3" s="236"/>
      <c r="F3" s="238">
        <v>200</v>
      </c>
      <c r="G3" s="238"/>
    </row>
    <row r="4" spans="1:15" s="51" customFormat="1" ht="15.75" customHeight="1">
      <c r="A4" s="233"/>
      <c r="B4" s="233"/>
      <c r="C4" s="233"/>
      <c r="D4" s="236" t="s">
        <v>64</v>
      </c>
      <c r="E4" s="236"/>
      <c r="F4" s="238">
        <f>SUM(G9:G502)</f>
        <v>0</v>
      </c>
      <c r="G4" s="238"/>
    </row>
    <row r="5" spans="1:15" s="51" customFormat="1" ht="14.25" customHeight="1">
      <c r="A5" s="233"/>
      <c r="B5" s="233"/>
      <c r="C5" s="233"/>
    </row>
    <row r="6" spans="1:15" s="51" customFormat="1" ht="13.5" hidden="1" customHeight="1">
      <c r="A6" s="53"/>
      <c r="B6" s="53"/>
      <c r="C6" s="53"/>
      <c r="D6" s="54"/>
      <c r="E6" s="52"/>
      <c r="F6" s="54"/>
      <c r="G6" s="54"/>
    </row>
    <row r="7" spans="1:15" s="49" customFormat="1" ht="27" customHeight="1">
      <c r="A7" s="234" t="s">
        <v>61</v>
      </c>
      <c r="B7" s="235"/>
      <c r="C7" s="235"/>
      <c r="D7" s="235"/>
      <c r="E7" s="235"/>
      <c r="F7" s="235"/>
      <c r="G7" s="235"/>
      <c r="J7" s="49" t="s">
        <v>42</v>
      </c>
    </row>
    <row r="8" spans="1:15" s="41" customFormat="1" ht="26.25" customHeight="1">
      <c r="A8" s="2" t="s">
        <v>38</v>
      </c>
      <c r="B8" s="2" t="s">
        <v>39</v>
      </c>
      <c r="C8" s="2" t="s">
        <v>40</v>
      </c>
      <c r="D8" s="50" t="s">
        <v>60</v>
      </c>
      <c r="E8" s="37" t="s">
        <v>50</v>
      </c>
      <c r="F8" s="37" t="s">
        <v>49</v>
      </c>
      <c r="G8" s="37" t="s">
        <v>48</v>
      </c>
    </row>
    <row r="9" spans="1:15">
      <c r="A9" s="1">
        <f>IF(C9="","",1)</f>
        <v>1</v>
      </c>
      <c r="B9" s="1">
        <f t="shared" ref="B9" si="0">IF(D9="","",YEAR(D9))</f>
        <v>2015</v>
      </c>
      <c r="C9" s="1">
        <f t="shared" ref="C9" si="1">IF(D9="","",MONTH(D9))</f>
        <v>1</v>
      </c>
      <c r="D9" s="5">
        <v>42013.643333333333</v>
      </c>
      <c r="F9" s="38">
        <v>200</v>
      </c>
      <c r="H9" s="171" t="s">
        <v>133</v>
      </c>
      <c r="I9" s="205">
        <v>878340</v>
      </c>
    </row>
    <row r="10" spans="1:15">
      <c r="A10" s="1" t="str">
        <f t="shared" ref="A10:A73" si="2">IF(C10="","",A9+1)</f>
        <v/>
      </c>
      <c r="B10" s="1" t="str">
        <f t="shared" ref="B10:B73" si="3">IF(D10="","",YEAR(D10))</f>
        <v/>
      </c>
      <c r="C10" s="1" t="str">
        <f t="shared" ref="C10:C73" si="4">IF(D10="","",MONTH(D10))</f>
        <v/>
      </c>
      <c r="D10" s="134"/>
      <c r="H10" s="171"/>
      <c r="I10" s="205"/>
    </row>
    <row r="11" spans="1:15">
      <c r="A11" s="1" t="str">
        <f t="shared" si="2"/>
        <v/>
      </c>
      <c r="B11" s="1" t="str">
        <f t="shared" si="3"/>
        <v/>
      </c>
      <c r="C11" s="1" t="str">
        <f t="shared" si="4"/>
        <v/>
      </c>
      <c r="D11" s="134"/>
    </row>
    <row r="12" spans="1:15">
      <c r="A12" s="1" t="str">
        <f t="shared" si="2"/>
        <v/>
      </c>
      <c r="B12" s="1" t="str">
        <f t="shared" si="3"/>
        <v/>
      </c>
      <c r="C12" s="1" t="str">
        <f t="shared" si="4"/>
        <v/>
      </c>
    </row>
    <row r="13" spans="1:15">
      <c r="A13" s="1" t="str">
        <f t="shared" si="2"/>
        <v/>
      </c>
      <c r="B13" s="1" t="str">
        <f t="shared" si="3"/>
        <v/>
      </c>
      <c r="C13" s="1" t="str">
        <f t="shared" si="4"/>
        <v/>
      </c>
    </row>
    <row r="14" spans="1:15">
      <c r="A14" s="1" t="str">
        <f t="shared" si="2"/>
        <v/>
      </c>
      <c r="B14" s="1" t="str">
        <f t="shared" si="3"/>
        <v/>
      </c>
      <c r="C14" s="1" t="str">
        <f t="shared" si="4"/>
        <v/>
      </c>
    </row>
    <row r="15" spans="1:15">
      <c r="A15" s="1" t="str">
        <f t="shared" si="2"/>
        <v/>
      </c>
      <c r="B15" s="1" t="str">
        <f t="shared" si="3"/>
        <v/>
      </c>
      <c r="C15" s="1" t="str">
        <f t="shared" si="4"/>
        <v/>
      </c>
    </row>
    <row r="16" spans="1:15">
      <c r="A16" s="1" t="str">
        <f t="shared" si="2"/>
        <v/>
      </c>
      <c r="B16" s="1" t="str">
        <f t="shared" si="3"/>
        <v/>
      </c>
      <c r="C16" s="1" t="str">
        <f t="shared" si="4"/>
        <v/>
      </c>
    </row>
    <row r="17" spans="1:3">
      <c r="A17" s="1" t="str">
        <f t="shared" si="2"/>
        <v/>
      </c>
      <c r="B17" s="1" t="str">
        <f t="shared" si="3"/>
        <v/>
      </c>
      <c r="C17" s="1" t="str">
        <f t="shared" si="4"/>
        <v/>
      </c>
    </row>
    <row r="18" spans="1:3">
      <c r="A18" s="1" t="str">
        <f t="shared" si="2"/>
        <v/>
      </c>
      <c r="B18" s="1" t="str">
        <f t="shared" si="3"/>
        <v/>
      </c>
      <c r="C18" s="1" t="str">
        <f t="shared" si="4"/>
        <v/>
      </c>
    </row>
    <row r="19" spans="1:3">
      <c r="A19" s="1" t="str">
        <f t="shared" si="2"/>
        <v/>
      </c>
      <c r="B19" s="1" t="str">
        <f t="shared" si="3"/>
        <v/>
      </c>
      <c r="C19" s="1" t="str">
        <f t="shared" si="4"/>
        <v/>
      </c>
    </row>
    <row r="20" spans="1:3">
      <c r="A20" s="1" t="str">
        <f t="shared" si="2"/>
        <v/>
      </c>
      <c r="B20" s="1" t="str">
        <f t="shared" si="3"/>
        <v/>
      </c>
      <c r="C20" s="1" t="str">
        <f t="shared" si="4"/>
        <v/>
      </c>
    </row>
    <row r="21" spans="1:3">
      <c r="A21" s="1" t="str">
        <f t="shared" si="2"/>
        <v/>
      </c>
      <c r="B21" s="1" t="str">
        <f t="shared" si="3"/>
        <v/>
      </c>
      <c r="C21" s="1" t="str">
        <f t="shared" si="4"/>
        <v/>
      </c>
    </row>
    <row r="22" spans="1:3">
      <c r="A22" s="1" t="str">
        <f t="shared" si="2"/>
        <v/>
      </c>
      <c r="B22" s="1" t="str">
        <f t="shared" si="3"/>
        <v/>
      </c>
      <c r="C22" s="1" t="str">
        <f t="shared" si="4"/>
        <v/>
      </c>
    </row>
    <row r="23" spans="1:3">
      <c r="A23" s="1" t="str">
        <f t="shared" si="2"/>
        <v/>
      </c>
      <c r="B23" s="1" t="str">
        <f t="shared" si="3"/>
        <v/>
      </c>
      <c r="C23" s="1" t="str">
        <f t="shared" si="4"/>
        <v/>
      </c>
    </row>
    <row r="24" spans="1:3">
      <c r="A24" s="1" t="str">
        <f t="shared" si="2"/>
        <v/>
      </c>
      <c r="B24" s="1" t="str">
        <f t="shared" si="3"/>
        <v/>
      </c>
      <c r="C24" s="1" t="str">
        <f t="shared" si="4"/>
        <v/>
      </c>
    </row>
    <row r="25" spans="1:3">
      <c r="A25" s="1" t="str">
        <f t="shared" si="2"/>
        <v/>
      </c>
      <c r="B25" s="1" t="str">
        <f t="shared" si="3"/>
        <v/>
      </c>
      <c r="C25" s="1" t="str">
        <f t="shared" si="4"/>
        <v/>
      </c>
    </row>
    <row r="26" spans="1:3">
      <c r="A26" s="1" t="str">
        <f t="shared" si="2"/>
        <v/>
      </c>
      <c r="B26" s="1" t="str">
        <f t="shared" si="3"/>
        <v/>
      </c>
      <c r="C26" s="1" t="str">
        <f t="shared" si="4"/>
        <v/>
      </c>
    </row>
    <row r="27" spans="1:3">
      <c r="A27" s="1" t="str">
        <f t="shared" si="2"/>
        <v/>
      </c>
      <c r="B27" s="1" t="str">
        <f t="shared" si="3"/>
        <v/>
      </c>
      <c r="C27" s="1" t="str">
        <f t="shared" si="4"/>
        <v/>
      </c>
    </row>
    <row r="28" spans="1:3">
      <c r="A28" s="1" t="str">
        <f t="shared" si="2"/>
        <v/>
      </c>
      <c r="B28" s="1" t="str">
        <f t="shared" si="3"/>
        <v/>
      </c>
      <c r="C28" s="1" t="str">
        <f t="shared" si="4"/>
        <v/>
      </c>
    </row>
    <row r="29" spans="1:3">
      <c r="A29" s="1" t="str">
        <f t="shared" si="2"/>
        <v/>
      </c>
      <c r="B29" s="1" t="str">
        <f t="shared" si="3"/>
        <v/>
      </c>
      <c r="C29" s="1" t="str">
        <f t="shared" si="4"/>
        <v/>
      </c>
    </row>
    <row r="30" spans="1:3">
      <c r="A30" s="1" t="str">
        <f t="shared" si="2"/>
        <v/>
      </c>
      <c r="B30" s="1" t="str">
        <f t="shared" si="3"/>
        <v/>
      </c>
      <c r="C30" s="1" t="str">
        <f t="shared" si="4"/>
        <v/>
      </c>
    </row>
    <row r="31" spans="1:3">
      <c r="A31" s="1" t="str">
        <f t="shared" si="2"/>
        <v/>
      </c>
      <c r="B31" s="1" t="str">
        <f t="shared" si="3"/>
        <v/>
      </c>
      <c r="C31" s="1" t="str">
        <f t="shared" si="4"/>
        <v/>
      </c>
    </row>
    <row r="32" spans="1:3">
      <c r="A32" s="1" t="str">
        <f t="shared" si="2"/>
        <v/>
      </c>
      <c r="B32" s="1" t="str">
        <f t="shared" si="3"/>
        <v/>
      </c>
      <c r="C32" s="1" t="str">
        <f t="shared" si="4"/>
        <v/>
      </c>
    </row>
    <row r="33" spans="1:3">
      <c r="A33" s="1" t="str">
        <f t="shared" si="2"/>
        <v/>
      </c>
      <c r="B33" s="1" t="str">
        <f t="shared" si="3"/>
        <v/>
      </c>
      <c r="C33" s="1" t="str">
        <f t="shared" si="4"/>
        <v/>
      </c>
    </row>
    <row r="34" spans="1:3">
      <c r="A34" s="1" t="str">
        <f t="shared" si="2"/>
        <v/>
      </c>
      <c r="B34" s="1" t="str">
        <f t="shared" si="3"/>
        <v/>
      </c>
      <c r="C34" s="1" t="str">
        <f t="shared" si="4"/>
        <v/>
      </c>
    </row>
    <row r="35" spans="1:3">
      <c r="A35" s="1" t="str">
        <f t="shared" si="2"/>
        <v/>
      </c>
      <c r="B35" s="1" t="str">
        <f t="shared" si="3"/>
        <v/>
      </c>
      <c r="C35" s="1" t="str">
        <f t="shared" si="4"/>
        <v/>
      </c>
    </row>
    <row r="36" spans="1:3">
      <c r="A36" s="1" t="str">
        <f t="shared" si="2"/>
        <v/>
      </c>
      <c r="B36" s="1" t="str">
        <f t="shared" si="3"/>
        <v/>
      </c>
      <c r="C36" s="1" t="str">
        <f t="shared" si="4"/>
        <v/>
      </c>
    </row>
    <row r="37" spans="1:3">
      <c r="A37" s="1" t="str">
        <f t="shared" si="2"/>
        <v/>
      </c>
      <c r="B37" s="1" t="str">
        <f t="shared" si="3"/>
        <v/>
      </c>
      <c r="C37" s="1" t="str">
        <f t="shared" si="4"/>
        <v/>
      </c>
    </row>
    <row r="38" spans="1:3">
      <c r="A38" s="1" t="str">
        <f t="shared" si="2"/>
        <v/>
      </c>
      <c r="B38" s="1" t="str">
        <f t="shared" si="3"/>
        <v/>
      </c>
      <c r="C38" s="1" t="str">
        <f t="shared" si="4"/>
        <v/>
      </c>
    </row>
    <row r="39" spans="1:3">
      <c r="A39" s="1" t="str">
        <f t="shared" si="2"/>
        <v/>
      </c>
      <c r="B39" s="1" t="str">
        <f t="shared" si="3"/>
        <v/>
      </c>
      <c r="C39" s="1" t="str">
        <f t="shared" si="4"/>
        <v/>
      </c>
    </row>
    <row r="40" spans="1:3">
      <c r="A40" s="1" t="str">
        <f t="shared" si="2"/>
        <v/>
      </c>
      <c r="B40" s="1" t="str">
        <f t="shared" si="3"/>
        <v/>
      </c>
      <c r="C40" s="1" t="str">
        <f t="shared" si="4"/>
        <v/>
      </c>
    </row>
    <row r="41" spans="1:3">
      <c r="A41" s="1" t="str">
        <f t="shared" si="2"/>
        <v/>
      </c>
      <c r="B41" s="1" t="str">
        <f t="shared" si="3"/>
        <v/>
      </c>
      <c r="C41" s="1" t="str">
        <f t="shared" si="4"/>
        <v/>
      </c>
    </row>
    <row r="42" spans="1:3">
      <c r="A42" s="1" t="str">
        <f t="shared" si="2"/>
        <v/>
      </c>
      <c r="B42" s="1" t="str">
        <f t="shared" si="3"/>
        <v/>
      </c>
      <c r="C42" s="1" t="str">
        <f t="shared" si="4"/>
        <v/>
      </c>
    </row>
    <row r="43" spans="1:3">
      <c r="A43" s="1" t="str">
        <f t="shared" si="2"/>
        <v/>
      </c>
      <c r="B43" s="1" t="str">
        <f t="shared" si="3"/>
        <v/>
      </c>
      <c r="C43" s="1" t="str">
        <f t="shared" si="4"/>
        <v/>
      </c>
    </row>
    <row r="44" spans="1:3">
      <c r="A44" s="1" t="str">
        <f t="shared" si="2"/>
        <v/>
      </c>
      <c r="B44" s="1" t="str">
        <f t="shared" si="3"/>
        <v/>
      </c>
      <c r="C44" s="1" t="str">
        <f t="shared" si="4"/>
        <v/>
      </c>
    </row>
    <row r="45" spans="1:3">
      <c r="A45" s="1" t="str">
        <f t="shared" si="2"/>
        <v/>
      </c>
      <c r="B45" s="1" t="str">
        <f t="shared" si="3"/>
        <v/>
      </c>
      <c r="C45" s="1" t="str">
        <f t="shared" si="4"/>
        <v/>
      </c>
    </row>
    <row r="46" spans="1:3">
      <c r="A46" s="1" t="str">
        <f t="shared" si="2"/>
        <v/>
      </c>
      <c r="B46" s="1" t="str">
        <f t="shared" si="3"/>
        <v/>
      </c>
      <c r="C46" s="1" t="str">
        <f t="shared" si="4"/>
        <v/>
      </c>
    </row>
    <row r="47" spans="1:3">
      <c r="A47" s="1" t="str">
        <f t="shared" si="2"/>
        <v/>
      </c>
      <c r="B47" s="1" t="str">
        <f t="shared" si="3"/>
        <v/>
      </c>
      <c r="C47" s="1" t="str">
        <f t="shared" si="4"/>
        <v/>
      </c>
    </row>
    <row r="48" spans="1:3">
      <c r="A48" s="1" t="str">
        <f t="shared" si="2"/>
        <v/>
      </c>
      <c r="B48" s="1" t="str">
        <f t="shared" si="3"/>
        <v/>
      </c>
      <c r="C48" s="1" t="str">
        <f t="shared" si="4"/>
        <v/>
      </c>
    </row>
    <row r="49" spans="1:3">
      <c r="A49" s="1" t="str">
        <f t="shared" si="2"/>
        <v/>
      </c>
      <c r="B49" s="1" t="str">
        <f t="shared" si="3"/>
        <v/>
      </c>
      <c r="C49" s="1" t="str">
        <f t="shared" si="4"/>
        <v/>
      </c>
    </row>
    <row r="50" spans="1:3">
      <c r="A50" s="1" t="str">
        <f t="shared" si="2"/>
        <v/>
      </c>
      <c r="B50" s="1" t="str">
        <f t="shared" si="3"/>
        <v/>
      </c>
      <c r="C50" s="1" t="str">
        <f t="shared" si="4"/>
        <v/>
      </c>
    </row>
    <row r="51" spans="1:3">
      <c r="A51" s="1" t="str">
        <f t="shared" si="2"/>
        <v/>
      </c>
      <c r="B51" s="1" t="str">
        <f t="shared" si="3"/>
        <v/>
      </c>
      <c r="C51" s="1" t="str">
        <f t="shared" si="4"/>
        <v/>
      </c>
    </row>
    <row r="52" spans="1:3">
      <c r="A52" s="1" t="str">
        <f t="shared" si="2"/>
        <v/>
      </c>
      <c r="B52" s="1" t="str">
        <f t="shared" si="3"/>
        <v/>
      </c>
      <c r="C52" s="1" t="str">
        <f t="shared" si="4"/>
        <v/>
      </c>
    </row>
    <row r="53" spans="1:3">
      <c r="A53" s="1" t="str">
        <f t="shared" si="2"/>
        <v/>
      </c>
      <c r="B53" s="1" t="str">
        <f t="shared" si="3"/>
        <v/>
      </c>
      <c r="C53" s="1" t="str">
        <f t="shared" si="4"/>
        <v/>
      </c>
    </row>
    <row r="54" spans="1:3">
      <c r="A54" s="1" t="str">
        <f t="shared" si="2"/>
        <v/>
      </c>
      <c r="B54" s="1" t="str">
        <f t="shared" si="3"/>
        <v/>
      </c>
      <c r="C54" s="1" t="str">
        <f t="shared" si="4"/>
        <v/>
      </c>
    </row>
    <row r="55" spans="1:3">
      <c r="A55" s="1" t="str">
        <f t="shared" si="2"/>
        <v/>
      </c>
      <c r="B55" s="1" t="str">
        <f t="shared" si="3"/>
        <v/>
      </c>
      <c r="C55" s="1" t="str">
        <f t="shared" si="4"/>
        <v/>
      </c>
    </row>
    <row r="56" spans="1:3">
      <c r="A56" s="1" t="str">
        <f t="shared" si="2"/>
        <v/>
      </c>
      <c r="B56" s="1" t="str">
        <f t="shared" si="3"/>
        <v/>
      </c>
      <c r="C56" s="1" t="str">
        <f t="shared" si="4"/>
        <v/>
      </c>
    </row>
    <row r="57" spans="1:3">
      <c r="A57" s="1" t="str">
        <f t="shared" si="2"/>
        <v/>
      </c>
      <c r="B57" s="1" t="str">
        <f t="shared" si="3"/>
        <v/>
      </c>
      <c r="C57" s="1" t="str">
        <f t="shared" si="4"/>
        <v/>
      </c>
    </row>
    <row r="58" spans="1:3">
      <c r="A58" s="1" t="str">
        <f t="shared" si="2"/>
        <v/>
      </c>
      <c r="B58" s="1" t="str">
        <f t="shared" si="3"/>
        <v/>
      </c>
      <c r="C58" s="1" t="str">
        <f t="shared" si="4"/>
        <v/>
      </c>
    </row>
    <row r="59" spans="1:3">
      <c r="A59" s="1" t="str">
        <f t="shared" si="2"/>
        <v/>
      </c>
      <c r="B59" s="1" t="str">
        <f t="shared" si="3"/>
        <v/>
      </c>
      <c r="C59" s="1" t="str">
        <f t="shared" si="4"/>
        <v/>
      </c>
    </row>
    <row r="60" spans="1:3">
      <c r="A60" s="1" t="str">
        <f t="shared" si="2"/>
        <v/>
      </c>
      <c r="B60" s="1" t="str">
        <f t="shared" si="3"/>
        <v/>
      </c>
      <c r="C60" s="1" t="str">
        <f t="shared" si="4"/>
        <v/>
      </c>
    </row>
    <row r="61" spans="1:3">
      <c r="A61" s="1" t="str">
        <f t="shared" si="2"/>
        <v/>
      </c>
      <c r="B61" s="1" t="str">
        <f t="shared" si="3"/>
        <v/>
      </c>
      <c r="C61" s="1" t="str">
        <f t="shared" si="4"/>
        <v/>
      </c>
    </row>
    <row r="62" spans="1:3">
      <c r="A62" s="1" t="str">
        <f t="shared" si="2"/>
        <v/>
      </c>
      <c r="B62" s="1" t="str">
        <f t="shared" si="3"/>
        <v/>
      </c>
      <c r="C62" s="1" t="str">
        <f t="shared" si="4"/>
        <v/>
      </c>
    </row>
    <row r="63" spans="1:3">
      <c r="A63" s="1" t="str">
        <f t="shared" si="2"/>
        <v/>
      </c>
      <c r="B63" s="1" t="str">
        <f t="shared" si="3"/>
        <v/>
      </c>
      <c r="C63" s="1" t="str">
        <f t="shared" si="4"/>
        <v/>
      </c>
    </row>
    <row r="64" spans="1:3">
      <c r="A64" s="1" t="str">
        <f t="shared" si="2"/>
        <v/>
      </c>
      <c r="B64" s="1" t="str">
        <f t="shared" si="3"/>
        <v/>
      </c>
      <c r="C64" s="1" t="str">
        <f t="shared" si="4"/>
        <v/>
      </c>
    </row>
    <row r="65" spans="1:3">
      <c r="A65" s="1" t="str">
        <f t="shared" si="2"/>
        <v/>
      </c>
      <c r="B65" s="1" t="str">
        <f t="shared" si="3"/>
        <v/>
      </c>
      <c r="C65" s="1" t="str">
        <f t="shared" si="4"/>
        <v/>
      </c>
    </row>
    <row r="66" spans="1:3">
      <c r="A66" s="1" t="str">
        <f t="shared" si="2"/>
        <v/>
      </c>
      <c r="B66" s="1" t="str">
        <f t="shared" si="3"/>
        <v/>
      </c>
      <c r="C66" s="1" t="str">
        <f t="shared" si="4"/>
        <v/>
      </c>
    </row>
    <row r="67" spans="1:3">
      <c r="A67" s="1" t="str">
        <f t="shared" si="2"/>
        <v/>
      </c>
      <c r="B67" s="1" t="str">
        <f t="shared" si="3"/>
        <v/>
      </c>
      <c r="C67" s="1" t="str">
        <f t="shared" si="4"/>
        <v/>
      </c>
    </row>
    <row r="68" spans="1:3">
      <c r="A68" s="1" t="str">
        <f t="shared" si="2"/>
        <v/>
      </c>
      <c r="B68" s="1" t="str">
        <f t="shared" si="3"/>
        <v/>
      </c>
      <c r="C68" s="1" t="str">
        <f t="shared" si="4"/>
        <v/>
      </c>
    </row>
    <row r="69" spans="1:3">
      <c r="A69" s="1" t="str">
        <f t="shared" si="2"/>
        <v/>
      </c>
      <c r="B69" s="1" t="str">
        <f t="shared" si="3"/>
        <v/>
      </c>
      <c r="C69" s="1" t="str">
        <f t="shared" si="4"/>
        <v/>
      </c>
    </row>
    <row r="70" spans="1:3">
      <c r="A70" s="1" t="str">
        <f t="shared" si="2"/>
        <v/>
      </c>
      <c r="B70" s="1" t="str">
        <f t="shared" si="3"/>
        <v/>
      </c>
      <c r="C70" s="1" t="str">
        <f t="shared" si="4"/>
        <v/>
      </c>
    </row>
    <row r="71" spans="1:3">
      <c r="A71" s="1" t="str">
        <f t="shared" si="2"/>
        <v/>
      </c>
      <c r="B71" s="1" t="str">
        <f t="shared" si="3"/>
        <v/>
      </c>
      <c r="C71" s="1" t="str">
        <f t="shared" si="4"/>
        <v/>
      </c>
    </row>
    <row r="72" spans="1:3">
      <c r="A72" s="1" t="str">
        <f t="shared" si="2"/>
        <v/>
      </c>
      <c r="B72" s="1" t="str">
        <f t="shared" si="3"/>
        <v/>
      </c>
      <c r="C72" s="1" t="str">
        <f t="shared" si="4"/>
        <v/>
      </c>
    </row>
    <row r="73" spans="1:3">
      <c r="A73" s="1" t="str">
        <f t="shared" si="2"/>
        <v/>
      </c>
      <c r="B73" s="1" t="str">
        <f t="shared" si="3"/>
        <v/>
      </c>
      <c r="C73" s="1" t="str">
        <f t="shared" si="4"/>
        <v/>
      </c>
    </row>
    <row r="74" spans="1:3">
      <c r="A74" s="1" t="str">
        <f t="shared" ref="A74:A137" si="5">IF(C74="","",A73+1)</f>
        <v/>
      </c>
      <c r="B74" s="1" t="str">
        <f t="shared" ref="B74:B137" si="6">IF(D74="","",YEAR(D74))</f>
        <v/>
      </c>
      <c r="C74" s="1" t="str">
        <f t="shared" ref="C74:C137" si="7">IF(D74="","",MONTH(D74))</f>
        <v/>
      </c>
    </row>
    <row r="75" spans="1:3">
      <c r="A75" s="1" t="str">
        <f t="shared" si="5"/>
        <v/>
      </c>
      <c r="B75" s="1" t="str">
        <f t="shared" si="6"/>
        <v/>
      </c>
      <c r="C75" s="1" t="str">
        <f t="shared" si="7"/>
        <v/>
      </c>
    </row>
    <row r="76" spans="1:3">
      <c r="A76" s="1" t="str">
        <f t="shared" si="5"/>
        <v/>
      </c>
      <c r="B76" s="1" t="str">
        <f t="shared" si="6"/>
        <v/>
      </c>
      <c r="C76" s="1" t="str">
        <f t="shared" si="7"/>
        <v/>
      </c>
    </row>
    <row r="77" spans="1:3">
      <c r="A77" s="1" t="str">
        <f t="shared" si="5"/>
        <v/>
      </c>
      <c r="B77" s="1" t="str">
        <f t="shared" si="6"/>
        <v/>
      </c>
      <c r="C77" s="1" t="str">
        <f t="shared" si="7"/>
        <v/>
      </c>
    </row>
    <row r="78" spans="1:3">
      <c r="A78" s="1" t="str">
        <f t="shared" si="5"/>
        <v/>
      </c>
      <c r="B78" s="1" t="str">
        <f t="shared" si="6"/>
        <v/>
      </c>
      <c r="C78" s="1" t="str">
        <f t="shared" si="7"/>
        <v/>
      </c>
    </row>
    <row r="79" spans="1:3">
      <c r="A79" s="1" t="str">
        <f t="shared" si="5"/>
        <v/>
      </c>
      <c r="B79" s="1" t="str">
        <f t="shared" si="6"/>
        <v/>
      </c>
      <c r="C79" s="1" t="str">
        <f t="shared" si="7"/>
        <v/>
      </c>
    </row>
    <row r="80" spans="1:3">
      <c r="A80" s="1" t="str">
        <f t="shared" si="5"/>
        <v/>
      </c>
      <c r="B80" s="1" t="str">
        <f t="shared" si="6"/>
        <v/>
      </c>
      <c r="C80" s="1" t="str">
        <f t="shared" si="7"/>
        <v/>
      </c>
    </row>
    <row r="81" spans="1:3">
      <c r="A81" s="1" t="str">
        <f t="shared" si="5"/>
        <v/>
      </c>
      <c r="B81" s="1" t="str">
        <f t="shared" si="6"/>
        <v/>
      </c>
      <c r="C81" s="1" t="str">
        <f t="shared" si="7"/>
        <v/>
      </c>
    </row>
    <row r="82" spans="1:3">
      <c r="A82" s="1" t="str">
        <f t="shared" si="5"/>
        <v/>
      </c>
      <c r="B82" s="1" t="str">
        <f t="shared" si="6"/>
        <v/>
      </c>
      <c r="C82" s="1" t="str">
        <f t="shared" si="7"/>
        <v/>
      </c>
    </row>
    <row r="83" spans="1:3">
      <c r="A83" s="1" t="str">
        <f t="shared" si="5"/>
        <v/>
      </c>
      <c r="B83" s="1" t="str">
        <f t="shared" si="6"/>
        <v/>
      </c>
      <c r="C83" s="1" t="str">
        <f t="shared" si="7"/>
        <v/>
      </c>
    </row>
    <row r="84" spans="1:3">
      <c r="A84" s="1" t="str">
        <f t="shared" si="5"/>
        <v/>
      </c>
      <c r="B84" s="1" t="str">
        <f t="shared" si="6"/>
        <v/>
      </c>
      <c r="C84" s="1" t="str">
        <f t="shared" si="7"/>
        <v/>
      </c>
    </row>
    <row r="85" spans="1:3">
      <c r="A85" s="1" t="str">
        <f t="shared" si="5"/>
        <v/>
      </c>
      <c r="B85" s="1" t="str">
        <f t="shared" si="6"/>
        <v/>
      </c>
      <c r="C85" s="1" t="str">
        <f t="shared" si="7"/>
        <v/>
      </c>
    </row>
    <row r="86" spans="1:3">
      <c r="A86" s="1" t="str">
        <f t="shared" si="5"/>
        <v/>
      </c>
      <c r="B86" s="1" t="str">
        <f t="shared" si="6"/>
        <v/>
      </c>
      <c r="C86" s="1" t="str">
        <f t="shared" si="7"/>
        <v/>
      </c>
    </row>
    <row r="87" spans="1:3">
      <c r="A87" s="1" t="str">
        <f t="shared" si="5"/>
        <v/>
      </c>
      <c r="B87" s="1" t="str">
        <f t="shared" si="6"/>
        <v/>
      </c>
      <c r="C87" s="1" t="str">
        <f t="shared" si="7"/>
        <v/>
      </c>
    </row>
    <row r="88" spans="1:3">
      <c r="A88" s="1" t="str">
        <f t="shared" si="5"/>
        <v/>
      </c>
      <c r="B88" s="1" t="str">
        <f t="shared" si="6"/>
        <v/>
      </c>
      <c r="C88" s="1" t="str">
        <f t="shared" si="7"/>
        <v/>
      </c>
    </row>
    <row r="89" spans="1:3">
      <c r="A89" s="1" t="str">
        <f t="shared" si="5"/>
        <v/>
      </c>
      <c r="B89" s="1" t="str">
        <f t="shared" si="6"/>
        <v/>
      </c>
      <c r="C89" s="1" t="str">
        <f t="shared" si="7"/>
        <v/>
      </c>
    </row>
    <row r="90" spans="1:3">
      <c r="A90" s="1" t="str">
        <f t="shared" si="5"/>
        <v/>
      </c>
      <c r="B90" s="1" t="str">
        <f t="shared" si="6"/>
        <v/>
      </c>
      <c r="C90" s="1" t="str">
        <f t="shared" si="7"/>
        <v/>
      </c>
    </row>
    <row r="91" spans="1:3">
      <c r="A91" s="1" t="str">
        <f t="shared" si="5"/>
        <v/>
      </c>
      <c r="B91" s="1" t="str">
        <f t="shared" si="6"/>
        <v/>
      </c>
      <c r="C91" s="1" t="str">
        <f t="shared" si="7"/>
        <v/>
      </c>
    </row>
    <row r="92" spans="1:3">
      <c r="A92" s="1" t="str">
        <f t="shared" si="5"/>
        <v/>
      </c>
      <c r="B92" s="1" t="str">
        <f t="shared" si="6"/>
        <v/>
      </c>
      <c r="C92" s="1" t="str">
        <f t="shared" si="7"/>
        <v/>
      </c>
    </row>
    <row r="93" spans="1:3">
      <c r="A93" s="1" t="str">
        <f t="shared" si="5"/>
        <v/>
      </c>
      <c r="B93" s="1" t="str">
        <f t="shared" si="6"/>
        <v/>
      </c>
      <c r="C93" s="1" t="str">
        <f t="shared" si="7"/>
        <v/>
      </c>
    </row>
    <row r="94" spans="1:3">
      <c r="A94" s="1" t="str">
        <f t="shared" si="5"/>
        <v/>
      </c>
      <c r="B94" s="1" t="str">
        <f t="shared" si="6"/>
        <v/>
      </c>
      <c r="C94" s="1" t="str">
        <f t="shared" si="7"/>
        <v/>
      </c>
    </row>
    <row r="95" spans="1:3">
      <c r="A95" s="1" t="str">
        <f t="shared" si="5"/>
        <v/>
      </c>
      <c r="B95" s="1" t="str">
        <f t="shared" si="6"/>
        <v/>
      </c>
      <c r="C95" s="1" t="str">
        <f t="shared" si="7"/>
        <v/>
      </c>
    </row>
    <row r="96" spans="1:3">
      <c r="A96" s="1" t="str">
        <f t="shared" si="5"/>
        <v/>
      </c>
      <c r="B96" s="1" t="str">
        <f t="shared" si="6"/>
        <v/>
      </c>
      <c r="C96" s="1" t="str">
        <f t="shared" si="7"/>
        <v/>
      </c>
    </row>
    <row r="97" spans="1:3">
      <c r="A97" s="1" t="str">
        <f t="shared" si="5"/>
        <v/>
      </c>
      <c r="B97" s="1" t="str">
        <f t="shared" si="6"/>
        <v/>
      </c>
      <c r="C97" s="1" t="str">
        <f t="shared" si="7"/>
        <v/>
      </c>
    </row>
    <row r="98" spans="1:3">
      <c r="A98" s="1" t="str">
        <f t="shared" si="5"/>
        <v/>
      </c>
      <c r="B98" s="1" t="str">
        <f t="shared" si="6"/>
        <v/>
      </c>
      <c r="C98" s="1" t="str">
        <f t="shared" si="7"/>
        <v/>
      </c>
    </row>
    <row r="99" spans="1:3">
      <c r="A99" s="1" t="str">
        <f t="shared" si="5"/>
        <v/>
      </c>
      <c r="B99" s="1" t="str">
        <f t="shared" si="6"/>
        <v/>
      </c>
      <c r="C99" s="1" t="str">
        <f t="shared" si="7"/>
        <v/>
      </c>
    </row>
    <row r="100" spans="1:3">
      <c r="A100" s="1" t="str">
        <f t="shared" si="5"/>
        <v/>
      </c>
      <c r="B100" s="1" t="str">
        <f t="shared" si="6"/>
        <v/>
      </c>
      <c r="C100" s="1" t="str">
        <f t="shared" si="7"/>
        <v/>
      </c>
    </row>
    <row r="101" spans="1:3">
      <c r="A101" s="1" t="str">
        <f t="shared" si="5"/>
        <v/>
      </c>
      <c r="B101" s="1" t="str">
        <f t="shared" si="6"/>
        <v/>
      </c>
      <c r="C101" s="1" t="str">
        <f t="shared" si="7"/>
        <v/>
      </c>
    </row>
    <row r="102" spans="1:3">
      <c r="A102" s="1" t="str">
        <f t="shared" si="5"/>
        <v/>
      </c>
      <c r="B102" s="1" t="str">
        <f t="shared" si="6"/>
        <v/>
      </c>
      <c r="C102" s="1" t="str">
        <f t="shared" si="7"/>
        <v/>
      </c>
    </row>
    <row r="103" spans="1:3">
      <c r="A103" s="1" t="str">
        <f t="shared" si="5"/>
        <v/>
      </c>
      <c r="B103" s="1" t="str">
        <f t="shared" si="6"/>
        <v/>
      </c>
      <c r="C103" s="1" t="str">
        <f t="shared" si="7"/>
        <v/>
      </c>
    </row>
    <row r="104" spans="1:3">
      <c r="A104" s="1" t="str">
        <f t="shared" si="5"/>
        <v/>
      </c>
      <c r="B104" s="1" t="str">
        <f t="shared" si="6"/>
        <v/>
      </c>
      <c r="C104" s="1" t="str">
        <f t="shared" si="7"/>
        <v/>
      </c>
    </row>
    <row r="105" spans="1:3">
      <c r="A105" s="1" t="str">
        <f t="shared" si="5"/>
        <v/>
      </c>
      <c r="B105" s="1" t="str">
        <f t="shared" si="6"/>
        <v/>
      </c>
      <c r="C105" s="1" t="str">
        <f t="shared" si="7"/>
        <v/>
      </c>
    </row>
    <row r="106" spans="1:3">
      <c r="A106" s="1" t="str">
        <f t="shared" si="5"/>
        <v/>
      </c>
      <c r="B106" s="1" t="str">
        <f t="shared" si="6"/>
        <v/>
      </c>
      <c r="C106" s="1" t="str">
        <f t="shared" si="7"/>
        <v/>
      </c>
    </row>
    <row r="107" spans="1:3">
      <c r="A107" s="1" t="str">
        <f t="shared" si="5"/>
        <v/>
      </c>
      <c r="B107" s="1" t="str">
        <f t="shared" si="6"/>
        <v/>
      </c>
      <c r="C107" s="1" t="str">
        <f t="shared" si="7"/>
        <v/>
      </c>
    </row>
    <row r="108" spans="1:3">
      <c r="A108" s="1" t="str">
        <f t="shared" si="5"/>
        <v/>
      </c>
      <c r="B108" s="1" t="str">
        <f t="shared" si="6"/>
        <v/>
      </c>
      <c r="C108" s="1" t="str">
        <f t="shared" si="7"/>
        <v/>
      </c>
    </row>
    <row r="109" spans="1:3">
      <c r="A109" s="1" t="str">
        <f t="shared" si="5"/>
        <v/>
      </c>
      <c r="B109" s="1" t="str">
        <f t="shared" si="6"/>
        <v/>
      </c>
      <c r="C109" s="1" t="str">
        <f t="shared" si="7"/>
        <v/>
      </c>
    </row>
    <row r="110" spans="1:3">
      <c r="A110" s="1" t="str">
        <f t="shared" si="5"/>
        <v/>
      </c>
      <c r="B110" s="1" t="str">
        <f t="shared" si="6"/>
        <v/>
      </c>
      <c r="C110" s="1" t="str">
        <f t="shared" si="7"/>
        <v/>
      </c>
    </row>
    <row r="111" spans="1:3">
      <c r="A111" s="1" t="str">
        <f t="shared" si="5"/>
        <v/>
      </c>
      <c r="B111" s="1" t="str">
        <f t="shared" si="6"/>
        <v/>
      </c>
      <c r="C111" s="1" t="str">
        <f t="shared" si="7"/>
        <v/>
      </c>
    </row>
    <row r="112" spans="1:3">
      <c r="A112" s="1" t="str">
        <f t="shared" si="5"/>
        <v/>
      </c>
      <c r="B112" s="1" t="str">
        <f t="shared" si="6"/>
        <v/>
      </c>
      <c r="C112" s="1" t="str">
        <f t="shared" si="7"/>
        <v/>
      </c>
    </row>
    <row r="113" spans="1:3">
      <c r="A113" s="1" t="str">
        <f t="shared" si="5"/>
        <v/>
      </c>
      <c r="B113" s="1" t="str">
        <f t="shared" si="6"/>
        <v/>
      </c>
      <c r="C113" s="1" t="str">
        <f t="shared" si="7"/>
        <v/>
      </c>
    </row>
    <row r="114" spans="1:3">
      <c r="A114" s="1" t="str">
        <f t="shared" si="5"/>
        <v/>
      </c>
      <c r="B114" s="1" t="str">
        <f t="shared" si="6"/>
        <v/>
      </c>
      <c r="C114" s="1" t="str">
        <f t="shared" si="7"/>
        <v/>
      </c>
    </row>
    <row r="115" spans="1:3">
      <c r="A115" s="1" t="str">
        <f t="shared" si="5"/>
        <v/>
      </c>
      <c r="B115" s="1" t="str">
        <f t="shared" si="6"/>
        <v/>
      </c>
      <c r="C115" s="1" t="str">
        <f t="shared" si="7"/>
        <v/>
      </c>
    </row>
    <row r="116" spans="1:3">
      <c r="A116" s="1" t="str">
        <f t="shared" si="5"/>
        <v/>
      </c>
      <c r="B116" s="1" t="str">
        <f t="shared" si="6"/>
        <v/>
      </c>
      <c r="C116" s="1" t="str">
        <f t="shared" si="7"/>
        <v/>
      </c>
    </row>
    <row r="117" spans="1:3">
      <c r="A117" s="1" t="str">
        <f t="shared" si="5"/>
        <v/>
      </c>
      <c r="B117" s="1" t="str">
        <f t="shared" si="6"/>
        <v/>
      </c>
      <c r="C117" s="1" t="str">
        <f t="shared" si="7"/>
        <v/>
      </c>
    </row>
    <row r="118" spans="1:3">
      <c r="A118" s="1" t="str">
        <f t="shared" si="5"/>
        <v/>
      </c>
      <c r="B118" s="1" t="str">
        <f t="shared" si="6"/>
        <v/>
      </c>
      <c r="C118" s="1" t="str">
        <f t="shared" si="7"/>
        <v/>
      </c>
    </row>
    <row r="119" spans="1:3">
      <c r="A119" s="1" t="str">
        <f t="shared" si="5"/>
        <v/>
      </c>
      <c r="B119" s="1" t="str">
        <f t="shared" si="6"/>
        <v/>
      </c>
      <c r="C119" s="1" t="str">
        <f t="shared" si="7"/>
        <v/>
      </c>
    </row>
    <row r="120" spans="1:3">
      <c r="A120" s="1" t="str">
        <f t="shared" si="5"/>
        <v/>
      </c>
      <c r="B120" s="1" t="str">
        <f t="shared" si="6"/>
        <v/>
      </c>
      <c r="C120" s="1" t="str">
        <f t="shared" si="7"/>
        <v/>
      </c>
    </row>
    <row r="121" spans="1:3">
      <c r="A121" s="1" t="str">
        <f t="shared" si="5"/>
        <v/>
      </c>
      <c r="B121" s="1" t="str">
        <f t="shared" si="6"/>
        <v/>
      </c>
      <c r="C121" s="1" t="str">
        <f t="shared" si="7"/>
        <v/>
      </c>
    </row>
    <row r="122" spans="1:3">
      <c r="A122" s="1" t="str">
        <f t="shared" si="5"/>
        <v/>
      </c>
      <c r="B122" s="1" t="str">
        <f t="shared" si="6"/>
        <v/>
      </c>
      <c r="C122" s="1" t="str">
        <f t="shared" si="7"/>
        <v/>
      </c>
    </row>
    <row r="123" spans="1:3">
      <c r="A123" s="1" t="str">
        <f t="shared" si="5"/>
        <v/>
      </c>
      <c r="B123" s="1" t="str">
        <f t="shared" si="6"/>
        <v/>
      </c>
      <c r="C123" s="1" t="str">
        <f t="shared" si="7"/>
        <v/>
      </c>
    </row>
    <row r="124" spans="1:3">
      <c r="A124" s="1" t="str">
        <f t="shared" si="5"/>
        <v/>
      </c>
      <c r="B124" s="1" t="str">
        <f t="shared" si="6"/>
        <v/>
      </c>
      <c r="C124" s="1" t="str">
        <f t="shared" si="7"/>
        <v/>
      </c>
    </row>
    <row r="125" spans="1:3">
      <c r="A125" s="1" t="str">
        <f t="shared" si="5"/>
        <v/>
      </c>
      <c r="B125" s="1" t="str">
        <f t="shared" si="6"/>
        <v/>
      </c>
      <c r="C125" s="1" t="str">
        <f t="shared" si="7"/>
        <v/>
      </c>
    </row>
    <row r="126" spans="1:3">
      <c r="A126" s="1" t="str">
        <f t="shared" si="5"/>
        <v/>
      </c>
      <c r="B126" s="1" t="str">
        <f t="shared" si="6"/>
        <v/>
      </c>
      <c r="C126" s="1" t="str">
        <f t="shared" si="7"/>
        <v/>
      </c>
    </row>
    <row r="127" spans="1:3">
      <c r="A127" s="1" t="str">
        <f t="shared" si="5"/>
        <v/>
      </c>
      <c r="B127" s="1" t="str">
        <f t="shared" si="6"/>
        <v/>
      </c>
      <c r="C127" s="1" t="str">
        <f t="shared" si="7"/>
        <v/>
      </c>
    </row>
    <row r="128" spans="1:3">
      <c r="A128" s="1" t="str">
        <f t="shared" si="5"/>
        <v/>
      </c>
      <c r="B128" s="1" t="str">
        <f t="shared" si="6"/>
        <v/>
      </c>
      <c r="C128" s="1" t="str">
        <f t="shared" si="7"/>
        <v/>
      </c>
    </row>
    <row r="129" spans="1:3">
      <c r="A129" s="1" t="str">
        <f t="shared" si="5"/>
        <v/>
      </c>
      <c r="B129" s="1" t="str">
        <f t="shared" si="6"/>
        <v/>
      </c>
      <c r="C129" s="1" t="str">
        <f t="shared" si="7"/>
        <v/>
      </c>
    </row>
    <row r="130" spans="1:3">
      <c r="A130" s="1" t="str">
        <f t="shared" si="5"/>
        <v/>
      </c>
      <c r="B130" s="1" t="str">
        <f t="shared" si="6"/>
        <v/>
      </c>
      <c r="C130" s="1" t="str">
        <f t="shared" si="7"/>
        <v/>
      </c>
    </row>
    <row r="131" spans="1:3">
      <c r="A131" s="1" t="str">
        <f t="shared" si="5"/>
        <v/>
      </c>
      <c r="B131" s="1" t="str">
        <f t="shared" si="6"/>
        <v/>
      </c>
      <c r="C131" s="1" t="str">
        <f t="shared" si="7"/>
        <v/>
      </c>
    </row>
    <row r="132" spans="1:3">
      <c r="A132" s="1" t="str">
        <f t="shared" si="5"/>
        <v/>
      </c>
      <c r="B132" s="1" t="str">
        <f t="shared" si="6"/>
        <v/>
      </c>
      <c r="C132" s="1" t="str">
        <f t="shared" si="7"/>
        <v/>
      </c>
    </row>
    <row r="133" spans="1:3">
      <c r="A133" s="1" t="str">
        <f t="shared" si="5"/>
        <v/>
      </c>
      <c r="B133" s="1" t="str">
        <f t="shared" si="6"/>
        <v/>
      </c>
      <c r="C133" s="1" t="str">
        <f t="shared" si="7"/>
        <v/>
      </c>
    </row>
    <row r="134" spans="1:3">
      <c r="A134" s="1" t="str">
        <f t="shared" si="5"/>
        <v/>
      </c>
      <c r="B134" s="1" t="str">
        <f t="shared" si="6"/>
        <v/>
      </c>
      <c r="C134" s="1" t="str">
        <f t="shared" si="7"/>
        <v/>
      </c>
    </row>
    <row r="135" spans="1:3">
      <c r="A135" s="1" t="str">
        <f t="shared" si="5"/>
        <v/>
      </c>
      <c r="B135" s="1" t="str">
        <f t="shared" si="6"/>
        <v/>
      </c>
      <c r="C135" s="1" t="str">
        <f t="shared" si="7"/>
        <v/>
      </c>
    </row>
    <row r="136" spans="1:3">
      <c r="A136" s="1" t="str">
        <f t="shared" si="5"/>
        <v/>
      </c>
      <c r="B136" s="1" t="str">
        <f t="shared" si="6"/>
        <v/>
      </c>
      <c r="C136" s="1" t="str">
        <f t="shared" si="7"/>
        <v/>
      </c>
    </row>
    <row r="137" spans="1:3">
      <c r="A137" s="1" t="str">
        <f t="shared" si="5"/>
        <v/>
      </c>
      <c r="B137" s="1" t="str">
        <f t="shared" si="6"/>
        <v/>
      </c>
      <c r="C137" s="1" t="str">
        <f t="shared" si="7"/>
        <v/>
      </c>
    </row>
    <row r="138" spans="1:3">
      <c r="A138" s="1" t="str">
        <f t="shared" ref="A138:A201" si="8">IF(C138="","",A137+1)</f>
        <v/>
      </c>
      <c r="B138" s="1" t="str">
        <f t="shared" ref="B138:B201" si="9">IF(D138="","",YEAR(D138))</f>
        <v/>
      </c>
      <c r="C138" s="1" t="str">
        <f t="shared" ref="C138:C201" si="10">IF(D138="","",MONTH(D138))</f>
        <v/>
      </c>
    </row>
    <row r="139" spans="1:3">
      <c r="A139" s="1" t="str">
        <f t="shared" si="8"/>
        <v/>
      </c>
      <c r="B139" s="1" t="str">
        <f t="shared" si="9"/>
        <v/>
      </c>
      <c r="C139" s="1" t="str">
        <f t="shared" si="10"/>
        <v/>
      </c>
    </row>
    <row r="140" spans="1:3">
      <c r="A140" s="1" t="str">
        <f t="shared" si="8"/>
        <v/>
      </c>
      <c r="B140" s="1" t="str">
        <f t="shared" si="9"/>
        <v/>
      </c>
      <c r="C140" s="1" t="str">
        <f t="shared" si="10"/>
        <v/>
      </c>
    </row>
    <row r="141" spans="1:3">
      <c r="A141" s="1" t="str">
        <f t="shared" si="8"/>
        <v/>
      </c>
      <c r="B141" s="1" t="str">
        <f t="shared" si="9"/>
        <v/>
      </c>
      <c r="C141" s="1" t="str">
        <f t="shared" si="10"/>
        <v/>
      </c>
    </row>
    <row r="142" spans="1:3">
      <c r="A142" s="1" t="str">
        <f t="shared" si="8"/>
        <v/>
      </c>
      <c r="B142" s="1" t="str">
        <f t="shared" si="9"/>
        <v/>
      </c>
      <c r="C142" s="1" t="str">
        <f t="shared" si="10"/>
        <v/>
      </c>
    </row>
    <row r="143" spans="1:3">
      <c r="A143" s="1" t="str">
        <f t="shared" si="8"/>
        <v/>
      </c>
      <c r="B143" s="1" t="str">
        <f t="shared" si="9"/>
        <v/>
      </c>
      <c r="C143" s="1" t="str">
        <f t="shared" si="10"/>
        <v/>
      </c>
    </row>
    <row r="144" spans="1:3">
      <c r="A144" s="1" t="str">
        <f t="shared" si="8"/>
        <v/>
      </c>
      <c r="B144" s="1" t="str">
        <f t="shared" si="9"/>
        <v/>
      </c>
      <c r="C144" s="1" t="str">
        <f t="shared" si="10"/>
        <v/>
      </c>
    </row>
    <row r="145" spans="1:3">
      <c r="A145" s="1" t="str">
        <f t="shared" si="8"/>
        <v/>
      </c>
      <c r="B145" s="1" t="str">
        <f t="shared" si="9"/>
        <v/>
      </c>
      <c r="C145" s="1" t="str">
        <f t="shared" si="10"/>
        <v/>
      </c>
    </row>
    <row r="146" spans="1:3">
      <c r="A146" s="1" t="str">
        <f t="shared" si="8"/>
        <v/>
      </c>
      <c r="B146" s="1" t="str">
        <f t="shared" si="9"/>
        <v/>
      </c>
      <c r="C146" s="1" t="str">
        <f t="shared" si="10"/>
        <v/>
      </c>
    </row>
    <row r="147" spans="1:3">
      <c r="A147" s="1" t="str">
        <f t="shared" si="8"/>
        <v/>
      </c>
      <c r="B147" s="1" t="str">
        <f t="shared" si="9"/>
        <v/>
      </c>
      <c r="C147" s="1" t="str">
        <f t="shared" si="10"/>
        <v/>
      </c>
    </row>
    <row r="148" spans="1:3">
      <c r="A148" s="1" t="str">
        <f t="shared" si="8"/>
        <v/>
      </c>
      <c r="B148" s="1" t="str">
        <f t="shared" si="9"/>
        <v/>
      </c>
      <c r="C148" s="1" t="str">
        <f t="shared" si="10"/>
        <v/>
      </c>
    </row>
    <row r="149" spans="1:3">
      <c r="A149" s="1" t="str">
        <f t="shared" si="8"/>
        <v/>
      </c>
      <c r="B149" s="1" t="str">
        <f t="shared" si="9"/>
        <v/>
      </c>
      <c r="C149" s="1" t="str">
        <f t="shared" si="10"/>
        <v/>
      </c>
    </row>
    <row r="150" spans="1:3">
      <c r="A150" s="1" t="str">
        <f t="shared" si="8"/>
        <v/>
      </c>
      <c r="B150" s="1" t="str">
        <f t="shared" si="9"/>
        <v/>
      </c>
      <c r="C150" s="1" t="str">
        <f t="shared" si="10"/>
        <v/>
      </c>
    </row>
    <row r="151" spans="1:3">
      <c r="A151" s="1" t="str">
        <f t="shared" si="8"/>
        <v/>
      </c>
      <c r="B151" s="1" t="str">
        <f t="shared" si="9"/>
        <v/>
      </c>
      <c r="C151" s="1" t="str">
        <f t="shared" si="10"/>
        <v/>
      </c>
    </row>
    <row r="152" spans="1:3">
      <c r="A152" s="1" t="str">
        <f t="shared" si="8"/>
        <v/>
      </c>
      <c r="B152" s="1" t="str">
        <f t="shared" si="9"/>
        <v/>
      </c>
      <c r="C152" s="1" t="str">
        <f t="shared" si="10"/>
        <v/>
      </c>
    </row>
    <row r="153" spans="1:3">
      <c r="A153" s="1" t="str">
        <f t="shared" si="8"/>
        <v/>
      </c>
      <c r="B153" s="1" t="str">
        <f t="shared" si="9"/>
        <v/>
      </c>
      <c r="C153" s="1" t="str">
        <f t="shared" si="10"/>
        <v/>
      </c>
    </row>
    <row r="154" spans="1:3">
      <c r="A154" s="1" t="str">
        <f t="shared" si="8"/>
        <v/>
      </c>
      <c r="B154" s="1" t="str">
        <f t="shared" si="9"/>
        <v/>
      </c>
      <c r="C154" s="1" t="str">
        <f t="shared" si="10"/>
        <v/>
      </c>
    </row>
    <row r="155" spans="1:3">
      <c r="A155" s="1" t="str">
        <f t="shared" si="8"/>
        <v/>
      </c>
      <c r="B155" s="1" t="str">
        <f t="shared" si="9"/>
        <v/>
      </c>
      <c r="C155" s="1" t="str">
        <f t="shared" si="10"/>
        <v/>
      </c>
    </row>
    <row r="156" spans="1:3">
      <c r="A156" s="1" t="str">
        <f t="shared" si="8"/>
        <v/>
      </c>
      <c r="B156" s="1" t="str">
        <f t="shared" si="9"/>
        <v/>
      </c>
      <c r="C156" s="1" t="str">
        <f t="shared" si="10"/>
        <v/>
      </c>
    </row>
    <row r="157" spans="1:3">
      <c r="A157" s="1" t="str">
        <f t="shared" si="8"/>
        <v/>
      </c>
      <c r="B157" s="1" t="str">
        <f t="shared" si="9"/>
        <v/>
      </c>
      <c r="C157" s="1" t="str">
        <f t="shared" si="10"/>
        <v/>
      </c>
    </row>
    <row r="158" spans="1:3">
      <c r="A158" s="1" t="str">
        <f t="shared" si="8"/>
        <v/>
      </c>
      <c r="B158" s="1" t="str">
        <f t="shared" si="9"/>
        <v/>
      </c>
      <c r="C158" s="1" t="str">
        <f t="shared" si="10"/>
        <v/>
      </c>
    </row>
    <row r="159" spans="1:3">
      <c r="A159" s="1" t="str">
        <f t="shared" si="8"/>
        <v/>
      </c>
      <c r="B159" s="1" t="str">
        <f t="shared" si="9"/>
        <v/>
      </c>
      <c r="C159" s="1" t="str">
        <f t="shared" si="10"/>
        <v/>
      </c>
    </row>
    <row r="160" spans="1:3">
      <c r="A160" s="1" t="str">
        <f t="shared" si="8"/>
        <v/>
      </c>
      <c r="B160" s="1" t="str">
        <f t="shared" si="9"/>
        <v/>
      </c>
      <c r="C160" s="1" t="str">
        <f t="shared" si="10"/>
        <v/>
      </c>
    </row>
    <row r="161" spans="1:3">
      <c r="A161" s="1" t="str">
        <f t="shared" si="8"/>
        <v/>
      </c>
      <c r="B161" s="1" t="str">
        <f t="shared" si="9"/>
        <v/>
      </c>
      <c r="C161" s="1" t="str">
        <f t="shared" si="10"/>
        <v/>
      </c>
    </row>
    <row r="162" spans="1:3">
      <c r="A162" s="1" t="str">
        <f t="shared" si="8"/>
        <v/>
      </c>
      <c r="B162" s="1" t="str">
        <f t="shared" si="9"/>
        <v/>
      </c>
      <c r="C162" s="1" t="str">
        <f t="shared" si="10"/>
        <v/>
      </c>
    </row>
    <row r="163" spans="1:3">
      <c r="A163" s="1" t="str">
        <f t="shared" si="8"/>
        <v/>
      </c>
      <c r="B163" s="1" t="str">
        <f t="shared" si="9"/>
        <v/>
      </c>
      <c r="C163" s="1" t="str">
        <f t="shared" si="10"/>
        <v/>
      </c>
    </row>
    <row r="164" spans="1:3">
      <c r="A164" s="1" t="str">
        <f t="shared" si="8"/>
        <v/>
      </c>
      <c r="B164" s="1" t="str">
        <f t="shared" si="9"/>
        <v/>
      </c>
      <c r="C164" s="1" t="str">
        <f t="shared" si="10"/>
        <v/>
      </c>
    </row>
    <row r="165" spans="1:3">
      <c r="A165" s="1" t="str">
        <f t="shared" si="8"/>
        <v/>
      </c>
      <c r="B165" s="1" t="str">
        <f t="shared" si="9"/>
        <v/>
      </c>
      <c r="C165" s="1" t="str">
        <f t="shared" si="10"/>
        <v/>
      </c>
    </row>
    <row r="166" spans="1:3">
      <c r="A166" s="1" t="str">
        <f t="shared" si="8"/>
        <v/>
      </c>
      <c r="B166" s="1" t="str">
        <f t="shared" si="9"/>
        <v/>
      </c>
      <c r="C166" s="1" t="str">
        <f t="shared" si="10"/>
        <v/>
      </c>
    </row>
    <row r="167" spans="1:3">
      <c r="A167" s="1" t="str">
        <f t="shared" si="8"/>
        <v/>
      </c>
      <c r="B167" s="1" t="str">
        <f t="shared" si="9"/>
        <v/>
      </c>
      <c r="C167" s="1" t="str">
        <f t="shared" si="10"/>
        <v/>
      </c>
    </row>
    <row r="168" spans="1:3">
      <c r="A168" s="1" t="str">
        <f t="shared" si="8"/>
        <v/>
      </c>
      <c r="B168" s="1" t="str">
        <f t="shared" si="9"/>
        <v/>
      </c>
      <c r="C168" s="1" t="str">
        <f t="shared" si="10"/>
        <v/>
      </c>
    </row>
    <row r="169" spans="1:3">
      <c r="A169" s="1" t="str">
        <f t="shared" si="8"/>
        <v/>
      </c>
      <c r="B169" s="1" t="str">
        <f t="shared" si="9"/>
        <v/>
      </c>
      <c r="C169" s="1" t="str">
        <f t="shared" si="10"/>
        <v/>
      </c>
    </row>
    <row r="170" spans="1:3">
      <c r="A170" s="1" t="str">
        <f t="shared" si="8"/>
        <v/>
      </c>
      <c r="B170" s="1" t="str">
        <f t="shared" si="9"/>
        <v/>
      </c>
      <c r="C170" s="1" t="str">
        <f t="shared" si="10"/>
        <v/>
      </c>
    </row>
    <row r="171" spans="1:3">
      <c r="A171" s="1" t="str">
        <f t="shared" si="8"/>
        <v/>
      </c>
      <c r="B171" s="1" t="str">
        <f t="shared" si="9"/>
        <v/>
      </c>
      <c r="C171" s="1" t="str">
        <f t="shared" si="10"/>
        <v/>
      </c>
    </row>
    <row r="172" spans="1:3">
      <c r="A172" s="1" t="str">
        <f t="shared" si="8"/>
        <v/>
      </c>
      <c r="B172" s="1" t="str">
        <f t="shared" si="9"/>
        <v/>
      </c>
      <c r="C172" s="1" t="str">
        <f t="shared" si="10"/>
        <v/>
      </c>
    </row>
    <row r="173" spans="1:3">
      <c r="A173" s="1" t="str">
        <f t="shared" si="8"/>
        <v/>
      </c>
      <c r="B173" s="1" t="str">
        <f t="shared" si="9"/>
        <v/>
      </c>
      <c r="C173" s="1" t="str">
        <f t="shared" si="10"/>
        <v/>
      </c>
    </row>
    <row r="174" spans="1:3">
      <c r="A174" s="1" t="str">
        <f t="shared" si="8"/>
        <v/>
      </c>
      <c r="B174" s="1" t="str">
        <f t="shared" si="9"/>
        <v/>
      </c>
      <c r="C174" s="1" t="str">
        <f t="shared" si="10"/>
        <v/>
      </c>
    </row>
    <row r="175" spans="1:3">
      <c r="A175" s="1" t="str">
        <f t="shared" si="8"/>
        <v/>
      </c>
      <c r="B175" s="1" t="str">
        <f t="shared" si="9"/>
        <v/>
      </c>
      <c r="C175" s="1" t="str">
        <f t="shared" si="10"/>
        <v/>
      </c>
    </row>
    <row r="176" spans="1:3">
      <c r="A176" s="1" t="str">
        <f t="shared" si="8"/>
        <v/>
      </c>
      <c r="B176" s="1" t="str">
        <f t="shared" si="9"/>
        <v/>
      </c>
      <c r="C176" s="1" t="str">
        <f t="shared" si="10"/>
        <v/>
      </c>
    </row>
    <row r="177" spans="1:3">
      <c r="A177" s="1" t="str">
        <f t="shared" si="8"/>
        <v/>
      </c>
      <c r="B177" s="1" t="str">
        <f t="shared" si="9"/>
        <v/>
      </c>
      <c r="C177" s="1" t="str">
        <f t="shared" si="10"/>
        <v/>
      </c>
    </row>
    <row r="178" spans="1:3">
      <c r="A178" s="1" t="str">
        <f t="shared" si="8"/>
        <v/>
      </c>
      <c r="B178" s="1" t="str">
        <f t="shared" si="9"/>
        <v/>
      </c>
      <c r="C178" s="1" t="str">
        <f t="shared" si="10"/>
        <v/>
      </c>
    </row>
    <row r="179" spans="1:3">
      <c r="A179" s="1" t="str">
        <f t="shared" si="8"/>
        <v/>
      </c>
      <c r="B179" s="1" t="str">
        <f t="shared" si="9"/>
        <v/>
      </c>
      <c r="C179" s="1" t="str">
        <f t="shared" si="10"/>
        <v/>
      </c>
    </row>
    <row r="180" spans="1:3">
      <c r="A180" s="1" t="str">
        <f t="shared" si="8"/>
        <v/>
      </c>
      <c r="B180" s="1" t="str">
        <f t="shared" si="9"/>
        <v/>
      </c>
      <c r="C180" s="1" t="str">
        <f t="shared" si="10"/>
        <v/>
      </c>
    </row>
    <row r="181" spans="1:3">
      <c r="A181" s="1" t="str">
        <f t="shared" si="8"/>
        <v/>
      </c>
      <c r="B181" s="1" t="str">
        <f t="shared" si="9"/>
        <v/>
      </c>
      <c r="C181" s="1" t="str">
        <f t="shared" si="10"/>
        <v/>
      </c>
    </row>
    <row r="182" spans="1:3">
      <c r="A182" s="1" t="str">
        <f t="shared" si="8"/>
        <v/>
      </c>
      <c r="B182" s="1" t="str">
        <f t="shared" si="9"/>
        <v/>
      </c>
      <c r="C182" s="1" t="str">
        <f t="shared" si="10"/>
        <v/>
      </c>
    </row>
    <row r="183" spans="1:3">
      <c r="A183" s="1" t="str">
        <f t="shared" si="8"/>
        <v/>
      </c>
      <c r="B183" s="1" t="str">
        <f t="shared" si="9"/>
        <v/>
      </c>
      <c r="C183" s="1" t="str">
        <f t="shared" si="10"/>
        <v/>
      </c>
    </row>
    <row r="184" spans="1:3">
      <c r="A184" s="1" t="str">
        <f t="shared" si="8"/>
        <v/>
      </c>
      <c r="B184" s="1" t="str">
        <f t="shared" si="9"/>
        <v/>
      </c>
      <c r="C184" s="1" t="str">
        <f t="shared" si="10"/>
        <v/>
      </c>
    </row>
    <row r="185" spans="1:3">
      <c r="A185" s="1" t="str">
        <f t="shared" si="8"/>
        <v/>
      </c>
      <c r="B185" s="1" t="str">
        <f t="shared" si="9"/>
        <v/>
      </c>
      <c r="C185" s="1" t="str">
        <f t="shared" si="10"/>
        <v/>
      </c>
    </row>
    <row r="186" spans="1:3">
      <c r="A186" s="1" t="str">
        <f t="shared" si="8"/>
        <v/>
      </c>
      <c r="B186" s="1" t="str">
        <f t="shared" si="9"/>
        <v/>
      </c>
      <c r="C186" s="1" t="str">
        <f t="shared" si="10"/>
        <v/>
      </c>
    </row>
    <row r="187" spans="1:3">
      <c r="A187" s="1" t="str">
        <f t="shared" si="8"/>
        <v/>
      </c>
      <c r="B187" s="1" t="str">
        <f t="shared" si="9"/>
        <v/>
      </c>
      <c r="C187" s="1" t="str">
        <f t="shared" si="10"/>
        <v/>
      </c>
    </row>
    <row r="188" spans="1:3">
      <c r="A188" s="1" t="str">
        <f t="shared" si="8"/>
        <v/>
      </c>
      <c r="B188" s="1" t="str">
        <f t="shared" si="9"/>
        <v/>
      </c>
      <c r="C188" s="1" t="str">
        <f t="shared" si="10"/>
        <v/>
      </c>
    </row>
    <row r="189" spans="1:3">
      <c r="A189" s="1" t="str">
        <f t="shared" si="8"/>
        <v/>
      </c>
      <c r="B189" s="1" t="str">
        <f t="shared" si="9"/>
        <v/>
      </c>
      <c r="C189" s="1" t="str">
        <f t="shared" si="10"/>
        <v/>
      </c>
    </row>
    <row r="190" spans="1:3">
      <c r="A190" s="1" t="str">
        <f t="shared" si="8"/>
        <v/>
      </c>
      <c r="B190" s="1" t="str">
        <f t="shared" si="9"/>
        <v/>
      </c>
      <c r="C190" s="1" t="str">
        <f t="shared" si="10"/>
        <v/>
      </c>
    </row>
    <row r="191" spans="1:3">
      <c r="A191" s="1" t="str">
        <f t="shared" si="8"/>
        <v/>
      </c>
      <c r="B191" s="1" t="str">
        <f t="shared" si="9"/>
        <v/>
      </c>
      <c r="C191" s="1" t="str">
        <f t="shared" si="10"/>
        <v/>
      </c>
    </row>
    <row r="192" spans="1:3">
      <c r="A192" s="1" t="str">
        <f t="shared" si="8"/>
        <v/>
      </c>
      <c r="B192" s="1" t="str">
        <f t="shared" si="9"/>
        <v/>
      </c>
      <c r="C192" s="1" t="str">
        <f t="shared" si="10"/>
        <v/>
      </c>
    </row>
    <row r="193" spans="1:3">
      <c r="A193" s="1" t="str">
        <f t="shared" si="8"/>
        <v/>
      </c>
      <c r="B193" s="1" t="str">
        <f t="shared" si="9"/>
        <v/>
      </c>
      <c r="C193" s="1" t="str">
        <f t="shared" si="10"/>
        <v/>
      </c>
    </row>
    <row r="194" spans="1:3">
      <c r="A194" s="1" t="str">
        <f t="shared" si="8"/>
        <v/>
      </c>
      <c r="B194" s="1" t="str">
        <f t="shared" si="9"/>
        <v/>
      </c>
      <c r="C194" s="1" t="str">
        <f t="shared" si="10"/>
        <v/>
      </c>
    </row>
    <row r="195" spans="1:3">
      <c r="A195" s="1" t="str">
        <f t="shared" si="8"/>
        <v/>
      </c>
      <c r="B195" s="1" t="str">
        <f t="shared" si="9"/>
        <v/>
      </c>
      <c r="C195" s="1" t="str">
        <f t="shared" si="10"/>
        <v/>
      </c>
    </row>
    <row r="196" spans="1:3">
      <c r="A196" s="1" t="str">
        <f t="shared" si="8"/>
        <v/>
      </c>
      <c r="B196" s="1" t="str">
        <f t="shared" si="9"/>
        <v/>
      </c>
      <c r="C196" s="1" t="str">
        <f t="shared" si="10"/>
        <v/>
      </c>
    </row>
    <row r="197" spans="1:3">
      <c r="A197" s="1" t="str">
        <f t="shared" si="8"/>
        <v/>
      </c>
      <c r="B197" s="1" t="str">
        <f t="shared" si="9"/>
        <v/>
      </c>
      <c r="C197" s="1" t="str">
        <f t="shared" si="10"/>
        <v/>
      </c>
    </row>
    <row r="198" spans="1:3">
      <c r="A198" s="1" t="str">
        <f t="shared" si="8"/>
        <v/>
      </c>
      <c r="B198" s="1" t="str">
        <f t="shared" si="9"/>
        <v/>
      </c>
      <c r="C198" s="1" t="str">
        <f t="shared" si="10"/>
        <v/>
      </c>
    </row>
    <row r="199" spans="1:3">
      <c r="A199" s="1" t="str">
        <f t="shared" si="8"/>
        <v/>
      </c>
      <c r="B199" s="1" t="str">
        <f t="shared" si="9"/>
        <v/>
      </c>
      <c r="C199" s="1" t="str">
        <f t="shared" si="10"/>
        <v/>
      </c>
    </row>
    <row r="200" spans="1:3">
      <c r="A200" s="1" t="str">
        <f t="shared" si="8"/>
        <v/>
      </c>
      <c r="B200" s="1" t="str">
        <f t="shared" si="9"/>
        <v/>
      </c>
      <c r="C200" s="1" t="str">
        <f t="shared" si="10"/>
        <v/>
      </c>
    </row>
    <row r="201" spans="1:3">
      <c r="A201" s="1" t="str">
        <f t="shared" si="8"/>
        <v/>
      </c>
      <c r="B201" s="1" t="str">
        <f t="shared" si="9"/>
        <v/>
      </c>
      <c r="C201" s="1" t="str">
        <f t="shared" si="10"/>
        <v/>
      </c>
    </row>
    <row r="202" spans="1:3">
      <c r="A202" s="1" t="str">
        <f t="shared" ref="A202:A265" si="11">IF(C202="","",A201+1)</f>
        <v/>
      </c>
      <c r="B202" s="1" t="str">
        <f t="shared" ref="B202:B265" si="12">IF(D202="","",YEAR(D202))</f>
        <v/>
      </c>
      <c r="C202" s="1" t="str">
        <f t="shared" ref="C202:C265" si="13">IF(D202="","",MONTH(D202))</f>
        <v/>
      </c>
    </row>
    <row r="203" spans="1:3">
      <c r="A203" s="1" t="str">
        <f t="shared" si="11"/>
        <v/>
      </c>
      <c r="B203" s="1" t="str">
        <f t="shared" si="12"/>
        <v/>
      </c>
      <c r="C203" s="1" t="str">
        <f t="shared" si="13"/>
        <v/>
      </c>
    </row>
    <row r="204" spans="1:3">
      <c r="A204" s="1" t="str">
        <f t="shared" si="11"/>
        <v/>
      </c>
      <c r="B204" s="1" t="str">
        <f t="shared" si="12"/>
        <v/>
      </c>
      <c r="C204" s="1" t="str">
        <f t="shared" si="13"/>
        <v/>
      </c>
    </row>
    <row r="205" spans="1:3">
      <c r="A205" s="1" t="str">
        <f t="shared" si="11"/>
        <v/>
      </c>
      <c r="B205" s="1" t="str">
        <f t="shared" si="12"/>
        <v/>
      </c>
      <c r="C205" s="1" t="str">
        <f t="shared" si="13"/>
        <v/>
      </c>
    </row>
    <row r="206" spans="1:3">
      <c r="A206" s="1" t="str">
        <f t="shared" si="11"/>
        <v/>
      </c>
      <c r="B206" s="1" t="str">
        <f t="shared" si="12"/>
        <v/>
      </c>
      <c r="C206" s="1" t="str">
        <f t="shared" si="13"/>
        <v/>
      </c>
    </row>
    <row r="207" spans="1:3">
      <c r="A207" s="1" t="str">
        <f t="shared" si="11"/>
        <v/>
      </c>
      <c r="B207" s="1" t="str">
        <f t="shared" si="12"/>
        <v/>
      </c>
      <c r="C207" s="1" t="str">
        <f t="shared" si="13"/>
        <v/>
      </c>
    </row>
    <row r="208" spans="1:3">
      <c r="A208" s="1" t="str">
        <f t="shared" si="11"/>
        <v/>
      </c>
      <c r="B208" s="1" t="str">
        <f t="shared" si="12"/>
        <v/>
      </c>
      <c r="C208" s="1" t="str">
        <f t="shared" si="13"/>
        <v/>
      </c>
    </row>
    <row r="209" spans="1:3">
      <c r="A209" s="1" t="str">
        <f t="shared" si="11"/>
        <v/>
      </c>
      <c r="B209" s="1" t="str">
        <f t="shared" si="12"/>
        <v/>
      </c>
      <c r="C209" s="1" t="str">
        <f t="shared" si="13"/>
        <v/>
      </c>
    </row>
    <row r="210" spans="1:3">
      <c r="A210" s="1" t="str">
        <f t="shared" si="11"/>
        <v/>
      </c>
      <c r="B210" s="1" t="str">
        <f t="shared" si="12"/>
        <v/>
      </c>
      <c r="C210" s="1" t="str">
        <f t="shared" si="13"/>
        <v/>
      </c>
    </row>
    <row r="211" spans="1:3">
      <c r="A211" s="1" t="str">
        <f t="shared" si="11"/>
        <v/>
      </c>
      <c r="B211" s="1" t="str">
        <f t="shared" si="12"/>
        <v/>
      </c>
      <c r="C211" s="1" t="str">
        <f t="shared" si="13"/>
        <v/>
      </c>
    </row>
    <row r="212" spans="1:3">
      <c r="A212" s="1" t="str">
        <f t="shared" si="11"/>
        <v/>
      </c>
      <c r="B212" s="1" t="str">
        <f t="shared" si="12"/>
        <v/>
      </c>
      <c r="C212" s="1" t="str">
        <f t="shared" si="13"/>
        <v/>
      </c>
    </row>
    <row r="213" spans="1:3">
      <c r="A213" s="1" t="str">
        <f t="shared" si="11"/>
        <v/>
      </c>
      <c r="B213" s="1" t="str">
        <f t="shared" si="12"/>
        <v/>
      </c>
      <c r="C213" s="1" t="str">
        <f t="shared" si="13"/>
        <v/>
      </c>
    </row>
    <row r="214" spans="1:3">
      <c r="A214" s="1" t="str">
        <f t="shared" si="11"/>
        <v/>
      </c>
      <c r="B214" s="1" t="str">
        <f t="shared" si="12"/>
        <v/>
      </c>
      <c r="C214" s="1" t="str">
        <f t="shared" si="13"/>
        <v/>
      </c>
    </row>
    <row r="215" spans="1:3">
      <c r="A215" s="1" t="str">
        <f t="shared" si="11"/>
        <v/>
      </c>
      <c r="B215" s="1" t="str">
        <f t="shared" si="12"/>
        <v/>
      </c>
      <c r="C215" s="1" t="str">
        <f t="shared" si="13"/>
        <v/>
      </c>
    </row>
    <row r="216" spans="1:3">
      <c r="A216" s="1" t="str">
        <f t="shared" si="11"/>
        <v/>
      </c>
      <c r="B216" s="1" t="str">
        <f t="shared" si="12"/>
        <v/>
      </c>
      <c r="C216" s="1" t="str">
        <f t="shared" si="13"/>
        <v/>
      </c>
    </row>
    <row r="217" spans="1:3">
      <c r="A217" s="1" t="str">
        <f t="shared" si="11"/>
        <v/>
      </c>
      <c r="B217" s="1" t="str">
        <f t="shared" si="12"/>
        <v/>
      </c>
      <c r="C217" s="1" t="str">
        <f t="shared" si="13"/>
        <v/>
      </c>
    </row>
    <row r="218" spans="1:3">
      <c r="A218" s="1" t="str">
        <f t="shared" si="11"/>
        <v/>
      </c>
      <c r="B218" s="1" t="str">
        <f t="shared" si="12"/>
        <v/>
      </c>
      <c r="C218" s="1" t="str">
        <f t="shared" si="13"/>
        <v/>
      </c>
    </row>
    <row r="219" spans="1:3">
      <c r="A219" s="1" t="str">
        <f t="shared" si="11"/>
        <v/>
      </c>
      <c r="B219" s="1" t="str">
        <f t="shared" si="12"/>
        <v/>
      </c>
      <c r="C219" s="1" t="str">
        <f t="shared" si="13"/>
        <v/>
      </c>
    </row>
    <row r="220" spans="1:3">
      <c r="A220" s="1" t="str">
        <f t="shared" si="11"/>
        <v/>
      </c>
      <c r="B220" s="1" t="str">
        <f t="shared" si="12"/>
        <v/>
      </c>
      <c r="C220" s="1" t="str">
        <f t="shared" si="13"/>
        <v/>
      </c>
    </row>
    <row r="221" spans="1:3">
      <c r="A221" s="1" t="str">
        <f t="shared" si="11"/>
        <v/>
      </c>
      <c r="B221" s="1" t="str">
        <f t="shared" si="12"/>
        <v/>
      </c>
      <c r="C221" s="1" t="str">
        <f t="shared" si="13"/>
        <v/>
      </c>
    </row>
    <row r="222" spans="1:3">
      <c r="A222" s="1" t="str">
        <f t="shared" si="11"/>
        <v/>
      </c>
      <c r="B222" s="1" t="str">
        <f t="shared" si="12"/>
        <v/>
      </c>
      <c r="C222" s="1" t="str">
        <f t="shared" si="13"/>
        <v/>
      </c>
    </row>
    <row r="223" spans="1:3">
      <c r="A223" s="1" t="str">
        <f t="shared" si="11"/>
        <v/>
      </c>
      <c r="B223" s="1" t="str">
        <f t="shared" si="12"/>
        <v/>
      </c>
      <c r="C223" s="1" t="str">
        <f t="shared" si="13"/>
        <v/>
      </c>
    </row>
    <row r="224" spans="1:3">
      <c r="A224" s="1" t="str">
        <f t="shared" si="11"/>
        <v/>
      </c>
      <c r="B224" s="1" t="str">
        <f t="shared" si="12"/>
        <v/>
      </c>
      <c r="C224" s="1" t="str">
        <f t="shared" si="13"/>
        <v/>
      </c>
    </row>
    <row r="225" spans="1:3">
      <c r="A225" s="1" t="str">
        <f t="shared" si="11"/>
        <v/>
      </c>
      <c r="B225" s="1" t="str">
        <f t="shared" si="12"/>
        <v/>
      </c>
      <c r="C225" s="1" t="str">
        <f t="shared" si="13"/>
        <v/>
      </c>
    </row>
    <row r="226" spans="1:3">
      <c r="A226" s="1" t="str">
        <f t="shared" si="11"/>
        <v/>
      </c>
      <c r="B226" s="1" t="str">
        <f t="shared" si="12"/>
        <v/>
      </c>
      <c r="C226" s="1" t="str">
        <f t="shared" si="13"/>
        <v/>
      </c>
    </row>
    <row r="227" spans="1:3">
      <c r="A227" s="1" t="str">
        <f t="shared" si="11"/>
        <v/>
      </c>
      <c r="B227" s="1" t="str">
        <f t="shared" si="12"/>
        <v/>
      </c>
      <c r="C227" s="1" t="str">
        <f t="shared" si="13"/>
        <v/>
      </c>
    </row>
    <row r="228" spans="1:3">
      <c r="A228" s="1" t="str">
        <f t="shared" si="11"/>
        <v/>
      </c>
      <c r="B228" s="1" t="str">
        <f t="shared" si="12"/>
        <v/>
      </c>
      <c r="C228" s="1" t="str">
        <f t="shared" si="13"/>
        <v/>
      </c>
    </row>
    <row r="229" spans="1:3">
      <c r="A229" s="1" t="str">
        <f t="shared" si="11"/>
        <v/>
      </c>
      <c r="B229" s="1" t="str">
        <f t="shared" si="12"/>
        <v/>
      </c>
      <c r="C229" s="1" t="str">
        <f t="shared" si="13"/>
        <v/>
      </c>
    </row>
    <row r="230" spans="1:3">
      <c r="A230" s="1" t="str">
        <f t="shared" si="11"/>
        <v/>
      </c>
      <c r="B230" s="1" t="str">
        <f t="shared" si="12"/>
        <v/>
      </c>
      <c r="C230" s="1" t="str">
        <f t="shared" si="13"/>
        <v/>
      </c>
    </row>
    <row r="231" spans="1:3">
      <c r="A231" s="1" t="str">
        <f t="shared" si="11"/>
        <v/>
      </c>
      <c r="B231" s="1" t="str">
        <f t="shared" si="12"/>
        <v/>
      </c>
      <c r="C231" s="1" t="str">
        <f t="shared" si="13"/>
        <v/>
      </c>
    </row>
    <row r="232" spans="1:3">
      <c r="A232" s="1" t="str">
        <f t="shared" si="11"/>
        <v/>
      </c>
      <c r="B232" s="1" t="str">
        <f t="shared" si="12"/>
        <v/>
      </c>
      <c r="C232" s="1" t="str">
        <f t="shared" si="13"/>
        <v/>
      </c>
    </row>
    <row r="233" spans="1:3">
      <c r="A233" s="1" t="str">
        <f t="shared" si="11"/>
        <v/>
      </c>
      <c r="B233" s="1" t="str">
        <f t="shared" si="12"/>
        <v/>
      </c>
      <c r="C233" s="1" t="str">
        <f t="shared" si="13"/>
        <v/>
      </c>
    </row>
    <row r="234" spans="1:3">
      <c r="A234" s="1" t="str">
        <f t="shared" si="11"/>
        <v/>
      </c>
      <c r="B234" s="1" t="str">
        <f t="shared" si="12"/>
        <v/>
      </c>
      <c r="C234" s="1" t="str">
        <f t="shared" si="13"/>
        <v/>
      </c>
    </row>
    <row r="235" spans="1:3">
      <c r="A235" s="1" t="str">
        <f t="shared" si="11"/>
        <v/>
      </c>
      <c r="B235" s="1" t="str">
        <f t="shared" si="12"/>
        <v/>
      </c>
      <c r="C235" s="1" t="str">
        <f t="shared" si="13"/>
        <v/>
      </c>
    </row>
    <row r="236" spans="1:3">
      <c r="A236" s="1" t="str">
        <f t="shared" si="11"/>
        <v/>
      </c>
      <c r="B236" s="1" t="str">
        <f t="shared" si="12"/>
        <v/>
      </c>
      <c r="C236" s="1" t="str">
        <f t="shared" si="13"/>
        <v/>
      </c>
    </row>
    <row r="237" spans="1:3">
      <c r="A237" s="1" t="str">
        <f t="shared" si="11"/>
        <v/>
      </c>
      <c r="B237" s="1" t="str">
        <f t="shared" si="12"/>
        <v/>
      </c>
      <c r="C237" s="1" t="str">
        <f t="shared" si="13"/>
        <v/>
      </c>
    </row>
    <row r="238" spans="1:3">
      <c r="A238" s="1" t="str">
        <f t="shared" si="11"/>
        <v/>
      </c>
      <c r="B238" s="1" t="str">
        <f t="shared" si="12"/>
        <v/>
      </c>
      <c r="C238" s="1" t="str">
        <f t="shared" si="13"/>
        <v/>
      </c>
    </row>
    <row r="239" spans="1:3">
      <c r="A239" s="1" t="str">
        <f t="shared" si="11"/>
        <v/>
      </c>
      <c r="B239" s="1" t="str">
        <f t="shared" si="12"/>
        <v/>
      </c>
      <c r="C239" s="1" t="str">
        <f t="shared" si="13"/>
        <v/>
      </c>
    </row>
    <row r="240" spans="1:3">
      <c r="A240" s="1" t="str">
        <f t="shared" si="11"/>
        <v/>
      </c>
      <c r="B240" s="1" t="str">
        <f t="shared" si="12"/>
        <v/>
      </c>
      <c r="C240" s="1" t="str">
        <f t="shared" si="13"/>
        <v/>
      </c>
    </row>
    <row r="241" spans="1:3">
      <c r="A241" s="1" t="str">
        <f t="shared" si="11"/>
        <v/>
      </c>
      <c r="B241" s="1" t="str">
        <f t="shared" si="12"/>
        <v/>
      </c>
      <c r="C241" s="1" t="str">
        <f t="shared" si="13"/>
        <v/>
      </c>
    </row>
    <row r="242" spans="1:3">
      <c r="A242" s="1" t="str">
        <f t="shared" si="11"/>
        <v/>
      </c>
      <c r="B242" s="1" t="str">
        <f t="shared" si="12"/>
        <v/>
      </c>
      <c r="C242" s="1" t="str">
        <f t="shared" si="13"/>
        <v/>
      </c>
    </row>
    <row r="243" spans="1:3">
      <c r="A243" s="1" t="str">
        <f t="shared" si="11"/>
        <v/>
      </c>
      <c r="B243" s="1" t="str">
        <f t="shared" si="12"/>
        <v/>
      </c>
      <c r="C243" s="1" t="str">
        <f t="shared" si="13"/>
        <v/>
      </c>
    </row>
    <row r="244" spans="1:3">
      <c r="A244" s="1" t="str">
        <f t="shared" si="11"/>
        <v/>
      </c>
      <c r="B244" s="1" t="str">
        <f t="shared" si="12"/>
        <v/>
      </c>
      <c r="C244" s="1" t="str">
        <f t="shared" si="13"/>
        <v/>
      </c>
    </row>
    <row r="245" spans="1:3">
      <c r="A245" s="1" t="str">
        <f t="shared" si="11"/>
        <v/>
      </c>
      <c r="B245" s="1" t="str">
        <f t="shared" si="12"/>
        <v/>
      </c>
      <c r="C245" s="1" t="str">
        <f t="shared" si="13"/>
        <v/>
      </c>
    </row>
    <row r="246" spans="1:3">
      <c r="A246" s="1" t="str">
        <f t="shared" si="11"/>
        <v/>
      </c>
      <c r="B246" s="1" t="str">
        <f t="shared" si="12"/>
        <v/>
      </c>
      <c r="C246" s="1" t="str">
        <f t="shared" si="13"/>
        <v/>
      </c>
    </row>
    <row r="247" spans="1:3">
      <c r="A247" s="1" t="str">
        <f t="shared" si="11"/>
        <v/>
      </c>
      <c r="B247" s="1" t="str">
        <f t="shared" si="12"/>
        <v/>
      </c>
      <c r="C247" s="1" t="str">
        <f t="shared" si="13"/>
        <v/>
      </c>
    </row>
    <row r="248" spans="1:3">
      <c r="A248" s="1" t="str">
        <f t="shared" si="11"/>
        <v/>
      </c>
      <c r="B248" s="1" t="str">
        <f t="shared" si="12"/>
        <v/>
      </c>
      <c r="C248" s="1" t="str">
        <f t="shared" si="13"/>
        <v/>
      </c>
    </row>
    <row r="249" spans="1:3">
      <c r="A249" s="1" t="str">
        <f t="shared" si="11"/>
        <v/>
      </c>
      <c r="B249" s="1" t="str">
        <f t="shared" si="12"/>
        <v/>
      </c>
      <c r="C249" s="1" t="str">
        <f t="shared" si="13"/>
        <v/>
      </c>
    </row>
    <row r="250" spans="1:3">
      <c r="A250" s="1" t="str">
        <f t="shared" si="11"/>
        <v/>
      </c>
      <c r="B250" s="1" t="str">
        <f t="shared" si="12"/>
        <v/>
      </c>
      <c r="C250" s="1" t="str">
        <f t="shared" si="13"/>
        <v/>
      </c>
    </row>
    <row r="251" spans="1:3">
      <c r="A251" s="1" t="str">
        <f t="shared" si="11"/>
        <v/>
      </c>
      <c r="B251" s="1" t="str">
        <f t="shared" si="12"/>
        <v/>
      </c>
      <c r="C251" s="1" t="str">
        <f t="shared" si="13"/>
        <v/>
      </c>
    </row>
    <row r="252" spans="1:3">
      <c r="A252" s="1" t="str">
        <f t="shared" si="11"/>
        <v/>
      </c>
      <c r="B252" s="1" t="str">
        <f t="shared" si="12"/>
        <v/>
      </c>
      <c r="C252" s="1" t="str">
        <f t="shared" si="13"/>
        <v/>
      </c>
    </row>
    <row r="253" spans="1:3">
      <c r="A253" s="1" t="str">
        <f t="shared" si="11"/>
        <v/>
      </c>
      <c r="B253" s="1" t="str">
        <f t="shared" si="12"/>
        <v/>
      </c>
      <c r="C253" s="1" t="str">
        <f t="shared" si="13"/>
        <v/>
      </c>
    </row>
    <row r="254" spans="1:3">
      <c r="A254" s="1" t="str">
        <f t="shared" si="11"/>
        <v/>
      </c>
      <c r="B254" s="1" t="str">
        <f t="shared" si="12"/>
        <v/>
      </c>
      <c r="C254" s="1" t="str">
        <f t="shared" si="13"/>
        <v/>
      </c>
    </row>
    <row r="255" spans="1:3">
      <c r="A255" s="1" t="str">
        <f t="shared" si="11"/>
        <v/>
      </c>
      <c r="B255" s="1" t="str">
        <f t="shared" si="12"/>
        <v/>
      </c>
      <c r="C255" s="1" t="str">
        <f t="shared" si="13"/>
        <v/>
      </c>
    </row>
    <row r="256" spans="1:3">
      <c r="A256" s="1" t="str">
        <f t="shared" si="11"/>
        <v/>
      </c>
      <c r="B256" s="1" t="str">
        <f t="shared" si="12"/>
        <v/>
      </c>
      <c r="C256" s="1" t="str">
        <f t="shared" si="13"/>
        <v/>
      </c>
    </row>
    <row r="257" spans="1:3">
      <c r="A257" s="1" t="str">
        <f t="shared" si="11"/>
        <v/>
      </c>
      <c r="B257" s="1" t="str">
        <f t="shared" si="12"/>
        <v/>
      </c>
      <c r="C257" s="1" t="str">
        <f t="shared" si="13"/>
        <v/>
      </c>
    </row>
    <row r="258" spans="1:3">
      <c r="A258" s="1" t="str">
        <f t="shared" si="11"/>
        <v/>
      </c>
      <c r="B258" s="1" t="str">
        <f t="shared" si="12"/>
        <v/>
      </c>
      <c r="C258" s="1" t="str">
        <f t="shared" si="13"/>
        <v/>
      </c>
    </row>
    <row r="259" spans="1:3">
      <c r="A259" s="1" t="str">
        <f t="shared" si="11"/>
        <v/>
      </c>
      <c r="B259" s="1" t="str">
        <f t="shared" si="12"/>
        <v/>
      </c>
      <c r="C259" s="1" t="str">
        <f t="shared" si="13"/>
        <v/>
      </c>
    </row>
    <row r="260" spans="1:3">
      <c r="A260" s="1" t="str">
        <f t="shared" si="11"/>
        <v/>
      </c>
      <c r="B260" s="1" t="str">
        <f t="shared" si="12"/>
        <v/>
      </c>
      <c r="C260" s="1" t="str">
        <f t="shared" si="13"/>
        <v/>
      </c>
    </row>
    <row r="261" spans="1:3">
      <c r="A261" s="1" t="str">
        <f t="shared" si="11"/>
        <v/>
      </c>
      <c r="B261" s="1" t="str">
        <f t="shared" si="12"/>
        <v/>
      </c>
      <c r="C261" s="1" t="str">
        <f t="shared" si="13"/>
        <v/>
      </c>
    </row>
    <row r="262" spans="1:3">
      <c r="A262" s="1" t="str">
        <f t="shared" si="11"/>
        <v/>
      </c>
      <c r="B262" s="1" t="str">
        <f t="shared" si="12"/>
        <v/>
      </c>
      <c r="C262" s="1" t="str">
        <f t="shared" si="13"/>
        <v/>
      </c>
    </row>
    <row r="263" spans="1:3">
      <c r="A263" s="1" t="str">
        <f t="shared" si="11"/>
        <v/>
      </c>
      <c r="B263" s="1" t="str">
        <f t="shared" si="12"/>
        <v/>
      </c>
      <c r="C263" s="1" t="str">
        <f t="shared" si="13"/>
        <v/>
      </c>
    </row>
    <row r="264" spans="1:3">
      <c r="A264" s="1" t="str">
        <f t="shared" si="11"/>
        <v/>
      </c>
      <c r="B264" s="1" t="str">
        <f t="shared" si="12"/>
        <v/>
      </c>
      <c r="C264" s="1" t="str">
        <f t="shared" si="13"/>
        <v/>
      </c>
    </row>
    <row r="265" spans="1:3">
      <c r="A265" s="1" t="str">
        <f t="shared" si="11"/>
        <v/>
      </c>
      <c r="B265" s="1" t="str">
        <f t="shared" si="12"/>
        <v/>
      </c>
      <c r="C265" s="1" t="str">
        <f t="shared" si="13"/>
        <v/>
      </c>
    </row>
    <row r="266" spans="1:3">
      <c r="A266" s="1" t="str">
        <f t="shared" ref="A266:A329" si="14">IF(C266="","",A265+1)</f>
        <v/>
      </c>
      <c r="B266" s="1" t="str">
        <f t="shared" ref="B266:B329" si="15">IF(D266="","",YEAR(D266))</f>
        <v/>
      </c>
      <c r="C266" s="1" t="str">
        <f t="shared" ref="C266:C329" si="16">IF(D266="","",MONTH(D266))</f>
        <v/>
      </c>
    </row>
    <row r="267" spans="1:3">
      <c r="A267" s="1" t="str">
        <f t="shared" si="14"/>
        <v/>
      </c>
      <c r="B267" s="1" t="str">
        <f t="shared" si="15"/>
        <v/>
      </c>
      <c r="C267" s="1" t="str">
        <f t="shared" si="16"/>
        <v/>
      </c>
    </row>
    <row r="268" spans="1:3">
      <c r="A268" s="1" t="str">
        <f t="shared" si="14"/>
        <v/>
      </c>
      <c r="B268" s="1" t="str">
        <f t="shared" si="15"/>
        <v/>
      </c>
      <c r="C268" s="1" t="str">
        <f t="shared" si="16"/>
        <v/>
      </c>
    </row>
    <row r="269" spans="1:3">
      <c r="A269" s="1" t="str">
        <f t="shared" si="14"/>
        <v/>
      </c>
      <c r="B269" s="1" t="str">
        <f t="shared" si="15"/>
        <v/>
      </c>
      <c r="C269" s="1" t="str">
        <f t="shared" si="16"/>
        <v/>
      </c>
    </row>
    <row r="270" spans="1:3">
      <c r="A270" s="1" t="str">
        <f t="shared" si="14"/>
        <v/>
      </c>
      <c r="B270" s="1" t="str">
        <f t="shared" si="15"/>
        <v/>
      </c>
      <c r="C270" s="1" t="str">
        <f t="shared" si="16"/>
        <v/>
      </c>
    </row>
    <row r="271" spans="1:3">
      <c r="A271" s="1" t="str">
        <f t="shared" si="14"/>
        <v/>
      </c>
      <c r="B271" s="1" t="str">
        <f t="shared" si="15"/>
        <v/>
      </c>
      <c r="C271" s="1" t="str">
        <f t="shared" si="16"/>
        <v/>
      </c>
    </row>
    <row r="272" spans="1:3">
      <c r="A272" s="1" t="str">
        <f t="shared" si="14"/>
        <v/>
      </c>
      <c r="B272" s="1" t="str">
        <f t="shared" si="15"/>
        <v/>
      </c>
      <c r="C272" s="1" t="str">
        <f t="shared" si="16"/>
        <v/>
      </c>
    </row>
    <row r="273" spans="1:3">
      <c r="A273" s="1" t="str">
        <f t="shared" si="14"/>
        <v/>
      </c>
      <c r="B273" s="1" t="str">
        <f t="shared" si="15"/>
        <v/>
      </c>
      <c r="C273" s="1" t="str">
        <f t="shared" si="16"/>
        <v/>
      </c>
    </row>
    <row r="274" spans="1:3">
      <c r="A274" s="1" t="str">
        <f t="shared" si="14"/>
        <v/>
      </c>
      <c r="B274" s="1" t="str">
        <f t="shared" si="15"/>
        <v/>
      </c>
      <c r="C274" s="1" t="str">
        <f t="shared" si="16"/>
        <v/>
      </c>
    </row>
    <row r="275" spans="1:3">
      <c r="A275" s="1" t="str">
        <f t="shared" si="14"/>
        <v/>
      </c>
      <c r="B275" s="1" t="str">
        <f t="shared" si="15"/>
        <v/>
      </c>
      <c r="C275" s="1" t="str">
        <f t="shared" si="16"/>
        <v/>
      </c>
    </row>
    <row r="276" spans="1:3">
      <c r="A276" s="1" t="str">
        <f t="shared" si="14"/>
        <v/>
      </c>
      <c r="B276" s="1" t="str">
        <f t="shared" si="15"/>
        <v/>
      </c>
      <c r="C276" s="1" t="str">
        <f t="shared" si="16"/>
        <v/>
      </c>
    </row>
    <row r="277" spans="1:3">
      <c r="A277" s="1" t="str">
        <f t="shared" si="14"/>
        <v/>
      </c>
      <c r="B277" s="1" t="str">
        <f t="shared" si="15"/>
        <v/>
      </c>
      <c r="C277" s="1" t="str">
        <f t="shared" si="16"/>
        <v/>
      </c>
    </row>
    <row r="278" spans="1:3">
      <c r="A278" s="1" t="str">
        <f t="shared" si="14"/>
        <v/>
      </c>
      <c r="B278" s="1" t="str">
        <f t="shared" si="15"/>
        <v/>
      </c>
      <c r="C278" s="1" t="str">
        <f t="shared" si="16"/>
        <v/>
      </c>
    </row>
    <row r="279" spans="1:3">
      <c r="A279" s="1" t="str">
        <f t="shared" si="14"/>
        <v/>
      </c>
      <c r="B279" s="1" t="str">
        <f t="shared" si="15"/>
        <v/>
      </c>
      <c r="C279" s="1" t="str">
        <f t="shared" si="16"/>
        <v/>
      </c>
    </row>
    <row r="280" spans="1:3">
      <c r="A280" s="1" t="str">
        <f t="shared" si="14"/>
        <v/>
      </c>
      <c r="B280" s="1" t="str">
        <f t="shared" si="15"/>
        <v/>
      </c>
      <c r="C280" s="1" t="str">
        <f t="shared" si="16"/>
        <v/>
      </c>
    </row>
    <row r="281" spans="1:3">
      <c r="A281" s="1" t="str">
        <f t="shared" si="14"/>
        <v/>
      </c>
      <c r="B281" s="1" t="str">
        <f t="shared" si="15"/>
        <v/>
      </c>
      <c r="C281" s="1" t="str">
        <f t="shared" si="16"/>
        <v/>
      </c>
    </row>
    <row r="282" spans="1:3">
      <c r="A282" s="1" t="str">
        <f t="shared" si="14"/>
        <v/>
      </c>
      <c r="B282" s="1" t="str">
        <f t="shared" si="15"/>
        <v/>
      </c>
      <c r="C282" s="1" t="str">
        <f t="shared" si="16"/>
        <v/>
      </c>
    </row>
    <row r="283" spans="1:3">
      <c r="A283" s="1" t="str">
        <f t="shared" si="14"/>
        <v/>
      </c>
      <c r="B283" s="1" t="str">
        <f t="shared" si="15"/>
        <v/>
      </c>
      <c r="C283" s="1" t="str">
        <f t="shared" si="16"/>
        <v/>
      </c>
    </row>
    <row r="284" spans="1:3">
      <c r="A284" s="1" t="str">
        <f t="shared" si="14"/>
        <v/>
      </c>
      <c r="B284" s="1" t="str">
        <f t="shared" si="15"/>
        <v/>
      </c>
      <c r="C284" s="1" t="str">
        <f t="shared" si="16"/>
        <v/>
      </c>
    </row>
    <row r="285" spans="1:3">
      <c r="A285" s="1" t="str">
        <f t="shared" si="14"/>
        <v/>
      </c>
      <c r="B285" s="1" t="str">
        <f t="shared" si="15"/>
        <v/>
      </c>
      <c r="C285" s="1" t="str">
        <f t="shared" si="16"/>
        <v/>
      </c>
    </row>
    <row r="286" spans="1:3">
      <c r="A286" s="1" t="str">
        <f t="shared" si="14"/>
        <v/>
      </c>
      <c r="B286" s="1" t="str">
        <f t="shared" si="15"/>
        <v/>
      </c>
      <c r="C286" s="1" t="str">
        <f t="shared" si="16"/>
        <v/>
      </c>
    </row>
    <row r="287" spans="1:3">
      <c r="A287" s="1" t="str">
        <f t="shared" si="14"/>
        <v/>
      </c>
      <c r="B287" s="1" t="str">
        <f t="shared" si="15"/>
        <v/>
      </c>
      <c r="C287" s="1" t="str">
        <f t="shared" si="16"/>
        <v/>
      </c>
    </row>
    <row r="288" spans="1:3">
      <c r="A288" s="1" t="str">
        <f t="shared" si="14"/>
        <v/>
      </c>
      <c r="B288" s="1" t="str">
        <f t="shared" si="15"/>
        <v/>
      </c>
      <c r="C288" s="1" t="str">
        <f t="shared" si="16"/>
        <v/>
      </c>
    </row>
    <row r="289" spans="1:3">
      <c r="A289" s="1" t="str">
        <f t="shared" si="14"/>
        <v/>
      </c>
      <c r="B289" s="1" t="str">
        <f t="shared" si="15"/>
        <v/>
      </c>
      <c r="C289" s="1" t="str">
        <f t="shared" si="16"/>
        <v/>
      </c>
    </row>
    <row r="290" spans="1:3">
      <c r="A290" s="1" t="str">
        <f t="shared" si="14"/>
        <v/>
      </c>
      <c r="B290" s="1" t="str">
        <f t="shared" si="15"/>
        <v/>
      </c>
      <c r="C290" s="1" t="str">
        <f t="shared" si="16"/>
        <v/>
      </c>
    </row>
    <row r="291" spans="1:3">
      <c r="A291" s="1" t="str">
        <f t="shared" si="14"/>
        <v/>
      </c>
      <c r="B291" s="1" t="str">
        <f t="shared" si="15"/>
        <v/>
      </c>
      <c r="C291" s="1" t="str">
        <f t="shared" si="16"/>
        <v/>
      </c>
    </row>
    <row r="292" spans="1:3">
      <c r="A292" s="1" t="str">
        <f t="shared" si="14"/>
        <v/>
      </c>
      <c r="B292" s="1" t="str">
        <f t="shared" si="15"/>
        <v/>
      </c>
      <c r="C292" s="1" t="str">
        <f t="shared" si="16"/>
        <v/>
      </c>
    </row>
    <row r="293" spans="1:3">
      <c r="A293" s="1" t="str">
        <f t="shared" si="14"/>
        <v/>
      </c>
      <c r="B293" s="1" t="str">
        <f t="shared" si="15"/>
        <v/>
      </c>
      <c r="C293" s="1" t="str">
        <f t="shared" si="16"/>
        <v/>
      </c>
    </row>
    <row r="294" spans="1:3">
      <c r="A294" s="1" t="str">
        <f t="shared" si="14"/>
        <v/>
      </c>
      <c r="B294" s="1" t="str">
        <f t="shared" si="15"/>
        <v/>
      </c>
      <c r="C294" s="1" t="str">
        <f t="shared" si="16"/>
        <v/>
      </c>
    </row>
    <row r="295" spans="1:3">
      <c r="A295" s="1" t="str">
        <f t="shared" si="14"/>
        <v/>
      </c>
      <c r="B295" s="1" t="str">
        <f t="shared" si="15"/>
        <v/>
      </c>
      <c r="C295" s="1" t="str">
        <f t="shared" si="16"/>
        <v/>
      </c>
    </row>
    <row r="296" spans="1:3">
      <c r="A296" s="1" t="str">
        <f t="shared" si="14"/>
        <v/>
      </c>
      <c r="B296" s="1" t="str">
        <f t="shared" si="15"/>
        <v/>
      </c>
      <c r="C296" s="1" t="str">
        <f t="shared" si="16"/>
        <v/>
      </c>
    </row>
    <row r="297" spans="1:3">
      <c r="A297" s="1" t="str">
        <f t="shared" si="14"/>
        <v/>
      </c>
      <c r="B297" s="1" t="str">
        <f t="shared" si="15"/>
        <v/>
      </c>
      <c r="C297" s="1" t="str">
        <f t="shared" si="16"/>
        <v/>
      </c>
    </row>
    <row r="298" spans="1:3">
      <c r="A298" s="1" t="str">
        <f t="shared" si="14"/>
        <v/>
      </c>
      <c r="B298" s="1" t="str">
        <f t="shared" si="15"/>
        <v/>
      </c>
      <c r="C298" s="1" t="str">
        <f t="shared" si="16"/>
        <v/>
      </c>
    </row>
    <row r="299" spans="1:3">
      <c r="A299" s="1" t="str">
        <f t="shared" si="14"/>
        <v/>
      </c>
      <c r="B299" s="1" t="str">
        <f t="shared" si="15"/>
        <v/>
      </c>
      <c r="C299" s="1" t="str">
        <f t="shared" si="16"/>
        <v/>
      </c>
    </row>
    <row r="300" spans="1:3">
      <c r="A300" s="1" t="str">
        <f t="shared" si="14"/>
        <v/>
      </c>
      <c r="B300" s="1" t="str">
        <f t="shared" si="15"/>
        <v/>
      </c>
      <c r="C300" s="1" t="str">
        <f t="shared" si="16"/>
        <v/>
      </c>
    </row>
    <row r="301" spans="1:3">
      <c r="A301" s="1" t="str">
        <f t="shared" si="14"/>
        <v/>
      </c>
      <c r="B301" s="1" t="str">
        <f t="shared" si="15"/>
        <v/>
      </c>
      <c r="C301" s="1" t="str">
        <f t="shared" si="16"/>
        <v/>
      </c>
    </row>
    <row r="302" spans="1:3">
      <c r="A302" s="1" t="str">
        <f t="shared" si="14"/>
        <v/>
      </c>
      <c r="B302" s="1" t="str">
        <f t="shared" si="15"/>
        <v/>
      </c>
      <c r="C302" s="1" t="str">
        <f t="shared" si="16"/>
        <v/>
      </c>
    </row>
    <row r="303" spans="1:3">
      <c r="A303" s="1" t="str">
        <f t="shared" si="14"/>
        <v/>
      </c>
      <c r="B303" s="1" t="str">
        <f t="shared" si="15"/>
        <v/>
      </c>
      <c r="C303" s="1" t="str">
        <f t="shared" si="16"/>
        <v/>
      </c>
    </row>
    <row r="304" spans="1:3">
      <c r="A304" s="1" t="str">
        <f t="shared" si="14"/>
        <v/>
      </c>
      <c r="B304" s="1" t="str">
        <f t="shared" si="15"/>
        <v/>
      </c>
      <c r="C304" s="1" t="str">
        <f t="shared" si="16"/>
        <v/>
      </c>
    </row>
    <row r="305" spans="1:3">
      <c r="A305" s="1" t="str">
        <f t="shared" si="14"/>
        <v/>
      </c>
      <c r="B305" s="1" t="str">
        <f t="shared" si="15"/>
        <v/>
      </c>
      <c r="C305" s="1" t="str">
        <f t="shared" si="16"/>
        <v/>
      </c>
    </row>
    <row r="306" spans="1:3">
      <c r="A306" s="1" t="str">
        <f t="shared" si="14"/>
        <v/>
      </c>
      <c r="B306" s="1" t="str">
        <f t="shared" si="15"/>
        <v/>
      </c>
      <c r="C306" s="1" t="str">
        <f t="shared" si="16"/>
        <v/>
      </c>
    </row>
    <row r="307" spans="1:3">
      <c r="A307" s="1" t="str">
        <f t="shared" si="14"/>
        <v/>
      </c>
      <c r="B307" s="1" t="str">
        <f t="shared" si="15"/>
        <v/>
      </c>
      <c r="C307" s="1" t="str">
        <f t="shared" si="16"/>
        <v/>
      </c>
    </row>
    <row r="308" spans="1:3">
      <c r="A308" s="1" t="str">
        <f t="shared" si="14"/>
        <v/>
      </c>
      <c r="B308" s="1" t="str">
        <f t="shared" si="15"/>
        <v/>
      </c>
      <c r="C308" s="1" t="str">
        <f t="shared" si="16"/>
        <v/>
      </c>
    </row>
    <row r="309" spans="1:3">
      <c r="A309" s="1" t="str">
        <f t="shared" si="14"/>
        <v/>
      </c>
      <c r="B309" s="1" t="str">
        <f t="shared" si="15"/>
        <v/>
      </c>
      <c r="C309" s="1" t="str">
        <f t="shared" si="16"/>
        <v/>
      </c>
    </row>
    <row r="310" spans="1:3">
      <c r="A310" s="1" t="str">
        <f t="shared" si="14"/>
        <v/>
      </c>
      <c r="B310" s="1" t="str">
        <f t="shared" si="15"/>
        <v/>
      </c>
      <c r="C310" s="1" t="str">
        <f t="shared" si="16"/>
        <v/>
      </c>
    </row>
    <row r="311" spans="1:3">
      <c r="A311" s="1" t="str">
        <f t="shared" si="14"/>
        <v/>
      </c>
      <c r="B311" s="1" t="str">
        <f t="shared" si="15"/>
        <v/>
      </c>
      <c r="C311" s="1" t="str">
        <f t="shared" si="16"/>
        <v/>
      </c>
    </row>
    <row r="312" spans="1:3">
      <c r="A312" s="1" t="str">
        <f t="shared" si="14"/>
        <v/>
      </c>
      <c r="B312" s="1" t="str">
        <f t="shared" si="15"/>
        <v/>
      </c>
      <c r="C312" s="1" t="str">
        <f t="shared" si="16"/>
        <v/>
      </c>
    </row>
    <row r="313" spans="1:3">
      <c r="A313" s="1" t="str">
        <f t="shared" si="14"/>
        <v/>
      </c>
      <c r="B313" s="1" t="str">
        <f t="shared" si="15"/>
        <v/>
      </c>
      <c r="C313" s="1" t="str">
        <f t="shared" si="16"/>
        <v/>
      </c>
    </row>
    <row r="314" spans="1:3">
      <c r="A314" s="1" t="str">
        <f t="shared" si="14"/>
        <v/>
      </c>
      <c r="B314" s="1" t="str">
        <f t="shared" si="15"/>
        <v/>
      </c>
      <c r="C314" s="1" t="str">
        <f t="shared" si="16"/>
        <v/>
      </c>
    </row>
    <row r="315" spans="1:3">
      <c r="A315" s="1" t="str">
        <f t="shared" si="14"/>
        <v/>
      </c>
      <c r="B315" s="1" t="str">
        <f t="shared" si="15"/>
        <v/>
      </c>
      <c r="C315" s="1" t="str">
        <f t="shared" si="16"/>
        <v/>
      </c>
    </row>
    <row r="316" spans="1:3">
      <c r="A316" s="1" t="str">
        <f t="shared" si="14"/>
        <v/>
      </c>
      <c r="B316" s="1" t="str">
        <f t="shared" si="15"/>
        <v/>
      </c>
      <c r="C316" s="1" t="str">
        <f t="shared" si="16"/>
        <v/>
      </c>
    </row>
    <row r="317" spans="1:3">
      <c r="A317" s="1" t="str">
        <f t="shared" si="14"/>
        <v/>
      </c>
      <c r="B317" s="1" t="str">
        <f t="shared" si="15"/>
        <v/>
      </c>
      <c r="C317" s="1" t="str">
        <f t="shared" si="16"/>
        <v/>
      </c>
    </row>
    <row r="318" spans="1:3">
      <c r="A318" s="1" t="str">
        <f t="shared" si="14"/>
        <v/>
      </c>
      <c r="B318" s="1" t="str">
        <f t="shared" si="15"/>
        <v/>
      </c>
      <c r="C318" s="1" t="str">
        <f t="shared" si="16"/>
        <v/>
      </c>
    </row>
    <row r="319" spans="1:3">
      <c r="A319" s="1" t="str">
        <f t="shared" si="14"/>
        <v/>
      </c>
      <c r="B319" s="1" t="str">
        <f t="shared" si="15"/>
        <v/>
      </c>
      <c r="C319" s="1" t="str">
        <f t="shared" si="16"/>
        <v/>
      </c>
    </row>
    <row r="320" spans="1:3">
      <c r="A320" s="1" t="str">
        <f t="shared" si="14"/>
        <v/>
      </c>
      <c r="B320" s="1" t="str">
        <f t="shared" si="15"/>
        <v/>
      </c>
      <c r="C320" s="1" t="str">
        <f t="shared" si="16"/>
        <v/>
      </c>
    </row>
    <row r="321" spans="1:3">
      <c r="A321" s="1" t="str">
        <f t="shared" si="14"/>
        <v/>
      </c>
      <c r="B321" s="1" t="str">
        <f t="shared" si="15"/>
        <v/>
      </c>
      <c r="C321" s="1" t="str">
        <f t="shared" si="16"/>
        <v/>
      </c>
    </row>
    <row r="322" spans="1:3">
      <c r="A322" s="1" t="str">
        <f t="shared" si="14"/>
        <v/>
      </c>
      <c r="B322" s="1" t="str">
        <f t="shared" si="15"/>
        <v/>
      </c>
      <c r="C322" s="1" t="str">
        <f t="shared" si="16"/>
        <v/>
      </c>
    </row>
    <row r="323" spans="1:3">
      <c r="A323" s="1" t="str">
        <f t="shared" si="14"/>
        <v/>
      </c>
      <c r="B323" s="1" t="str">
        <f t="shared" si="15"/>
        <v/>
      </c>
      <c r="C323" s="1" t="str">
        <f t="shared" si="16"/>
        <v/>
      </c>
    </row>
    <row r="324" spans="1:3">
      <c r="A324" s="1" t="str">
        <f t="shared" si="14"/>
        <v/>
      </c>
      <c r="B324" s="1" t="str">
        <f t="shared" si="15"/>
        <v/>
      </c>
      <c r="C324" s="1" t="str">
        <f t="shared" si="16"/>
        <v/>
      </c>
    </row>
    <row r="325" spans="1:3">
      <c r="A325" s="1" t="str">
        <f t="shared" si="14"/>
        <v/>
      </c>
      <c r="B325" s="1" t="str">
        <f t="shared" si="15"/>
        <v/>
      </c>
      <c r="C325" s="1" t="str">
        <f t="shared" si="16"/>
        <v/>
      </c>
    </row>
    <row r="326" spans="1:3">
      <c r="A326" s="1" t="str">
        <f t="shared" si="14"/>
        <v/>
      </c>
      <c r="B326" s="1" t="str">
        <f t="shared" si="15"/>
        <v/>
      </c>
      <c r="C326" s="1" t="str">
        <f t="shared" si="16"/>
        <v/>
      </c>
    </row>
    <row r="327" spans="1:3">
      <c r="A327" s="1" t="str">
        <f t="shared" si="14"/>
        <v/>
      </c>
      <c r="B327" s="1" t="str">
        <f t="shared" si="15"/>
        <v/>
      </c>
      <c r="C327" s="1" t="str">
        <f t="shared" si="16"/>
        <v/>
      </c>
    </row>
    <row r="328" spans="1:3">
      <c r="A328" s="1" t="str">
        <f t="shared" si="14"/>
        <v/>
      </c>
      <c r="B328" s="1" t="str">
        <f t="shared" si="15"/>
        <v/>
      </c>
      <c r="C328" s="1" t="str">
        <f t="shared" si="16"/>
        <v/>
      </c>
    </row>
    <row r="329" spans="1:3">
      <c r="A329" s="1" t="str">
        <f t="shared" si="14"/>
        <v/>
      </c>
      <c r="B329" s="1" t="str">
        <f t="shared" si="15"/>
        <v/>
      </c>
      <c r="C329" s="1" t="str">
        <f t="shared" si="16"/>
        <v/>
      </c>
    </row>
    <row r="330" spans="1:3">
      <c r="A330" s="1" t="str">
        <f t="shared" ref="A330:A393" si="17">IF(C330="","",A329+1)</f>
        <v/>
      </c>
      <c r="B330" s="1" t="str">
        <f t="shared" ref="B330:B393" si="18">IF(D330="","",YEAR(D330))</f>
        <v/>
      </c>
      <c r="C330" s="1" t="str">
        <f t="shared" ref="C330:C393" si="19">IF(D330="","",MONTH(D330))</f>
        <v/>
      </c>
    </row>
    <row r="331" spans="1:3">
      <c r="A331" s="1" t="str">
        <f t="shared" si="17"/>
        <v/>
      </c>
      <c r="B331" s="1" t="str">
        <f t="shared" si="18"/>
        <v/>
      </c>
      <c r="C331" s="1" t="str">
        <f t="shared" si="19"/>
        <v/>
      </c>
    </row>
    <row r="332" spans="1:3">
      <c r="A332" s="1" t="str">
        <f t="shared" si="17"/>
        <v/>
      </c>
      <c r="B332" s="1" t="str">
        <f t="shared" si="18"/>
        <v/>
      </c>
      <c r="C332" s="1" t="str">
        <f t="shared" si="19"/>
        <v/>
      </c>
    </row>
    <row r="333" spans="1:3">
      <c r="A333" s="1" t="str">
        <f t="shared" si="17"/>
        <v/>
      </c>
      <c r="B333" s="1" t="str">
        <f t="shared" si="18"/>
        <v/>
      </c>
      <c r="C333" s="1" t="str">
        <f t="shared" si="19"/>
        <v/>
      </c>
    </row>
    <row r="334" spans="1:3">
      <c r="A334" s="1" t="str">
        <f t="shared" si="17"/>
        <v/>
      </c>
      <c r="B334" s="1" t="str">
        <f t="shared" si="18"/>
        <v/>
      </c>
      <c r="C334" s="1" t="str">
        <f t="shared" si="19"/>
        <v/>
      </c>
    </row>
    <row r="335" spans="1:3">
      <c r="A335" s="1" t="str">
        <f t="shared" si="17"/>
        <v/>
      </c>
      <c r="B335" s="1" t="str">
        <f t="shared" si="18"/>
        <v/>
      </c>
      <c r="C335" s="1" t="str">
        <f t="shared" si="19"/>
        <v/>
      </c>
    </row>
    <row r="336" spans="1:3">
      <c r="A336" s="1" t="str">
        <f t="shared" si="17"/>
        <v/>
      </c>
      <c r="B336" s="1" t="str">
        <f t="shared" si="18"/>
        <v/>
      </c>
      <c r="C336" s="1" t="str">
        <f t="shared" si="19"/>
        <v/>
      </c>
    </row>
    <row r="337" spans="1:3">
      <c r="A337" s="1" t="str">
        <f t="shared" si="17"/>
        <v/>
      </c>
      <c r="B337" s="1" t="str">
        <f t="shared" si="18"/>
        <v/>
      </c>
      <c r="C337" s="1" t="str">
        <f t="shared" si="19"/>
        <v/>
      </c>
    </row>
    <row r="338" spans="1:3">
      <c r="A338" s="1" t="str">
        <f t="shared" si="17"/>
        <v/>
      </c>
      <c r="B338" s="1" t="str">
        <f t="shared" si="18"/>
        <v/>
      </c>
      <c r="C338" s="1" t="str">
        <f t="shared" si="19"/>
        <v/>
      </c>
    </row>
    <row r="339" spans="1:3">
      <c r="A339" s="1" t="str">
        <f t="shared" si="17"/>
        <v/>
      </c>
      <c r="B339" s="1" t="str">
        <f t="shared" si="18"/>
        <v/>
      </c>
      <c r="C339" s="1" t="str">
        <f t="shared" si="19"/>
        <v/>
      </c>
    </row>
    <row r="340" spans="1:3">
      <c r="A340" s="1" t="str">
        <f t="shared" si="17"/>
        <v/>
      </c>
      <c r="B340" s="1" t="str">
        <f t="shared" si="18"/>
        <v/>
      </c>
      <c r="C340" s="1" t="str">
        <f t="shared" si="19"/>
        <v/>
      </c>
    </row>
    <row r="341" spans="1:3">
      <c r="A341" s="1" t="str">
        <f t="shared" si="17"/>
        <v/>
      </c>
      <c r="B341" s="1" t="str">
        <f t="shared" si="18"/>
        <v/>
      </c>
      <c r="C341" s="1" t="str">
        <f t="shared" si="19"/>
        <v/>
      </c>
    </row>
    <row r="342" spans="1:3">
      <c r="A342" s="1" t="str">
        <f t="shared" si="17"/>
        <v/>
      </c>
      <c r="B342" s="1" t="str">
        <f t="shared" si="18"/>
        <v/>
      </c>
      <c r="C342" s="1" t="str">
        <f t="shared" si="19"/>
        <v/>
      </c>
    </row>
    <row r="343" spans="1:3">
      <c r="A343" s="1" t="str">
        <f t="shared" si="17"/>
        <v/>
      </c>
      <c r="B343" s="1" t="str">
        <f t="shared" si="18"/>
        <v/>
      </c>
      <c r="C343" s="1" t="str">
        <f t="shared" si="19"/>
        <v/>
      </c>
    </row>
    <row r="344" spans="1:3">
      <c r="A344" s="1" t="str">
        <f t="shared" si="17"/>
        <v/>
      </c>
      <c r="B344" s="1" t="str">
        <f t="shared" si="18"/>
        <v/>
      </c>
      <c r="C344" s="1" t="str">
        <f t="shared" si="19"/>
        <v/>
      </c>
    </row>
    <row r="345" spans="1:3">
      <c r="A345" s="1" t="str">
        <f t="shared" si="17"/>
        <v/>
      </c>
      <c r="B345" s="1" t="str">
        <f t="shared" si="18"/>
        <v/>
      </c>
      <c r="C345" s="1" t="str">
        <f t="shared" si="19"/>
        <v/>
      </c>
    </row>
    <row r="346" spans="1:3">
      <c r="A346" s="1" t="str">
        <f t="shared" si="17"/>
        <v/>
      </c>
      <c r="B346" s="1" t="str">
        <f t="shared" si="18"/>
        <v/>
      </c>
      <c r="C346" s="1" t="str">
        <f t="shared" si="19"/>
        <v/>
      </c>
    </row>
    <row r="347" spans="1:3">
      <c r="A347" s="1" t="str">
        <f t="shared" si="17"/>
        <v/>
      </c>
      <c r="B347" s="1" t="str">
        <f t="shared" si="18"/>
        <v/>
      </c>
      <c r="C347" s="1" t="str">
        <f t="shared" si="19"/>
        <v/>
      </c>
    </row>
    <row r="348" spans="1:3">
      <c r="A348" s="1" t="str">
        <f t="shared" si="17"/>
        <v/>
      </c>
      <c r="B348" s="1" t="str">
        <f t="shared" si="18"/>
        <v/>
      </c>
      <c r="C348" s="1" t="str">
        <f t="shared" si="19"/>
        <v/>
      </c>
    </row>
    <row r="349" spans="1:3">
      <c r="A349" s="1" t="str">
        <f t="shared" si="17"/>
        <v/>
      </c>
      <c r="B349" s="1" t="str">
        <f t="shared" si="18"/>
        <v/>
      </c>
      <c r="C349" s="1" t="str">
        <f t="shared" si="19"/>
        <v/>
      </c>
    </row>
    <row r="350" spans="1:3">
      <c r="A350" s="1" t="str">
        <f t="shared" si="17"/>
        <v/>
      </c>
      <c r="B350" s="1" t="str">
        <f t="shared" si="18"/>
        <v/>
      </c>
      <c r="C350" s="1" t="str">
        <f t="shared" si="19"/>
        <v/>
      </c>
    </row>
    <row r="351" spans="1:3">
      <c r="A351" s="1" t="str">
        <f t="shared" si="17"/>
        <v/>
      </c>
      <c r="B351" s="1" t="str">
        <f t="shared" si="18"/>
        <v/>
      </c>
      <c r="C351" s="1" t="str">
        <f t="shared" si="19"/>
        <v/>
      </c>
    </row>
    <row r="352" spans="1:3">
      <c r="A352" s="1" t="str">
        <f t="shared" si="17"/>
        <v/>
      </c>
      <c r="B352" s="1" t="str">
        <f t="shared" si="18"/>
        <v/>
      </c>
      <c r="C352" s="1" t="str">
        <f t="shared" si="19"/>
        <v/>
      </c>
    </row>
    <row r="353" spans="1:3">
      <c r="A353" s="1" t="str">
        <f t="shared" si="17"/>
        <v/>
      </c>
      <c r="B353" s="1" t="str">
        <f t="shared" si="18"/>
        <v/>
      </c>
      <c r="C353" s="1" t="str">
        <f t="shared" si="19"/>
        <v/>
      </c>
    </row>
    <row r="354" spans="1:3">
      <c r="A354" s="1" t="str">
        <f t="shared" si="17"/>
        <v/>
      </c>
      <c r="B354" s="1" t="str">
        <f t="shared" si="18"/>
        <v/>
      </c>
      <c r="C354" s="1" t="str">
        <f t="shared" si="19"/>
        <v/>
      </c>
    </row>
    <row r="355" spans="1:3">
      <c r="A355" s="1" t="str">
        <f t="shared" si="17"/>
        <v/>
      </c>
      <c r="B355" s="1" t="str">
        <f t="shared" si="18"/>
        <v/>
      </c>
      <c r="C355" s="1" t="str">
        <f t="shared" si="19"/>
        <v/>
      </c>
    </row>
    <row r="356" spans="1:3">
      <c r="A356" s="1" t="str">
        <f t="shared" si="17"/>
        <v/>
      </c>
      <c r="B356" s="1" t="str">
        <f t="shared" si="18"/>
        <v/>
      </c>
      <c r="C356" s="1" t="str">
        <f t="shared" si="19"/>
        <v/>
      </c>
    </row>
    <row r="357" spans="1:3">
      <c r="A357" s="1" t="str">
        <f t="shared" si="17"/>
        <v/>
      </c>
      <c r="B357" s="1" t="str">
        <f t="shared" si="18"/>
        <v/>
      </c>
      <c r="C357" s="1" t="str">
        <f t="shared" si="19"/>
        <v/>
      </c>
    </row>
    <row r="358" spans="1:3">
      <c r="A358" s="1" t="str">
        <f t="shared" si="17"/>
        <v/>
      </c>
      <c r="B358" s="1" t="str">
        <f t="shared" si="18"/>
        <v/>
      </c>
      <c r="C358" s="1" t="str">
        <f t="shared" si="19"/>
        <v/>
      </c>
    </row>
    <row r="359" spans="1:3">
      <c r="A359" s="1" t="str">
        <f t="shared" si="17"/>
        <v/>
      </c>
      <c r="B359" s="1" t="str">
        <f t="shared" si="18"/>
        <v/>
      </c>
      <c r="C359" s="1" t="str">
        <f t="shared" si="19"/>
        <v/>
      </c>
    </row>
    <row r="360" spans="1:3">
      <c r="A360" s="1" t="str">
        <f t="shared" si="17"/>
        <v/>
      </c>
      <c r="B360" s="1" t="str">
        <f t="shared" si="18"/>
        <v/>
      </c>
      <c r="C360" s="1" t="str">
        <f t="shared" si="19"/>
        <v/>
      </c>
    </row>
    <row r="361" spans="1:3">
      <c r="A361" s="1" t="str">
        <f t="shared" si="17"/>
        <v/>
      </c>
      <c r="B361" s="1" t="str">
        <f t="shared" si="18"/>
        <v/>
      </c>
      <c r="C361" s="1" t="str">
        <f t="shared" si="19"/>
        <v/>
      </c>
    </row>
    <row r="362" spans="1:3">
      <c r="A362" s="1" t="str">
        <f t="shared" si="17"/>
        <v/>
      </c>
      <c r="B362" s="1" t="str">
        <f t="shared" si="18"/>
        <v/>
      </c>
      <c r="C362" s="1" t="str">
        <f t="shared" si="19"/>
        <v/>
      </c>
    </row>
    <row r="363" spans="1:3">
      <c r="A363" s="1" t="str">
        <f t="shared" si="17"/>
        <v/>
      </c>
      <c r="B363" s="1" t="str">
        <f t="shared" si="18"/>
        <v/>
      </c>
      <c r="C363" s="1" t="str">
        <f t="shared" si="19"/>
        <v/>
      </c>
    </row>
    <row r="364" spans="1:3">
      <c r="A364" s="1" t="str">
        <f t="shared" si="17"/>
        <v/>
      </c>
      <c r="B364" s="1" t="str">
        <f t="shared" si="18"/>
        <v/>
      </c>
      <c r="C364" s="1" t="str">
        <f t="shared" si="19"/>
        <v/>
      </c>
    </row>
    <row r="365" spans="1:3">
      <c r="A365" s="1" t="str">
        <f t="shared" si="17"/>
        <v/>
      </c>
      <c r="B365" s="1" t="str">
        <f t="shared" si="18"/>
        <v/>
      </c>
      <c r="C365" s="1" t="str">
        <f t="shared" si="19"/>
        <v/>
      </c>
    </row>
    <row r="366" spans="1:3">
      <c r="A366" s="1" t="str">
        <f t="shared" si="17"/>
        <v/>
      </c>
      <c r="B366" s="1" t="str">
        <f t="shared" si="18"/>
        <v/>
      </c>
      <c r="C366" s="1" t="str">
        <f t="shared" si="19"/>
        <v/>
      </c>
    </row>
    <row r="367" spans="1:3">
      <c r="A367" s="1" t="str">
        <f t="shared" si="17"/>
        <v/>
      </c>
      <c r="B367" s="1" t="str">
        <f t="shared" si="18"/>
        <v/>
      </c>
      <c r="C367" s="1" t="str">
        <f t="shared" si="19"/>
        <v/>
      </c>
    </row>
    <row r="368" spans="1:3">
      <c r="A368" s="1" t="str">
        <f t="shared" si="17"/>
        <v/>
      </c>
      <c r="B368" s="1" t="str">
        <f t="shared" si="18"/>
        <v/>
      </c>
      <c r="C368" s="1" t="str">
        <f t="shared" si="19"/>
        <v/>
      </c>
    </row>
    <row r="369" spans="1:3">
      <c r="A369" s="1" t="str">
        <f t="shared" si="17"/>
        <v/>
      </c>
      <c r="B369" s="1" t="str">
        <f t="shared" si="18"/>
        <v/>
      </c>
      <c r="C369" s="1" t="str">
        <f t="shared" si="19"/>
        <v/>
      </c>
    </row>
    <row r="370" spans="1:3">
      <c r="A370" s="1" t="str">
        <f t="shared" si="17"/>
        <v/>
      </c>
      <c r="B370" s="1" t="str">
        <f t="shared" si="18"/>
        <v/>
      </c>
      <c r="C370" s="1" t="str">
        <f t="shared" si="19"/>
        <v/>
      </c>
    </row>
    <row r="371" spans="1:3">
      <c r="A371" s="1" t="str">
        <f t="shared" si="17"/>
        <v/>
      </c>
      <c r="B371" s="1" t="str">
        <f t="shared" si="18"/>
        <v/>
      </c>
      <c r="C371" s="1" t="str">
        <f t="shared" si="19"/>
        <v/>
      </c>
    </row>
    <row r="372" spans="1:3">
      <c r="A372" s="1" t="str">
        <f t="shared" si="17"/>
        <v/>
      </c>
      <c r="B372" s="1" t="str">
        <f t="shared" si="18"/>
        <v/>
      </c>
      <c r="C372" s="1" t="str">
        <f t="shared" si="19"/>
        <v/>
      </c>
    </row>
    <row r="373" spans="1:3">
      <c r="A373" s="1" t="str">
        <f t="shared" si="17"/>
        <v/>
      </c>
      <c r="B373" s="1" t="str">
        <f t="shared" si="18"/>
        <v/>
      </c>
      <c r="C373" s="1" t="str">
        <f t="shared" si="19"/>
        <v/>
      </c>
    </row>
    <row r="374" spans="1:3">
      <c r="A374" s="1" t="str">
        <f t="shared" si="17"/>
        <v/>
      </c>
      <c r="B374" s="1" t="str">
        <f t="shared" si="18"/>
        <v/>
      </c>
      <c r="C374" s="1" t="str">
        <f t="shared" si="19"/>
        <v/>
      </c>
    </row>
    <row r="375" spans="1:3">
      <c r="A375" s="1" t="str">
        <f t="shared" si="17"/>
        <v/>
      </c>
      <c r="B375" s="1" t="str">
        <f t="shared" si="18"/>
        <v/>
      </c>
      <c r="C375" s="1" t="str">
        <f t="shared" si="19"/>
        <v/>
      </c>
    </row>
    <row r="376" spans="1:3">
      <c r="A376" s="1" t="str">
        <f t="shared" si="17"/>
        <v/>
      </c>
      <c r="B376" s="1" t="str">
        <f t="shared" si="18"/>
        <v/>
      </c>
      <c r="C376" s="1" t="str">
        <f t="shared" si="19"/>
        <v/>
      </c>
    </row>
    <row r="377" spans="1:3">
      <c r="A377" s="1" t="str">
        <f t="shared" si="17"/>
        <v/>
      </c>
      <c r="B377" s="1" t="str">
        <f t="shared" si="18"/>
        <v/>
      </c>
      <c r="C377" s="1" t="str">
        <f t="shared" si="19"/>
        <v/>
      </c>
    </row>
    <row r="378" spans="1:3">
      <c r="A378" s="1" t="str">
        <f t="shared" si="17"/>
        <v/>
      </c>
      <c r="B378" s="1" t="str">
        <f t="shared" si="18"/>
        <v/>
      </c>
      <c r="C378" s="1" t="str">
        <f t="shared" si="19"/>
        <v/>
      </c>
    </row>
    <row r="379" spans="1:3">
      <c r="A379" s="1" t="str">
        <f t="shared" si="17"/>
        <v/>
      </c>
      <c r="B379" s="1" t="str">
        <f t="shared" si="18"/>
        <v/>
      </c>
      <c r="C379" s="1" t="str">
        <f t="shared" si="19"/>
        <v/>
      </c>
    </row>
    <row r="380" spans="1:3">
      <c r="A380" s="1" t="str">
        <f t="shared" si="17"/>
        <v/>
      </c>
      <c r="B380" s="1" t="str">
        <f t="shared" si="18"/>
        <v/>
      </c>
      <c r="C380" s="1" t="str">
        <f t="shared" si="19"/>
        <v/>
      </c>
    </row>
    <row r="381" spans="1:3">
      <c r="A381" s="1" t="str">
        <f t="shared" si="17"/>
        <v/>
      </c>
      <c r="B381" s="1" t="str">
        <f t="shared" si="18"/>
        <v/>
      </c>
      <c r="C381" s="1" t="str">
        <f t="shared" si="19"/>
        <v/>
      </c>
    </row>
    <row r="382" spans="1:3">
      <c r="A382" s="1" t="str">
        <f t="shared" si="17"/>
        <v/>
      </c>
      <c r="B382" s="1" t="str">
        <f t="shared" si="18"/>
        <v/>
      </c>
      <c r="C382" s="1" t="str">
        <f t="shared" si="19"/>
        <v/>
      </c>
    </row>
    <row r="383" spans="1:3">
      <c r="A383" s="1" t="str">
        <f t="shared" si="17"/>
        <v/>
      </c>
      <c r="B383" s="1" t="str">
        <f t="shared" si="18"/>
        <v/>
      </c>
      <c r="C383" s="1" t="str">
        <f t="shared" si="19"/>
        <v/>
      </c>
    </row>
    <row r="384" spans="1:3">
      <c r="A384" s="1" t="str">
        <f t="shared" si="17"/>
        <v/>
      </c>
      <c r="B384" s="1" t="str">
        <f t="shared" si="18"/>
        <v/>
      </c>
      <c r="C384" s="1" t="str">
        <f t="shared" si="19"/>
        <v/>
      </c>
    </row>
    <row r="385" spans="1:3">
      <c r="A385" s="1" t="str">
        <f t="shared" si="17"/>
        <v/>
      </c>
      <c r="B385" s="1" t="str">
        <f t="shared" si="18"/>
        <v/>
      </c>
      <c r="C385" s="1" t="str">
        <f t="shared" si="19"/>
        <v/>
      </c>
    </row>
    <row r="386" spans="1:3">
      <c r="A386" s="1" t="str">
        <f t="shared" si="17"/>
        <v/>
      </c>
      <c r="B386" s="1" t="str">
        <f t="shared" si="18"/>
        <v/>
      </c>
      <c r="C386" s="1" t="str">
        <f t="shared" si="19"/>
        <v/>
      </c>
    </row>
    <row r="387" spans="1:3">
      <c r="A387" s="1" t="str">
        <f t="shared" si="17"/>
        <v/>
      </c>
      <c r="B387" s="1" t="str">
        <f t="shared" si="18"/>
        <v/>
      </c>
      <c r="C387" s="1" t="str">
        <f t="shared" si="19"/>
        <v/>
      </c>
    </row>
    <row r="388" spans="1:3">
      <c r="A388" s="1" t="str">
        <f t="shared" si="17"/>
        <v/>
      </c>
      <c r="B388" s="1" t="str">
        <f t="shared" si="18"/>
        <v/>
      </c>
      <c r="C388" s="1" t="str">
        <f t="shared" si="19"/>
        <v/>
      </c>
    </row>
    <row r="389" spans="1:3">
      <c r="A389" s="1" t="str">
        <f t="shared" si="17"/>
        <v/>
      </c>
      <c r="B389" s="1" t="str">
        <f t="shared" si="18"/>
        <v/>
      </c>
      <c r="C389" s="1" t="str">
        <f t="shared" si="19"/>
        <v/>
      </c>
    </row>
    <row r="390" spans="1:3">
      <c r="A390" s="1" t="str">
        <f t="shared" si="17"/>
        <v/>
      </c>
      <c r="B390" s="1" t="str">
        <f t="shared" si="18"/>
        <v/>
      </c>
      <c r="C390" s="1" t="str">
        <f t="shared" si="19"/>
        <v/>
      </c>
    </row>
    <row r="391" spans="1:3">
      <c r="A391" s="1" t="str">
        <f t="shared" si="17"/>
        <v/>
      </c>
      <c r="B391" s="1" t="str">
        <f t="shared" si="18"/>
        <v/>
      </c>
      <c r="C391" s="1" t="str">
        <f t="shared" si="19"/>
        <v/>
      </c>
    </row>
    <row r="392" spans="1:3">
      <c r="A392" s="1" t="str">
        <f t="shared" si="17"/>
        <v/>
      </c>
      <c r="B392" s="1" t="str">
        <f t="shared" si="18"/>
        <v/>
      </c>
      <c r="C392" s="1" t="str">
        <f t="shared" si="19"/>
        <v/>
      </c>
    </row>
    <row r="393" spans="1:3">
      <c r="A393" s="1" t="str">
        <f t="shared" si="17"/>
        <v/>
      </c>
      <c r="B393" s="1" t="str">
        <f t="shared" si="18"/>
        <v/>
      </c>
      <c r="C393" s="1" t="str">
        <f t="shared" si="19"/>
        <v/>
      </c>
    </row>
    <row r="394" spans="1:3">
      <c r="A394" s="1" t="str">
        <f t="shared" ref="A394:A457" si="20">IF(C394="","",A393+1)</f>
        <v/>
      </c>
      <c r="B394" s="1" t="str">
        <f t="shared" ref="B394:B457" si="21">IF(D394="","",YEAR(D394))</f>
        <v/>
      </c>
      <c r="C394" s="1" t="str">
        <f t="shared" ref="C394:C457" si="22">IF(D394="","",MONTH(D394))</f>
        <v/>
      </c>
    </row>
    <row r="395" spans="1:3">
      <c r="A395" s="1" t="str">
        <f t="shared" si="20"/>
        <v/>
      </c>
      <c r="B395" s="1" t="str">
        <f t="shared" si="21"/>
        <v/>
      </c>
      <c r="C395" s="1" t="str">
        <f t="shared" si="22"/>
        <v/>
      </c>
    </row>
    <row r="396" spans="1:3">
      <c r="A396" s="1" t="str">
        <f t="shared" si="20"/>
        <v/>
      </c>
      <c r="B396" s="1" t="str">
        <f t="shared" si="21"/>
        <v/>
      </c>
      <c r="C396" s="1" t="str">
        <f t="shared" si="22"/>
        <v/>
      </c>
    </row>
    <row r="397" spans="1:3">
      <c r="A397" s="1" t="str">
        <f t="shared" si="20"/>
        <v/>
      </c>
      <c r="B397" s="1" t="str">
        <f t="shared" si="21"/>
        <v/>
      </c>
      <c r="C397" s="1" t="str">
        <f t="shared" si="22"/>
        <v/>
      </c>
    </row>
    <row r="398" spans="1:3">
      <c r="A398" s="1" t="str">
        <f t="shared" si="20"/>
        <v/>
      </c>
      <c r="B398" s="1" t="str">
        <f t="shared" si="21"/>
        <v/>
      </c>
      <c r="C398" s="1" t="str">
        <f t="shared" si="22"/>
        <v/>
      </c>
    </row>
    <row r="399" spans="1:3">
      <c r="A399" s="1" t="str">
        <f t="shared" si="20"/>
        <v/>
      </c>
      <c r="B399" s="1" t="str">
        <f t="shared" si="21"/>
        <v/>
      </c>
      <c r="C399" s="1" t="str">
        <f t="shared" si="22"/>
        <v/>
      </c>
    </row>
    <row r="400" spans="1:3">
      <c r="A400" s="1" t="str">
        <f t="shared" si="20"/>
        <v/>
      </c>
      <c r="B400" s="1" t="str">
        <f t="shared" si="21"/>
        <v/>
      </c>
      <c r="C400" s="1" t="str">
        <f t="shared" si="22"/>
        <v/>
      </c>
    </row>
    <row r="401" spans="1:3">
      <c r="A401" s="1" t="str">
        <f t="shared" si="20"/>
        <v/>
      </c>
      <c r="B401" s="1" t="str">
        <f t="shared" si="21"/>
        <v/>
      </c>
      <c r="C401" s="1" t="str">
        <f t="shared" si="22"/>
        <v/>
      </c>
    </row>
    <row r="402" spans="1:3">
      <c r="A402" s="1" t="str">
        <f t="shared" si="20"/>
        <v/>
      </c>
      <c r="B402" s="1" t="str">
        <f t="shared" si="21"/>
        <v/>
      </c>
      <c r="C402" s="1" t="str">
        <f t="shared" si="22"/>
        <v/>
      </c>
    </row>
    <row r="403" spans="1:3">
      <c r="A403" s="1" t="str">
        <f t="shared" si="20"/>
        <v/>
      </c>
      <c r="B403" s="1" t="str">
        <f t="shared" si="21"/>
        <v/>
      </c>
      <c r="C403" s="1" t="str">
        <f t="shared" si="22"/>
        <v/>
      </c>
    </row>
    <row r="404" spans="1:3">
      <c r="A404" s="1" t="str">
        <f t="shared" si="20"/>
        <v/>
      </c>
      <c r="B404" s="1" t="str">
        <f t="shared" si="21"/>
        <v/>
      </c>
      <c r="C404" s="1" t="str">
        <f t="shared" si="22"/>
        <v/>
      </c>
    </row>
    <row r="405" spans="1:3">
      <c r="A405" s="1" t="str">
        <f t="shared" si="20"/>
        <v/>
      </c>
      <c r="B405" s="1" t="str">
        <f t="shared" si="21"/>
        <v/>
      </c>
      <c r="C405" s="1" t="str">
        <f t="shared" si="22"/>
        <v/>
      </c>
    </row>
    <row r="406" spans="1:3">
      <c r="A406" s="1" t="str">
        <f t="shared" si="20"/>
        <v/>
      </c>
      <c r="B406" s="1" t="str">
        <f t="shared" si="21"/>
        <v/>
      </c>
      <c r="C406" s="1" t="str">
        <f t="shared" si="22"/>
        <v/>
      </c>
    </row>
    <row r="407" spans="1:3">
      <c r="A407" s="1" t="str">
        <f t="shared" si="20"/>
        <v/>
      </c>
      <c r="B407" s="1" t="str">
        <f t="shared" si="21"/>
        <v/>
      </c>
      <c r="C407" s="1" t="str">
        <f t="shared" si="22"/>
        <v/>
      </c>
    </row>
    <row r="408" spans="1:3">
      <c r="A408" s="1" t="str">
        <f t="shared" si="20"/>
        <v/>
      </c>
      <c r="B408" s="1" t="str">
        <f t="shared" si="21"/>
        <v/>
      </c>
      <c r="C408" s="1" t="str">
        <f t="shared" si="22"/>
        <v/>
      </c>
    </row>
    <row r="409" spans="1:3">
      <c r="A409" s="1" t="str">
        <f t="shared" si="20"/>
        <v/>
      </c>
      <c r="B409" s="1" t="str">
        <f t="shared" si="21"/>
        <v/>
      </c>
      <c r="C409" s="1" t="str">
        <f t="shared" si="22"/>
        <v/>
      </c>
    </row>
    <row r="410" spans="1:3">
      <c r="A410" s="1" t="str">
        <f t="shared" si="20"/>
        <v/>
      </c>
      <c r="B410" s="1" t="str">
        <f t="shared" si="21"/>
        <v/>
      </c>
      <c r="C410" s="1" t="str">
        <f t="shared" si="22"/>
        <v/>
      </c>
    </row>
    <row r="411" spans="1:3">
      <c r="A411" s="1" t="str">
        <f t="shared" si="20"/>
        <v/>
      </c>
      <c r="B411" s="1" t="str">
        <f t="shared" si="21"/>
        <v/>
      </c>
      <c r="C411" s="1" t="str">
        <f t="shared" si="22"/>
        <v/>
      </c>
    </row>
    <row r="412" spans="1:3">
      <c r="A412" s="1" t="str">
        <f t="shared" si="20"/>
        <v/>
      </c>
      <c r="B412" s="1" t="str">
        <f t="shared" si="21"/>
        <v/>
      </c>
      <c r="C412" s="1" t="str">
        <f t="shared" si="22"/>
        <v/>
      </c>
    </row>
    <row r="413" spans="1:3">
      <c r="A413" s="1" t="str">
        <f t="shared" si="20"/>
        <v/>
      </c>
      <c r="B413" s="1" t="str">
        <f t="shared" si="21"/>
        <v/>
      </c>
      <c r="C413" s="1" t="str">
        <f t="shared" si="22"/>
        <v/>
      </c>
    </row>
    <row r="414" spans="1:3">
      <c r="A414" s="1" t="str">
        <f t="shared" si="20"/>
        <v/>
      </c>
      <c r="B414" s="1" t="str">
        <f t="shared" si="21"/>
        <v/>
      </c>
      <c r="C414" s="1" t="str">
        <f t="shared" si="22"/>
        <v/>
      </c>
    </row>
    <row r="415" spans="1:3">
      <c r="A415" s="1" t="str">
        <f t="shared" si="20"/>
        <v/>
      </c>
      <c r="B415" s="1" t="str">
        <f t="shared" si="21"/>
        <v/>
      </c>
      <c r="C415" s="1" t="str">
        <f t="shared" si="22"/>
        <v/>
      </c>
    </row>
    <row r="416" spans="1:3">
      <c r="A416" s="1" t="str">
        <f t="shared" si="20"/>
        <v/>
      </c>
      <c r="B416" s="1" t="str">
        <f t="shared" si="21"/>
        <v/>
      </c>
      <c r="C416" s="1" t="str">
        <f t="shared" si="22"/>
        <v/>
      </c>
    </row>
    <row r="417" spans="1:3">
      <c r="A417" s="1" t="str">
        <f t="shared" si="20"/>
        <v/>
      </c>
      <c r="B417" s="1" t="str">
        <f t="shared" si="21"/>
        <v/>
      </c>
      <c r="C417" s="1" t="str">
        <f t="shared" si="22"/>
        <v/>
      </c>
    </row>
    <row r="418" spans="1:3">
      <c r="A418" s="1" t="str">
        <f t="shared" si="20"/>
        <v/>
      </c>
      <c r="B418" s="1" t="str">
        <f t="shared" si="21"/>
        <v/>
      </c>
      <c r="C418" s="1" t="str">
        <f t="shared" si="22"/>
        <v/>
      </c>
    </row>
    <row r="419" spans="1:3">
      <c r="A419" s="1" t="str">
        <f t="shared" si="20"/>
        <v/>
      </c>
      <c r="B419" s="1" t="str">
        <f t="shared" si="21"/>
        <v/>
      </c>
      <c r="C419" s="1" t="str">
        <f t="shared" si="22"/>
        <v/>
      </c>
    </row>
    <row r="420" spans="1:3">
      <c r="A420" s="1" t="str">
        <f t="shared" si="20"/>
        <v/>
      </c>
      <c r="B420" s="1" t="str">
        <f t="shared" si="21"/>
        <v/>
      </c>
      <c r="C420" s="1" t="str">
        <f t="shared" si="22"/>
        <v/>
      </c>
    </row>
    <row r="421" spans="1:3">
      <c r="A421" s="1" t="str">
        <f t="shared" si="20"/>
        <v/>
      </c>
      <c r="B421" s="1" t="str">
        <f t="shared" si="21"/>
        <v/>
      </c>
      <c r="C421" s="1" t="str">
        <f t="shared" si="22"/>
        <v/>
      </c>
    </row>
    <row r="422" spans="1:3">
      <c r="A422" s="1" t="str">
        <f t="shared" si="20"/>
        <v/>
      </c>
      <c r="B422" s="1" t="str">
        <f t="shared" si="21"/>
        <v/>
      </c>
      <c r="C422" s="1" t="str">
        <f t="shared" si="22"/>
        <v/>
      </c>
    </row>
    <row r="423" spans="1:3">
      <c r="A423" s="1" t="str">
        <f t="shared" si="20"/>
        <v/>
      </c>
      <c r="B423" s="1" t="str">
        <f t="shared" si="21"/>
        <v/>
      </c>
      <c r="C423" s="1" t="str">
        <f t="shared" si="22"/>
        <v/>
      </c>
    </row>
    <row r="424" spans="1:3">
      <c r="A424" s="1" t="str">
        <f t="shared" si="20"/>
        <v/>
      </c>
      <c r="B424" s="1" t="str">
        <f t="shared" si="21"/>
        <v/>
      </c>
      <c r="C424" s="1" t="str">
        <f t="shared" si="22"/>
        <v/>
      </c>
    </row>
    <row r="425" spans="1:3">
      <c r="A425" s="1" t="str">
        <f t="shared" si="20"/>
        <v/>
      </c>
      <c r="B425" s="1" t="str">
        <f t="shared" si="21"/>
        <v/>
      </c>
      <c r="C425" s="1" t="str">
        <f t="shared" si="22"/>
        <v/>
      </c>
    </row>
    <row r="426" spans="1:3">
      <c r="A426" s="1" t="str">
        <f t="shared" si="20"/>
        <v/>
      </c>
      <c r="B426" s="1" t="str">
        <f t="shared" si="21"/>
        <v/>
      </c>
      <c r="C426" s="1" t="str">
        <f t="shared" si="22"/>
        <v/>
      </c>
    </row>
    <row r="427" spans="1:3">
      <c r="A427" s="1" t="str">
        <f t="shared" si="20"/>
        <v/>
      </c>
      <c r="B427" s="1" t="str">
        <f t="shared" si="21"/>
        <v/>
      </c>
      <c r="C427" s="1" t="str">
        <f t="shared" si="22"/>
        <v/>
      </c>
    </row>
    <row r="428" spans="1:3">
      <c r="A428" s="1" t="str">
        <f t="shared" si="20"/>
        <v/>
      </c>
      <c r="B428" s="1" t="str">
        <f t="shared" si="21"/>
        <v/>
      </c>
      <c r="C428" s="1" t="str">
        <f t="shared" si="22"/>
        <v/>
      </c>
    </row>
    <row r="429" spans="1:3">
      <c r="A429" s="1" t="str">
        <f t="shared" si="20"/>
        <v/>
      </c>
      <c r="B429" s="1" t="str">
        <f t="shared" si="21"/>
        <v/>
      </c>
      <c r="C429" s="1" t="str">
        <f t="shared" si="22"/>
        <v/>
      </c>
    </row>
    <row r="430" spans="1:3">
      <c r="A430" s="1" t="str">
        <f t="shared" si="20"/>
        <v/>
      </c>
      <c r="B430" s="1" t="str">
        <f t="shared" si="21"/>
        <v/>
      </c>
      <c r="C430" s="1" t="str">
        <f t="shared" si="22"/>
        <v/>
      </c>
    </row>
    <row r="431" spans="1:3">
      <c r="A431" s="1" t="str">
        <f t="shared" si="20"/>
        <v/>
      </c>
      <c r="B431" s="1" t="str">
        <f t="shared" si="21"/>
        <v/>
      </c>
      <c r="C431" s="1" t="str">
        <f t="shared" si="22"/>
        <v/>
      </c>
    </row>
    <row r="432" spans="1:3">
      <c r="A432" s="1" t="str">
        <f t="shared" si="20"/>
        <v/>
      </c>
      <c r="B432" s="1" t="str">
        <f t="shared" si="21"/>
        <v/>
      </c>
      <c r="C432" s="1" t="str">
        <f t="shared" si="22"/>
        <v/>
      </c>
    </row>
    <row r="433" spans="1:3">
      <c r="A433" s="1" t="str">
        <f t="shared" si="20"/>
        <v/>
      </c>
      <c r="B433" s="1" t="str">
        <f t="shared" si="21"/>
        <v/>
      </c>
      <c r="C433" s="1" t="str">
        <f t="shared" si="22"/>
        <v/>
      </c>
    </row>
    <row r="434" spans="1:3">
      <c r="A434" s="1" t="str">
        <f t="shared" si="20"/>
        <v/>
      </c>
      <c r="B434" s="1" t="str">
        <f t="shared" si="21"/>
        <v/>
      </c>
      <c r="C434" s="1" t="str">
        <f t="shared" si="22"/>
        <v/>
      </c>
    </row>
    <row r="435" spans="1:3">
      <c r="A435" s="1" t="str">
        <f t="shared" si="20"/>
        <v/>
      </c>
      <c r="B435" s="1" t="str">
        <f t="shared" si="21"/>
        <v/>
      </c>
      <c r="C435" s="1" t="str">
        <f t="shared" si="22"/>
        <v/>
      </c>
    </row>
    <row r="436" spans="1:3">
      <c r="A436" s="1" t="str">
        <f t="shared" si="20"/>
        <v/>
      </c>
      <c r="B436" s="1" t="str">
        <f t="shared" si="21"/>
        <v/>
      </c>
      <c r="C436" s="1" t="str">
        <f t="shared" si="22"/>
        <v/>
      </c>
    </row>
    <row r="437" spans="1:3">
      <c r="A437" s="1" t="str">
        <f t="shared" si="20"/>
        <v/>
      </c>
      <c r="B437" s="1" t="str">
        <f t="shared" si="21"/>
        <v/>
      </c>
      <c r="C437" s="1" t="str">
        <f t="shared" si="22"/>
        <v/>
      </c>
    </row>
    <row r="438" spans="1:3">
      <c r="A438" s="1" t="str">
        <f t="shared" si="20"/>
        <v/>
      </c>
      <c r="B438" s="1" t="str">
        <f t="shared" si="21"/>
        <v/>
      </c>
      <c r="C438" s="1" t="str">
        <f t="shared" si="22"/>
        <v/>
      </c>
    </row>
    <row r="439" spans="1:3">
      <c r="A439" s="1" t="str">
        <f t="shared" si="20"/>
        <v/>
      </c>
      <c r="B439" s="1" t="str">
        <f t="shared" si="21"/>
        <v/>
      </c>
      <c r="C439" s="1" t="str">
        <f t="shared" si="22"/>
        <v/>
      </c>
    </row>
    <row r="440" spans="1:3">
      <c r="A440" s="1" t="str">
        <f t="shared" si="20"/>
        <v/>
      </c>
      <c r="B440" s="1" t="str">
        <f t="shared" si="21"/>
        <v/>
      </c>
      <c r="C440" s="1" t="str">
        <f t="shared" si="22"/>
        <v/>
      </c>
    </row>
    <row r="441" spans="1:3">
      <c r="A441" s="1" t="str">
        <f t="shared" si="20"/>
        <v/>
      </c>
      <c r="B441" s="1" t="str">
        <f t="shared" si="21"/>
        <v/>
      </c>
      <c r="C441" s="1" t="str">
        <f t="shared" si="22"/>
        <v/>
      </c>
    </row>
    <row r="442" spans="1:3">
      <c r="A442" s="1" t="str">
        <f t="shared" si="20"/>
        <v/>
      </c>
      <c r="B442" s="1" t="str">
        <f t="shared" si="21"/>
        <v/>
      </c>
      <c r="C442" s="1" t="str">
        <f t="shared" si="22"/>
        <v/>
      </c>
    </row>
    <row r="443" spans="1:3">
      <c r="A443" s="1" t="str">
        <f t="shared" si="20"/>
        <v/>
      </c>
      <c r="B443" s="1" t="str">
        <f t="shared" si="21"/>
        <v/>
      </c>
      <c r="C443" s="1" t="str">
        <f t="shared" si="22"/>
        <v/>
      </c>
    </row>
    <row r="444" spans="1:3">
      <c r="A444" s="1" t="str">
        <f t="shared" si="20"/>
        <v/>
      </c>
      <c r="B444" s="1" t="str">
        <f t="shared" si="21"/>
        <v/>
      </c>
      <c r="C444" s="1" t="str">
        <f t="shared" si="22"/>
        <v/>
      </c>
    </row>
    <row r="445" spans="1:3">
      <c r="A445" s="1" t="str">
        <f t="shared" si="20"/>
        <v/>
      </c>
      <c r="B445" s="1" t="str">
        <f t="shared" si="21"/>
        <v/>
      </c>
      <c r="C445" s="1" t="str">
        <f t="shared" si="22"/>
        <v/>
      </c>
    </row>
    <row r="446" spans="1:3">
      <c r="A446" s="1" t="str">
        <f t="shared" si="20"/>
        <v/>
      </c>
      <c r="B446" s="1" t="str">
        <f t="shared" si="21"/>
        <v/>
      </c>
      <c r="C446" s="1" t="str">
        <f t="shared" si="22"/>
        <v/>
      </c>
    </row>
    <row r="447" spans="1:3">
      <c r="A447" s="1" t="str">
        <f t="shared" si="20"/>
        <v/>
      </c>
      <c r="B447" s="1" t="str">
        <f t="shared" si="21"/>
        <v/>
      </c>
      <c r="C447" s="1" t="str">
        <f t="shared" si="22"/>
        <v/>
      </c>
    </row>
    <row r="448" spans="1:3">
      <c r="A448" s="1" t="str">
        <f t="shared" si="20"/>
        <v/>
      </c>
      <c r="B448" s="1" t="str">
        <f t="shared" si="21"/>
        <v/>
      </c>
      <c r="C448" s="1" t="str">
        <f t="shared" si="22"/>
        <v/>
      </c>
    </row>
    <row r="449" spans="1:3">
      <c r="A449" s="1" t="str">
        <f t="shared" si="20"/>
        <v/>
      </c>
      <c r="B449" s="1" t="str">
        <f t="shared" si="21"/>
        <v/>
      </c>
      <c r="C449" s="1" t="str">
        <f t="shared" si="22"/>
        <v/>
      </c>
    </row>
    <row r="450" spans="1:3">
      <c r="A450" s="1" t="str">
        <f t="shared" si="20"/>
        <v/>
      </c>
      <c r="B450" s="1" t="str">
        <f t="shared" si="21"/>
        <v/>
      </c>
      <c r="C450" s="1" t="str">
        <f t="shared" si="22"/>
        <v/>
      </c>
    </row>
    <row r="451" spans="1:3">
      <c r="A451" s="1" t="str">
        <f t="shared" si="20"/>
        <v/>
      </c>
      <c r="B451" s="1" t="str">
        <f t="shared" si="21"/>
        <v/>
      </c>
      <c r="C451" s="1" t="str">
        <f t="shared" si="22"/>
        <v/>
      </c>
    </row>
    <row r="452" spans="1:3">
      <c r="A452" s="1" t="str">
        <f t="shared" si="20"/>
        <v/>
      </c>
      <c r="B452" s="1" t="str">
        <f t="shared" si="21"/>
        <v/>
      </c>
      <c r="C452" s="1" t="str">
        <f t="shared" si="22"/>
        <v/>
      </c>
    </row>
    <row r="453" spans="1:3">
      <c r="A453" s="1" t="str">
        <f t="shared" si="20"/>
        <v/>
      </c>
      <c r="B453" s="1" t="str">
        <f t="shared" si="21"/>
        <v/>
      </c>
      <c r="C453" s="1" t="str">
        <f t="shared" si="22"/>
        <v/>
      </c>
    </row>
    <row r="454" spans="1:3">
      <c r="A454" s="1" t="str">
        <f t="shared" si="20"/>
        <v/>
      </c>
      <c r="B454" s="1" t="str">
        <f t="shared" si="21"/>
        <v/>
      </c>
      <c r="C454" s="1" t="str">
        <f t="shared" si="22"/>
        <v/>
      </c>
    </row>
    <row r="455" spans="1:3">
      <c r="A455" s="1" t="str">
        <f t="shared" si="20"/>
        <v/>
      </c>
      <c r="B455" s="1" t="str">
        <f t="shared" si="21"/>
        <v/>
      </c>
      <c r="C455" s="1" t="str">
        <f t="shared" si="22"/>
        <v/>
      </c>
    </row>
    <row r="456" spans="1:3">
      <c r="A456" s="1" t="str">
        <f t="shared" si="20"/>
        <v/>
      </c>
      <c r="B456" s="1" t="str">
        <f t="shared" si="21"/>
        <v/>
      </c>
      <c r="C456" s="1" t="str">
        <f t="shared" si="22"/>
        <v/>
      </c>
    </row>
    <row r="457" spans="1:3">
      <c r="A457" s="1" t="str">
        <f t="shared" si="20"/>
        <v/>
      </c>
      <c r="B457" s="1" t="str">
        <f t="shared" si="21"/>
        <v/>
      </c>
      <c r="C457" s="1" t="str">
        <f t="shared" si="22"/>
        <v/>
      </c>
    </row>
    <row r="458" spans="1:3">
      <c r="A458" s="1" t="str">
        <f t="shared" ref="A458:A521" si="23">IF(C458="","",A457+1)</f>
        <v/>
      </c>
      <c r="B458" s="1" t="str">
        <f t="shared" ref="B458:B502" si="24">IF(D458="","",YEAR(D458))</f>
        <v/>
      </c>
      <c r="C458" s="1" t="str">
        <f t="shared" ref="C458:C502" si="25">IF(D458="","",MONTH(D458))</f>
        <v/>
      </c>
    </row>
    <row r="459" spans="1:3">
      <c r="A459" s="1" t="str">
        <f t="shared" si="23"/>
        <v/>
      </c>
      <c r="B459" s="1" t="str">
        <f t="shared" si="24"/>
        <v/>
      </c>
      <c r="C459" s="1" t="str">
        <f t="shared" si="25"/>
        <v/>
      </c>
    </row>
    <row r="460" spans="1:3">
      <c r="A460" s="1" t="str">
        <f t="shared" si="23"/>
        <v/>
      </c>
      <c r="B460" s="1" t="str">
        <f t="shared" si="24"/>
        <v/>
      </c>
      <c r="C460" s="1" t="str">
        <f t="shared" si="25"/>
        <v/>
      </c>
    </row>
    <row r="461" spans="1:3">
      <c r="A461" s="1" t="str">
        <f t="shared" si="23"/>
        <v/>
      </c>
      <c r="B461" s="1" t="str">
        <f t="shared" si="24"/>
        <v/>
      </c>
      <c r="C461" s="1" t="str">
        <f t="shared" si="25"/>
        <v/>
      </c>
    </row>
    <row r="462" spans="1:3">
      <c r="A462" s="1" t="str">
        <f t="shared" si="23"/>
        <v/>
      </c>
      <c r="B462" s="1" t="str">
        <f t="shared" si="24"/>
        <v/>
      </c>
      <c r="C462" s="1" t="str">
        <f t="shared" si="25"/>
        <v/>
      </c>
    </row>
    <row r="463" spans="1:3">
      <c r="A463" s="1" t="str">
        <f t="shared" si="23"/>
        <v/>
      </c>
      <c r="B463" s="1" t="str">
        <f t="shared" si="24"/>
        <v/>
      </c>
      <c r="C463" s="1" t="str">
        <f t="shared" si="25"/>
        <v/>
      </c>
    </row>
    <row r="464" spans="1:3">
      <c r="A464" s="1" t="str">
        <f t="shared" si="23"/>
        <v/>
      </c>
      <c r="B464" s="1" t="str">
        <f t="shared" si="24"/>
        <v/>
      </c>
      <c r="C464" s="1" t="str">
        <f t="shared" si="25"/>
        <v/>
      </c>
    </row>
    <row r="465" spans="1:3">
      <c r="A465" s="1" t="str">
        <f t="shared" si="23"/>
        <v/>
      </c>
      <c r="B465" s="1" t="str">
        <f t="shared" si="24"/>
        <v/>
      </c>
      <c r="C465" s="1" t="str">
        <f t="shared" si="25"/>
        <v/>
      </c>
    </row>
    <row r="466" spans="1:3">
      <c r="A466" s="1" t="str">
        <f t="shared" si="23"/>
        <v/>
      </c>
      <c r="B466" s="1" t="str">
        <f t="shared" si="24"/>
        <v/>
      </c>
      <c r="C466" s="1" t="str">
        <f t="shared" si="25"/>
        <v/>
      </c>
    </row>
    <row r="467" spans="1:3">
      <c r="A467" s="1" t="str">
        <f t="shared" si="23"/>
        <v/>
      </c>
      <c r="B467" s="1" t="str">
        <f t="shared" si="24"/>
        <v/>
      </c>
      <c r="C467" s="1" t="str">
        <f t="shared" si="25"/>
        <v/>
      </c>
    </row>
    <row r="468" spans="1:3">
      <c r="A468" s="1" t="str">
        <f t="shared" si="23"/>
        <v/>
      </c>
      <c r="B468" s="1" t="str">
        <f t="shared" si="24"/>
        <v/>
      </c>
      <c r="C468" s="1" t="str">
        <f t="shared" si="25"/>
        <v/>
      </c>
    </row>
    <row r="469" spans="1:3">
      <c r="A469" s="1" t="str">
        <f t="shared" si="23"/>
        <v/>
      </c>
      <c r="B469" s="1" t="str">
        <f t="shared" si="24"/>
        <v/>
      </c>
      <c r="C469" s="1" t="str">
        <f t="shared" si="25"/>
        <v/>
      </c>
    </row>
    <row r="470" spans="1:3">
      <c r="A470" s="1" t="str">
        <f t="shared" si="23"/>
        <v/>
      </c>
      <c r="B470" s="1" t="str">
        <f t="shared" si="24"/>
        <v/>
      </c>
      <c r="C470" s="1" t="str">
        <f t="shared" si="25"/>
        <v/>
      </c>
    </row>
    <row r="471" spans="1:3">
      <c r="A471" s="1" t="str">
        <f t="shared" si="23"/>
        <v/>
      </c>
      <c r="B471" s="1" t="str">
        <f t="shared" si="24"/>
        <v/>
      </c>
      <c r="C471" s="1" t="str">
        <f t="shared" si="25"/>
        <v/>
      </c>
    </row>
    <row r="472" spans="1:3">
      <c r="A472" s="1" t="str">
        <f t="shared" si="23"/>
        <v/>
      </c>
      <c r="B472" s="1" t="str">
        <f t="shared" si="24"/>
        <v/>
      </c>
      <c r="C472" s="1" t="str">
        <f t="shared" si="25"/>
        <v/>
      </c>
    </row>
    <row r="473" spans="1:3">
      <c r="A473" s="1" t="str">
        <f t="shared" si="23"/>
        <v/>
      </c>
      <c r="B473" s="1" t="str">
        <f t="shared" si="24"/>
        <v/>
      </c>
      <c r="C473" s="1" t="str">
        <f t="shared" si="25"/>
        <v/>
      </c>
    </row>
    <row r="474" spans="1:3">
      <c r="A474" s="1" t="str">
        <f t="shared" si="23"/>
        <v/>
      </c>
      <c r="B474" s="1" t="str">
        <f t="shared" si="24"/>
        <v/>
      </c>
      <c r="C474" s="1" t="str">
        <f t="shared" si="25"/>
        <v/>
      </c>
    </row>
    <row r="475" spans="1:3">
      <c r="A475" s="1" t="str">
        <f t="shared" si="23"/>
        <v/>
      </c>
      <c r="B475" s="1" t="str">
        <f t="shared" si="24"/>
        <v/>
      </c>
      <c r="C475" s="1" t="str">
        <f t="shared" si="25"/>
        <v/>
      </c>
    </row>
    <row r="476" spans="1:3">
      <c r="A476" s="1" t="str">
        <f t="shared" si="23"/>
        <v/>
      </c>
      <c r="B476" s="1" t="str">
        <f t="shared" si="24"/>
        <v/>
      </c>
      <c r="C476" s="1" t="str">
        <f t="shared" si="25"/>
        <v/>
      </c>
    </row>
    <row r="477" spans="1:3">
      <c r="A477" s="1" t="str">
        <f t="shared" si="23"/>
        <v/>
      </c>
      <c r="B477" s="1" t="str">
        <f t="shared" si="24"/>
        <v/>
      </c>
      <c r="C477" s="1" t="str">
        <f t="shared" si="25"/>
        <v/>
      </c>
    </row>
    <row r="478" spans="1:3">
      <c r="A478" s="1" t="str">
        <f t="shared" si="23"/>
        <v/>
      </c>
      <c r="B478" s="1" t="str">
        <f t="shared" si="24"/>
        <v/>
      </c>
      <c r="C478" s="1" t="str">
        <f t="shared" si="25"/>
        <v/>
      </c>
    </row>
    <row r="479" spans="1:3">
      <c r="A479" s="1" t="str">
        <f t="shared" si="23"/>
        <v/>
      </c>
      <c r="B479" s="1" t="str">
        <f t="shared" si="24"/>
        <v/>
      </c>
      <c r="C479" s="1" t="str">
        <f t="shared" si="25"/>
        <v/>
      </c>
    </row>
    <row r="480" spans="1:3">
      <c r="A480" s="1" t="str">
        <f t="shared" si="23"/>
        <v/>
      </c>
      <c r="B480" s="1" t="str">
        <f t="shared" si="24"/>
        <v/>
      </c>
      <c r="C480" s="1" t="str">
        <f t="shared" si="25"/>
        <v/>
      </c>
    </row>
    <row r="481" spans="1:3">
      <c r="A481" s="1" t="str">
        <f t="shared" si="23"/>
        <v/>
      </c>
      <c r="B481" s="1" t="str">
        <f t="shared" si="24"/>
        <v/>
      </c>
      <c r="C481" s="1" t="str">
        <f t="shared" si="25"/>
        <v/>
      </c>
    </row>
    <row r="482" spans="1:3">
      <c r="A482" s="1" t="str">
        <f t="shared" si="23"/>
        <v/>
      </c>
      <c r="B482" s="1" t="str">
        <f t="shared" si="24"/>
        <v/>
      </c>
      <c r="C482" s="1" t="str">
        <f t="shared" si="25"/>
        <v/>
      </c>
    </row>
    <row r="483" spans="1:3">
      <c r="A483" s="1" t="str">
        <f t="shared" si="23"/>
        <v/>
      </c>
      <c r="B483" s="1" t="str">
        <f t="shared" si="24"/>
        <v/>
      </c>
      <c r="C483" s="1" t="str">
        <f t="shared" si="25"/>
        <v/>
      </c>
    </row>
    <row r="484" spans="1:3">
      <c r="A484" s="1" t="str">
        <f t="shared" si="23"/>
        <v/>
      </c>
      <c r="B484" s="1" t="str">
        <f t="shared" si="24"/>
        <v/>
      </c>
      <c r="C484" s="1" t="str">
        <f t="shared" si="25"/>
        <v/>
      </c>
    </row>
    <row r="485" spans="1:3">
      <c r="A485" s="1" t="str">
        <f t="shared" si="23"/>
        <v/>
      </c>
      <c r="B485" s="1" t="str">
        <f t="shared" si="24"/>
        <v/>
      </c>
      <c r="C485" s="1" t="str">
        <f t="shared" si="25"/>
        <v/>
      </c>
    </row>
    <row r="486" spans="1:3">
      <c r="A486" s="1" t="str">
        <f t="shared" si="23"/>
        <v/>
      </c>
      <c r="B486" s="1" t="str">
        <f t="shared" si="24"/>
        <v/>
      </c>
      <c r="C486" s="1" t="str">
        <f t="shared" si="25"/>
        <v/>
      </c>
    </row>
    <row r="487" spans="1:3">
      <c r="A487" s="1" t="str">
        <f t="shared" si="23"/>
        <v/>
      </c>
      <c r="B487" s="1" t="str">
        <f t="shared" si="24"/>
        <v/>
      </c>
      <c r="C487" s="1" t="str">
        <f t="shared" si="25"/>
        <v/>
      </c>
    </row>
    <row r="488" spans="1:3">
      <c r="A488" s="1" t="str">
        <f t="shared" si="23"/>
        <v/>
      </c>
      <c r="B488" s="1" t="str">
        <f t="shared" si="24"/>
        <v/>
      </c>
      <c r="C488" s="1" t="str">
        <f t="shared" si="25"/>
        <v/>
      </c>
    </row>
    <row r="489" spans="1:3">
      <c r="A489" s="1" t="str">
        <f t="shared" si="23"/>
        <v/>
      </c>
      <c r="B489" s="1" t="str">
        <f t="shared" si="24"/>
        <v/>
      </c>
      <c r="C489" s="1" t="str">
        <f t="shared" si="25"/>
        <v/>
      </c>
    </row>
    <row r="490" spans="1:3">
      <c r="A490" s="1" t="str">
        <f t="shared" si="23"/>
        <v/>
      </c>
      <c r="B490" s="1" t="str">
        <f t="shared" si="24"/>
        <v/>
      </c>
      <c r="C490" s="1" t="str">
        <f t="shared" si="25"/>
        <v/>
      </c>
    </row>
    <row r="491" spans="1:3">
      <c r="A491" s="1" t="str">
        <f t="shared" si="23"/>
        <v/>
      </c>
      <c r="B491" s="1" t="str">
        <f t="shared" si="24"/>
        <v/>
      </c>
      <c r="C491" s="1" t="str">
        <f t="shared" si="25"/>
        <v/>
      </c>
    </row>
    <row r="492" spans="1:3">
      <c r="A492" s="1" t="str">
        <f t="shared" si="23"/>
        <v/>
      </c>
      <c r="B492" s="1" t="str">
        <f t="shared" si="24"/>
        <v/>
      </c>
      <c r="C492" s="1" t="str">
        <f t="shared" si="25"/>
        <v/>
      </c>
    </row>
    <row r="493" spans="1:3">
      <c r="A493" s="1" t="str">
        <f t="shared" si="23"/>
        <v/>
      </c>
      <c r="B493" s="1" t="str">
        <f t="shared" si="24"/>
        <v/>
      </c>
      <c r="C493" s="1" t="str">
        <f t="shared" si="25"/>
        <v/>
      </c>
    </row>
    <row r="494" spans="1:3">
      <c r="A494" s="1" t="str">
        <f t="shared" si="23"/>
        <v/>
      </c>
      <c r="B494" s="1" t="str">
        <f t="shared" si="24"/>
        <v/>
      </c>
      <c r="C494" s="1" t="str">
        <f t="shared" si="25"/>
        <v/>
      </c>
    </row>
    <row r="495" spans="1:3">
      <c r="A495" s="1" t="str">
        <f t="shared" si="23"/>
        <v/>
      </c>
      <c r="B495" s="1" t="str">
        <f t="shared" si="24"/>
        <v/>
      </c>
      <c r="C495" s="1" t="str">
        <f t="shared" si="25"/>
        <v/>
      </c>
    </row>
    <row r="496" spans="1:3">
      <c r="A496" s="1" t="str">
        <f t="shared" si="23"/>
        <v/>
      </c>
      <c r="B496" s="1" t="str">
        <f t="shared" si="24"/>
        <v/>
      </c>
      <c r="C496" s="1" t="str">
        <f t="shared" si="25"/>
        <v/>
      </c>
    </row>
    <row r="497" spans="1:3">
      <c r="A497" s="1" t="str">
        <f t="shared" si="23"/>
        <v/>
      </c>
      <c r="B497" s="1" t="str">
        <f t="shared" si="24"/>
        <v/>
      </c>
      <c r="C497" s="1" t="str">
        <f t="shared" si="25"/>
        <v/>
      </c>
    </row>
    <row r="498" spans="1:3">
      <c r="A498" s="1" t="str">
        <f t="shared" si="23"/>
        <v/>
      </c>
      <c r="B498" s="1" t="str">
        <f t="shared" si="24"/>
        <v/>
      </c>
      <c r="C498" s="1" t="str">
        <f t="shared" si="25"/>
        <v/>
      </c>
    </row>
    <row r="499" spans="1:3">
      <c r="A499" s="1" t="str">
        <f t="shared" si="23"/>
        <v/>
      </c>
      <c r="B499" s="1" t="str">
        <f t="shared" si="24"/>
        <v/>
      </c>
      <c r="C499" s="1" t="str">
        <f t="shared" si="25"/>
        <v/>
      </c>
    </row>
    <row r="500" spans="1:3">
      <c r="A500" s="1" t="str">
        <f t="shared" si="23"/>
        <v/>
      </c>
      <c r="B500" s="1" t="str">
        <f t="shared" si="24"/>
        <v/>
      </c>
      <c r="C500" s="1" t="str">
        <f t="shared" si="25"/>
        <v/>
      </c>
    </row>
    <row r="501" spans="1:3">
      <c r="A501" s="1" t="str">
        <f t="shared" si="23"/>
        <v/>
      </c>
      <c r="B501" s="1" t="str">
        <f t="shared" si="24"/>
        <v/>
      </c>
      <c r="C501" s="1" t="str">
        <f t="shared" si="25"/>
        <v/>
      </c>
    </row>
    <row r="502" spans="1:3">
      <c r="A502" s="1" t="str">
        <f t="shared" si="23"/>
        <v/>
      </c>
      <c r="B502" s="1" t="str">
        <f t="shared" si="24"/>
        <v/>
      </c>
      <c r="C502" s="1" t="str">
        <f t="shared" si="25"/>
        <v/>
      </c>
    </row>
    <row r="503" spans="1:3">
      <c r="A503" s="1" t="str">
        <f t="shared" si="23"/>
        <v/>
      </c>
    </row>
    <row r="504" spans="1:3">
      <c r="A504" s="1" t="str">
        <f t="shared" si="23"/>
        <v/>
      </c>
    </row>
    <row r="505" spans="1:3">
      <c r="A505" s="1" t="str">
        <f t="shared" si="23"/>
        <v/>
      </c>
    </row>
    <row r="506" spans="1:3">
      <c r="A506" s="1" t="str">
        <f t="shared" si="23"/>
        <v/>
      </c>
    </row>
    <row r="507" spans="1:3">
      <c r="A507" s="1" t="str">
        <f t="shared" si="23"/>
        <v/>
      </c>
    </row>
    <row r="508" spans="1:3">
      <c r="A508" s="1" t="str">
        <f t="shared" si="23"/>
        <v/>
      </c>
    </row>
    <row r="509" spans="1:3">
      <c r="A509" s="1" t="str">
        <f t="shared" si="23"/>
        <v/>
      </c>
    </row>
    <row r="510" spans="1:3">
      <c r="A510" s="1" t="str">
        <f t="shared" si="23"/>
        <v/>
      </c>
    </row>
    <row r="511" spans="1:3">
      <c r="A511" s="1" t="str">
        <f t="shared" si="23"/>
        <v/>
      </c>
    </row>
    <row r="512" spans="1:3">
      <c r="A512" s="1" t="str">
        <f t="shared" si="23"/>
        <v/>
      </c>
    </row>
    <row r="513" spans="1:1">
      <c r="A513" s="1" t="str">
        <f t="shared" si="23"/>
        <v/>
      </c>
    </row>
    <row r="514" spans="1:1">
      <c r="A514" s="1" t="str">
        <f t="shared" si="23"/>
        <v/>
      </c>
    </row>
    <row r="515" spans="1:1">
      <c r="A515" s="1" t="str">
        <f t="shared" si="23"/>
        <v/>
      </c>
    </row>
    <row r="516" spans="1:1">
      <c r="A516" s="1" t="str">
        <f t="shared" si="23"/>
        <v/>
      </c>
    </row>
    <row r="517" spans="1:1">
      <c r="A517" s="1" t="str">
        <f t="shared" si="23"/>
        <v/>
      </c>
    </row>
    <row r="518" spans="1:1">
      <c r="A518" s="1" t="str">
        <f t="shared" si="23"/>
        <v/>
      </c>
    </row>
    <row r="519" spans="1:1">
      <c r="A519" s="1" t="str">
        <f t="shared" si="23"/>
        <v/>
      </c>
    </row>
    <row r="520" spans="1:1">
      <c r="A520" s="1" t="str">
        <f t="shared" si="23"/>
        <v/>
      </c>
    </row>
    <row r="521" spans="1:1">
      <c r="A521" s="1" t="str">
        <f t="shared" si="23"/>
        <v/>
      </c>
    </row>
    <row r="522" spans="1:1">
      <c r="A522" s="1" t="str">
        <f t="shared" ref="A522:A585" si="26">IF(C522="","",A521+1)</f>
        <v/>
      </c>
    </row>
    <row r="523" spans="1:1">
      <c r="A523" s="1" t="str">
        <f t="shared" si="26"/>
        <v/>
      </c>
    </row>
    <row r="524" spans="1:1">
      <c r="A524" s="1" t="str">
        <f t="shared" si="26"/>
        <v/>
      </c>
    </row>
    <row r="525" spans="1:1">
      <c r="A525" s="1" t="str">
        <f t="shared" si="26"/>
        <v/>
      </c>
    </row>
    <row r="526" spans="1:1">
      <c r="A526" s="1" t="str">
        <f t="shared" si="26"/>
        <v/>
      </c>
    </row>
    <row r="527" spans="1:1">
      <c r="A527" s="1" t="str">
        <f t="shared" si="26"/>
        <v/>
      </c>
    </row>
    <row r="528" spans="1:1">
      <c r="A528" s="1" t="str">
        <f t="shared" si="26"/>
        <v/>
      </c>
    </row>
    <row r="529" spans="1:1">
      <c r="A529" s="1" t="str">
        <f t="shared" si="26"/>
        <v/>
      </c>
    </row>
    <row r="530" spans="1:1">
      <c r="A530" s="1" t="str">
        <f t="shared" si="26"/>
        <v/>
      </c>
    </row>
    <row r="531" spans="1:1">
      <c r="A531" s="1" t="str">
        <f t="shared" si="26"/>
        <v/>
      </c>
    </row>
    <row r="532" spans="1:1">
      <c r="A532" s="1" t="str">
        <f t="shared" si="26"/>
        <v/>
      </c>
    </row>
    <row r="533" spans="1:1">
      <c r="A533" s="1" t="str">
        <f t="shared" si="26"/>
        <v/>
      </c>
    </row>
    <row r="534" spans="1:1">
      <c r="A534" s="1" t="str">
        <f t="shared" si="26"/>
        <v/>
      </c>
    </row>
    <row r="535" spans="1:1">
      <c r="A535" s="1" t="str">
        <f t="shared" si="26"/>
        <v/>
      </c>
    </row>
    <row r="536" spans="1:1">
      <c r="A536" s="1" t="str">
        <f t="shared" si="26"/>
        <v/>
      </c>
    </row>
    <row r="537" spans="1:1">
      <c r="A537" s="1" t="str">
        <f t="shared" si="26"/>
        <v/>
      </c>
    </row>
    <row r="538" spans="1:1">
      <c r="A538" s="1" t="str">
        <f t="shared" si="26"/>
        <v/>
      </c>
    </row>
    <row r="539" spans="1:1">
      <c r="A539" s="1" t="str">
        <f t="shared" si="26"/>
        <v/>
      </c>
    </row>
    <row r="540" spans="1:1">
      <c r="A540" s="1" t="str">
        <f t="shared" si="26"/>
        <v/>
      </c>
    </row>
    <row r="541" spans="1:1">
      <c r="A541" s="1" t="str">
        <f t="shared" si="26"/>
        <v/>
      </c>
    </row>
    <row r="542" spans="1:1">
      <c r="A542" s="1" t="str">
        <f t="shared" si="26"/>
        <v/>
      </c>
    </row>
    <row r="543" spans="1:1">
      <c r="A543" s="1" t="str">
        <f t="shared" si="26"/>
        <v/>
      </c>
    </row>
    <row r="544" spans="1:1">
      <c r="A544" s="1" t="str">
        <f t="shared" si="26"/>
        <v/>
      </c>
    </row>
    <row r="545" spans="1:1">
      <c r="A545" s="1" t="str">
        <f t="shared" si="26"/>
        <v/>
      </c>
    </row>
    <row r="546" spans="1:1">
      <c r="A546" s="1" t="str">
        <f t="shared" si="26"/>
        <v/>
      </c>
    </row>
    <row r="547" spans="1:1">
      <c r="A547" s="1" t="str">
        <f t="shared" si="26"/>
        <v/>
      </c>
    </row>
    <row r="548" spans="1:1">
      <c r="A548" s="1" t="str">
        <f t="shared" si="26"/>
        <v/>
      </c>
    </row>
    <row r="549" spans="1:1">
      <c r="A549" s="1" t="str">
        <f t="shared" si="26"/>
        <v/>
      </c>
    </row>
    <row r="550" spans="1:1">
      <c r="A550" s="1" t="str">
        <f t="shared" si="26"/>
        <v/>
      </c>
    </row>
    <row r="551" spans="1:1">
      <c r="A551" s="1" t="str">
        <f t="shared" si="26"/>
        <v/>
      </c>
    </row>
    <row r="552" spans="1:1">
      <c r="A552" s="1" t="str">
        <f t="shared" si="26"/>
        <v/>
      </c>
    </row>
    <row r="553" spans="1:1">
      <c r="A553" s="1" t="str">
        <f t="shared" si="26"/>
        <v/>
      </c>
    </row>
    <row r="554" spans="1:1">
      <c r="A554" s="1" t="str">
        <f t="shared" si="26"/>
        <v/>
      </c>
    </row>
    <row r="555" spans="1:1">
      <c r="A555" s="1" t="str">
        <f t="shared" si="26"/>
        <v/>
      </c>
    </row>
    <row r="556" spans="1:1">
      <c r="A556" s="1" t="str">
        <f t="shared" si="26"/>
        <v/>
      </c>
    </row>
    <row r="557" spans="1:1">
      <c r="A557" s="1" t="str">
        <f t="shared" si="26"/>
        <v/>
      </c>
    </row>
    <row r="558" spans="1:1">
      <c r="A558" s="1" t="str">
        <f t="shared" si="26"/>
        <v/>
      </c>
    </row>
    <row r="559" spans="1:1">
      <c r="A559" s="1" t="str">
        <f t="shared" si="26"/>
        <v/>
      </c>
    </row>
    <row r="560" spans="1:1">
      <c r="A560" s="1" t="str">
        <f t="shared" si="26"/>
        <v/>
      </c>
    </row>
    <row r="561" spans="1:1">
      <c r="A561" s="1" t="str">
        <f t="shared" si="26"/>
        <v/>
      </c>
    </row>
    <row r="562" spans="1:1">
      <c r="A562" s="1" t="str">
        <f t="shared" si="26"/>
        <v/>
      </c>
    </row>
    <row r="563" spans="1:1">
      <c r="A563" s="1" t="str">
        <f t="shared" si="26"/>
        <v/>
      </c>
    </row>
    <row r="564" spans="1:1">
      <c r="A564" s="1" t="str">
        <f t="shared" si="26"/>
        <v/>
      </c>
    </row>
    <row r="565" spans="1:1">
      <c r="A565" s="1" t="str">
        <f t="shared" si="26"/>
        <v/>
      </c>
    </row>
    <row r="566" spans="1:1">
      <c r="A566" s="1" t="str">
        <f t="shared" si="26"/>
        <v/>
      </c>
    </row>
    <row r="567" spans="1:1">
      <c r="A567" s="1" t="str">
        <f t="shared" si="26"/>
        <v/>
      </c>
    </row>
    <row r="568" spans="1:1">
      <c r="A568" s="1" t="str">
        <f t="shared" si="26"/>
        <v/>
      </c>
    </row>
    <row r="569" spans="1:1">
      <c r="A569" s="1" t="str">
        <f t="shared" si="26"/>
        <v/>
      </c>
    </row>
    <row r="570" spans="1:1">
      <c r="A570" s="1" t="str">
        <f t="shared" si="26"/>
        <v/>
      </c>
    </row>
    <row r="571" spans="1:1">
      <c r="A571" s="1" t="str">
        <f t="shared" si="26"/>
        <v/>
      </c>
    </row>
    <row r="572" spans="1:1">
      <c r="A572" s="1" t="str">
        <f t="shared" si="26"/>
        <v/>
      </c>
    </row>
    <row r="573" spans="1:1">
      <c r="A573" s="1" t="str">
        <f t="shared" si="26"/>
        <v/>
      </c>
    </row>
    <row r="574" spans="1:1">
      <c r="A574" s="1" t="str">
        <f t="shared" si="26"/>
        <v/>
      </c>
    </row>
    <row r="575" spans="1:1">
      <c r="A575" s="1" t="str">
        <f t="shared" si="26"/>
        <v/>
      </c>
    </row>
    <row r="576" spans="1:1">
      <c r="A576" s="1" t="str">
        <f t="shared" si="26"/>
        <v/>
      </c>
    </row>
    <row r="577" spans="1:1">
      <c r="A577" s="1" t="str">
        <f t="shared" si="26"/>
        <v/>
      </c>
    </row>
    <row r="578" spans="1:1">
      <c r="A578" s="1" t="str">
        <f t="shared" si="26"/>
        <v/>
      </c>
    </row>
    <row r="579" spans="1:1">
      <c r="A579" s="1" t="str">
        <f t="shared" si="26"/>
        <v/>
      </c>
    </row>
    <row r="580" spans="1:1">
      <c r="A580" s="1" t="str">
        <f t="shared" si="26"/>
        <v/>
      </c>
    </row>
    <row r="581" spans="1:1">
      <c r="A581" s="1" t="str">
        <f t="shared" si="26"/>
        <v/>
      </c>
    </row>
    <row r="582" spans="1:1">
      <c r="A582" s="1" t="str">
        <f t="shared" si="26"/>
        <v/>
      </c>
    </row>
    <row r="583" spans="1:1">
      <c r="A583" s="1" t="str">
        <f t="shared" si="26"/>
        <v/>
      </c>
    </row>
    <row r="584" spans="1:1">
      <c r="A584" s="1" t="str">
        <f t="shared" si="26"/>
        <v/>
      </c>
    </row>
    <row r="585" spans="1:1">
      <c r="A585" s="1" t="str">
        <f t="shared" si="26"/>
        <v/>
      </c>
    </row>
    <row r="586" spans="1:1">
      <c r="A586" s="1" t="str">
        <f t="shared" ref="A586:A649" si="27">IF(C586="","",A585+1)</f>
        <v/>
      </c>
    </row>
    <row r="587" spans="1:1">
      <c r="A587" s="1" t="str">
        <f t="shared" si="27"/>
        <v/>
      </c>
    </row>
    <row r="588" spans="1:1">
      <c r="A588" s="1" t="str">
        <f t="shared" si="27"/>
        <v/>
      </c>
    </row>
    <row r="589" spans="1:1">
      <c r="A589" s="1" t="str">
        <f t="shared" si="27"/>
        <v/>
      </c>
    </row>
    <row r="590" spans="1:1">
      <c r="A590" s="1" t="str">
        <f t="shared" si="27"/>
        <v/>
      </c>
    </row>
    <row r="591" spans="1:1">
      <c r="A591" s="1" t="str">
        <f t="shared" si="27"/>
        <v/>
      </c>
    </row>
    <row r="592" spans="1:1">
      <c r="A592" s="1" t="str">
        <f t="shared" si="27"/>
        <v/>
      </c>
    </row>
    <row r="593" spans="1:1">
      <c r="A593" s="1" t="str">
        <f t="shared" si="27"/>
        <v/>
      </c>
    </row>
    <row r="594" spans="1:1">
      <c r="A594" s="1" t="str">
        <f t="shared" si="27"/>
        <v/>
      </c>
    </row>
    <row r="595" spans="1:1">
      <c r="A595" s="1" t="str">
        <f t="shared" si="27"/>
        <v/>
      </c>
    </row>
    <row r="596" spans="1:1">
      <c r="A596" s="1" t="str">
        <f t="shared" si="27"/>
        <v/>
      </c>
    </row>
    <row r="597" spans="1:1">
      <c r="A597" s="1" t="str">
        <f t="shared" si="27"/>
        <v/>
      </c>
    </row>
    <row r="598" spans="1:1">
      <c r="A598" s="1" t="str">
        <f t="shared" si="27"/>
        <v/>
      </c>
    </row>
    <row r="599" spans="1:1">
      <c r="A599" s="1" t="str">
        <f t="shared" si="27"/>
        <v/>
      </c>
    </row>
    <row r="600" spans="1:1">
      <c r="A600" s="1" t="str">
        <f t="shared" si="27"/>
        <v/>
      </c>
    </row>
    <row r="601" spans="1:1">
      <c r="A601" s="1" t="str">
        <f t="shared" si="27"/>
        <v/>
      </c>
    </row>
    <row r="602" spans="1:1">
      <c r="A602" s="1" t="str">
        <f t="shared" si="27"/>
        <v/>
      </c>
    </row>
    <row r="603" spans="1:1">
      <c r="A603" s="1" t="str">
        <f t="shared" si="27"/>
        <v/>
      </c>
    </row>
    <row r="604" spans="1:1">
      <c r="A604" s="1" t="str">
        <f t="shared" si="27"/>
        <v/>
      </c>
    </row>
    <row r="605" spans="1:1">
      <c r="A605" s="1" t="str">
        <f t="shared" si="27"/>
        <v/>
      </c>
    </row>
    <row r="606" spans="1:1">
      <c r="A606" s="1" t="str">
        <f t="shared" si="27"/>
        <v/>
      </c>
    </row>
    <row r="607" spans="1:1">
      <c r="A607" s="1" t="str">
        <f t="shared" si="27"/>
        <v/>
      </c>
    </row>
    <row r="608" spans="1:1">
      <c r="A608" s="1" t="str">
        <f t="shared" si="27"/>
        <v/>
      </c>
    </row>
    <row r="609" spans="1:1">
      <c r="A609" s="1" t="str">
        <f t="shared" si="27"/>
        <v/>
      </c>
    </row>
    <row r="610" spans="1:1">
      <c r="A610" s="1" t="str">
        <f t="shared" si="27"/>
        <v/>
      </c>
    </row>
    <row r="611" spans="1:1">
      <c r="A611" s="1" t="str">
        <f t="shared" si="27"/>
        <v/>
      </c>
    </row>
    <row r="612" spans="1:1">
      <c r="A612" s="1" t="str">
        <f t="shared" si="27"/>
        <v/>
      </c>
    </row>
    <row r="613" spans="1:1">
      <c r="A613" s="1" t="str">
        <f t="shared" si="27"/>
        <v/>
      </c>
    </row>
    <row r="614" spans="1:1">
      <c r="A614" s="1" t="str">
        <f t="shared" si="27"/>
        <v/>
      </c>
    </row>
    <row r="615" spans="1:1">
      <c r="A615" s="1" t="str">
        <f t="shared" si="27"/>
        <v/>
      </c>
    </row>
    <row r="616" spans="1:1">
      <c r="A616" s="1" t="str">
        <f t="shared" si="27"/>
        <v/>
      </c>
    </row>
    <row r="617" spans="1:1">
      <c r="A617" s="1" t="str">
        <f t="shared" si="27"/>
        <v/>
      </c>
    </row>
    <row r="618" spans="1:1">
      <c r="A618" s="1" t="str">
        <f t="shared" si="27"/>
        <v/>
      </c>
    </row>
    <row r="619" spans="1:1">
      <c r="A619" s="1" t="str">
        <f t="shared" si="27"/>
        <v/>
      </c>
    </row>
    <row r="620" spans="1:1">
      <c r="A620" s="1" t="str">
        <f t="shared" si="27"/>
        <v/>
      </c>
    </row>
    <row r="621" spans="1:1">
      <c r="A621" s="1" t="str">
        <f t="shared" si="27"/>
        <v/>
      </c>
    </row>
    <row r="622" spans="1:1">
      <c r="A622" s="1" t="str">
        <f t="shared" si="27"/>
        <v/>
      </c>
    </row>
    <row r="623" spans="1:1">
      <c r="A623" s="1" t="str">
        <f t="shared" si="27"/>
        <v/>
      </c>
    </row>
    <row r="624" spans="1:1">
      <c r="A624" s="1" t="str">
        <f t="shared" si="27"/>
        <v/>
      </c>
    </row>
    <row r="625" spans="1:1">
      <c r="A625" s="1" t="str">
        <f t="shared" si="27"/>
        <v/>
      </c>
    </row>
    <row r="626" spans="1:1">
      <c r="A626" s="1" t="str">
        <f t="shared" si="27"/>
        <v/>
      </c>
    </row>
    <row r="627" spans="1:1">
      <c r="A627" s="1" t="str">
        <f t="shared" si="27"/>
        <v/>
      </c>
    </row>
    <row r="628" spans="1:1">
      <c r="A628" s="1" t="str">
        <f t="shared" si="27"/>
        <v/>
      </c>
    </row>
    <row r="629" spans="1:1">
      <c r="A629" s="1" t="str">
        <f t="shared" si="27"/>
        <v/>
      </c>
    </row>
    <row r="630" spans="1:1">
      <c r="A630" s="1" t="str">
        <f t="shared" si="27"/>
        <v/>
      </c>
    </row>
    <row r="631" spans="1:1">
      <c r="A631" s="1" t="str">
        <f t="shared" si="27"/>
        <v/>
      </c>
    </row>
    <row r="632" spans="1:1">
      <c r="A632" s="1" t="str">
        <f t="shared" si="27"/>
        <v/>
      </c>
    </row>
    <row r="633" spans="1:1">
      <c r="A633" s="1" t="str">
        <f t="shared" si="27"/>
        <v/>
      </c>
    </row>
    <row r="634" spans="1:1">
      <c r="A634" s="1" t="str">
        <f t="shared" si="27"/>
        <v/>
      </c>
    </row>
    <row r="635" spans="1:1">
      <c r="A635" s="1" t="str">
        <f t="shared" si="27"/>
        <v/>
      </c>
    </row>
    <row r="636" spans="1:1">
      <c r="A636" s="1" t="str">
        <f t="shared" si="27"/>
        <v/>
      </c>
    </row>
    <row r="637" spans="1:1">
      <c r="A637" s="1" t="str">
        <f t="shared" si="27"/>
        <v/>
      </c>
    </row>
    <row r="638" spans="1:1">
      <c r="A638" s="1" t="str">
        <f t="shared" si="27"/>
        <v/>
      </c>
    </row>
    <row r="639" spans="1:1">
      <c r="A639" s="1" t="str">
        <f t="shared" si="27"/>
        <v/>
      </c>
    </row>
    <row r="640" spans="1:1">
      <c r="A640" s="1" t="str">
        <f t="shared" si="27"/>
        <v/>
      </c>
    </row>
    <row r="641" spans="1:1">
      <c r="A641" s="1" t="str">
        <f t="shared" si="27"/>
        <v/>
      </c>
    </row>
    <row r="642" spans="1:1">
      <c r="A642" s="1" t="str">
        <f t="shared" si="27"/>
        <v/>
      </c>
    </row>
    <row r="643" spans="1:1">
      <c r="A643" s="1" t="str">
        <f t="shared" si="27"/>
        <v/>
      </c>
    </row>
    <row r="644" spans="1:1">
      <c r="A644" s="1" t="str">
        <f t="shared" si="27"/>
        <v/>
      </c>
    </row>
    <row r="645" spans="1:1">
      <c r="A645" s="1" t="str">
        <f t="shared" si="27"/>
        <v/>
      </c>
    </row>
    <row r="646" spans="1:1">
      <c r="A646" s="1" t="str">
        <f t="shared" si="27"/>
        <v/>
      </c>
    </row>
    <row r="647" spans="1:1">
      <c r="A647" s="1" t="str">
        <f t="shared" si="27"/>
        <v/>
      </c>
    </row>
    <row r="648" spans="1:1">
      <c r="A648" s="1" t="str">
        <f t="shared" si="27"/>
        <v/>
      </c>
    </row>
    <row r="649" spans="1:1">
      <c r="A649" s="1" t="str">
        <f t="shared" si="27"/>
        <v/>
      </c>
    </row>
    <row r="650" spans="1:1">
      <c r="A650" s="1" t="str">
        <f t="shared" ref="A650:A713" si="28">IF(C650="","",A649+1)</f>
        <v/>
      </c>
    </row>
    <row r="651" spans="1:1">
      <c r="A651" s="1" t="str">
        <f t="shared" si="28"/>
        <v/>
      </c>
    </row>
    <row r="652" spans="1:1">
      <c r="A652" s="1" t="str">
        <f t="shared" si="28"/>
        <v/>
      </c>
    </row>
    <row r="653" spans="1:1">
      <c r="A653" s="1" t="str">
        <f t="shared" si="28"/>
        <v/>
      </c>
    </row>
    <row r="654" spans="1:1">
      <c r="A654" s="1" t="str">
        <f t="shared" si="28"/>
        <v/>
      </c>
    </row>
    <row r="655" spans="1:1">
      <c r="A655" s="1" t="str">
        <f t="shared" si="28"/>
        <v/>
      </c>
    </row>
    <row r="656" spans="1:1">
      <c r="A656" s="1" t="str">
        <f t="shared" si="28"/>
        <v/>
      </c>
    </row>
    <row r="657" spans="1:1">
      <c r="A657" s="1" t="str">
        <f t="shared" si="28"/>
        <v/>
      </c>
    </row>
    <row r="658" spans="1:1">
      <c r="A658" s="1" t="str">
        <f t="shared" si="28"/>
        <v/>
      </c>
    </row>
    <row r="659" spans="1:1">
      <c r="A659" s="1" t="str">
        <f t="shared" si="28"/>
        <v/>
      </c>
    </row>
    <row r="660" spans="1:1">
      <c r="A660" s="1" t="str">
        <f t="shared" si="28"/>
        <v/>
      </c>
    </row>
    <row r="661" spans="1:1">
      <c r="A661" s="1" t="str">
        <f t="shared" si="28"/>
        <v/>
      </c>
    </row>
    <row r="662" spans="1:1">
      <c r="A662" s="1" t="str">
        <f t="shared" si="28"/>
        <v/>
      </c>
    </row>
    <row r="663" spans="1:1">
      <c r="A663" s="1" t="str">
        <f t="shared" si="28"/>
        <v/>
      </c>
    </row>
    <row r="664" spans="1:1">
      <c r="A664" s="1" t="str">
        <f t="shared" si="28"/>
        <v/>
      </c>
    </row>
    <row r="665" spans="1:1">
      <c r="A665" s="1" t="str">
        <f t="shared" si="28"/>
        <v/>
      </c>
    </row>
    <row r="666" spans="1:1">
      <c r="A666" s="1" t="str">
        <f t="shared" si="28"/>
        <v/>
      </c>
    </row>
    <row r="667" spans="1:1">
      <c r="A667" s="1" t="str">
        <f t="shared" si="28"/>
        <v/>
      </c>
    </row>
    <row r="668" spans="1:1">
      <c r="A668" s="1" t="str">
        <f t="shared" si="28"/>
        <v/>
      </c>
    </row>
    <row r="669" spans="1:1">
      <c r="A669" s="1" t="str">
        <f t="shared" si="28"/>
        <v/>
      </c>
    </row>
    <row r="670" spans="1:1">
      <c r="A670" s="1" t="str">
        <f t="shared" si="28"/>
        <v/>
      </c>
    </row>
    <row r="671" spans="1:1">
      <c r="A671" s="1" t="str">
        <f t="shared" si="28"/>
        <v/>
      </c>
    </row>
    <row r="672" spans="1:1">
      <c r="A672" s="1" t="str">
        <f t="shared" si="28"/>
        <v/>
      </c>
    </row>
    <row r="673" spans="1:1">
      <c r="A673" s="1" t="str">
        <f t="shared" si="28"/>
        <v/>
      </c>
    </row>
    <row r="674" spans="1:1">
      <c r="A674" s="1" t="str">
        <f t="shared" si="28"/>
        <v/>
      </c>
    </row>
    <row r="675" spans="1:1">
      <c r="A675" s="1" t="str">
        <f t="shared" si="28"/>
        <v/>
      </c>
    </row>
    <row r="676" spans="1:1">
      <c r="A676" s="1" t="str">
        <f t="shared" si="28"/>
        <v/>
      </c>
    </row>
    <row r="677" spans="1:1">
      <c r="A677" s="1" t="str">
        <f t="shared" si="28"/>
        <v/>
      </c>
    </row>
    <row r="678" spans="1:1">
      <c r="A678" s="1" t="str">
        <f t="shared" si="28"/>
        <v/>
      </c>
    </row>
    <row r="679" spans="1:1">
      <c r="A679" s="1" t="str">
        <f t="shared" si="28"/>
        <v/>
      </c>
    </row>
    <row r="680" spans="1:1">
      <c r="A680" s="1" t="str">
        <f t="shared" si="28"/>
        <v/>
      </c>
    </row>
    <row r="681" spans="1:1">
      <c r="A681" s="1" t="str">
        <f t="shared" si="28"/>
        <v/>
      </c>
    </row>
    <row r="682" spans="1:1">
      <c r="A682" s="1" t="str">
        <f t="shared" si="28"/>
        <v/>
      </c>
    </row>
    <row r="683" spans="1:1">
      <c r="A683" s="1" t="str">
        <f t="shared" si="28"/>
        <v/>
      </c>
    </row>
    <row r="684" spans="1:1">
      <c r="A684" s="1" t="str">
        <f t="shared" si="28"/>
        <v/>
      </c>
    </row>
    <row r="685" spans="1:1">
      <c r="A685" s="1" t="str">
        <f t="shared" si="28"/>
        <v/>
      </c>
    </row>
    <row r="686" spans="1:1">
      <c r="A686" s="1" t="str">
        <f t="shared" si="28"/>
        <v/>
      </c>
    </row>
    <row r="687" spans="1:1">
      <c r="A687" s="1" t="str">
        <f t="shared" si="28"/>
        <v/>
      </c>
    </row>
    <row r="688" spans="1:1">
      <c r="A688" s="1" t="str">
        <f t="shared" si="28"/>
        <v/>
      </c>
    </row>
    <row r="689" spans="1:1">
      <c r="A689" s="1" t="str">
        <f t="shared" si="28"/>
        <v/>
      </c>
    </row>
    <row r="690" spans="1:1">
      <c r="A690" s="1" t="str">
        <f t="shared" si="28"/>
        <v/>
      </c>
    </row>
    <row r="691" spans="1:1">
      <c r="A691" s="1" t="str">
        <f t="shared" si="28"/>
        <v/>
      </c>
    </row>
    <row r="692" spans="1:1">
      <c r="A692" s="1" t="str">
        <f t="shared" si="28"/>
        <v/>
      </c>
    </row>
    <row r="693" spans="1:1">
      <c r="A693" s="1" t="str">
        <f t="shared" si="28"/>
        <v/>
      </c>
    </row>
    <row r="694" spans="1:1">
      <c r="A694" s="1" t="str">
        <f t="shared" si="28"/>
        <v/>
      </c>
    </row>
    <row r="695" spans="1:1">
      <c r="A695" s="1" t="str">
        <f t="shared" si="28"/>
        <v/>
      </c>
    </row>
    <row r="696" spans="1:1">
      <c r="A696" s="1" t="str">
        <f t="shared" si="28"/>
        <v/>
      </c>
    </row>
    <row r="697" spans="1:1">
      <c r="A697" s="1" t="str">
        <f t="shared" si="28"/>
        <v/>
      </c>
    </row>
    <row r="698" spans="1:1">
      <c r="A698" s="1" t="str">
        <f t="shared" si="28"/>
        <v/>
      </c>
    </row>
    <row r="699" spans="1:1">
      <c r="A699" s="1" t="str">
        <f t="shared" si="28"/>
        <v/>
      </c>
    </row>
    <row r="700" spans="1:1">
      <c r="A700" s="1" t="str">
        <f t="shared" si="28"/>
        <v/>
      </c>
    </row>
    <row r="701" spans="1:1">
      <c r="A701" s="1" t="str">
        <f t="shared" si="28"/>
        <v/>
      </c>
    </row>
    <row r="702" spans="1:1">
      <c r="A702" s="1" t="str">
        <f t="shared" si="28"/>
        <v/>
      </c>
    </row>
    <row r="703" spans="1:1">
      <c r="A703" s="1" t="str">
        <f t="shared" si="28"/>
        <v/>
      </c>
    </row>
    <row r="704" spans="1:1">
      <c r="A704" s="1" t="str">
        <f t="shared" si="28"/>
        <v/>
      </c>
    </row>
    <row r="705" spans="1:1">
      <c r="A705" s="1" t="str">
        <f t="shared" si="28"/>
        <v/>
      </c>
    </row>
    <row r="706" spans="1:1">
      <c r="A706" s="1" t="str">
        <f t="shared" si="28"/>
        <v/>
      </c>
    </row>
    <row r="707" spans="1:1">
      <c r="A707" s="1" t="str">
        <f t="shared" si="28"/>
        <v/>
      </c>
    </row>
    <row r="708" spans="1:1">
      <c r="A708" s="1" t="str">
        <f t="shared" si="28"/>
        <v/>
      </c>
    </row>
    <row r="709" spans="1:1">
      <c r="A709" s="1" t="str">
        <f t="shared" si="28"/>
        <v/>
      </c>
    </row>
    <row r="710" spans="1:1">
      <c r="A710" s="1" t="str">
        <f t="shared" si="28"/>
        <v/>
      </c>
    </row>
    <row r="711" spans="1:1">
      <c r="A711" s="1" t="str">
        <f t="shared" si="28"/>
        <v/>
      </c>
    </row>
    <row r="712" spans="1:1">
      <c r="A712" s="1" t="str">
        <f t="shared" si="28"/>
        <v/>
      </c>
    </row>
    <row r="713" spans="1:1">
      <c r="A713" s="1" t="str">
        <f t="shared" si="28"/>
        <v/>
      </c>
    </row>
    <row r="714" spans="1:1">
      <c r="A714" s="1" t="str">
        <f t="shared" ref="A714:A777" si="29">IF(C714="","",A713+1)</f>
        <v/>
      </c>
    </row>
    <row r="715" spans="1:1">
      <c r="A715" s="1" t="str">
        <f t="shared" si="29"/>
        <v/>
      </c>
    </row>
    <row r="716" spans="1:1">
      <c r="A716" s="1" t="str">
        <f t="shared" si="29"/>
        <v/>
      </c>
    </row>
    <row r="717" spans="1:1">
      <c r="A717" s="1" t="str">
        <f t="shared" si="29"/>
        <v/>
      </c>
    </row>
    <row r="718" spans="1:1">
      <c r="A718" s="1" t="str">
        <f t="shared" si="29"/>
        <v/>
      </c>
    </row>
    <row r="719" spans="1:1">
      <c r="A719" s="1" t="str">
        <f t="shared" si="29"/>
        <v/>
      </c>
    </row>
    <row r="720" spans="1:1">
      <c r="A720" s="1" t="str">
        <f t="shared" si="29"/>
        <v/>
      </c>
    </row>
    <row r="721" spans="1:1">
      <c r="A721" s="1" t="str">
        <f t="shared" si="29"/>
        <v/>
      </c>
    </row>
    <row r="722" spans="1:1">
      <c r="A722" s="1" t="str">
        <f t="shared" si="29"/>
        <v/>
      </c>
    </row>
    <row r="723" spans="1:1">
      <c r="A723" s="1" t="str">
        <f t="shared" si="29"/>
        <v/>
      </c>
    </row>
    <row r="724" spans="1:1">
      <c r="A724" s="1" t="str">
        <f t="shared" si="29"/>
        <v/>
      </c>
    </row>
    <row r="725" spans="1:1">
      <c r="A725" s="1" t="str">
        <f t="shared" si="29"/>
        <v/>
      </c>
    </row>
    <row r="726" spans="1:1">
      <c r="A726" s="1" t="str">
        <f t="shared" si="29"/>
        <v/>
      </c>
    </row>
    <row r="727" spans="1:1">
      <c r="A727" s="1" t="str">
        <f t="shared" si="29"/>
        <v/>
      </c>
    </row>
    <row r="728" spans="1:1">
      <c r="A728" s="1" t="str">
        <f t="shared" si="29"/>
        <v/>
      </c>
    </row>
    <row r="729" spans="1:1">
      <c r="A729" s="1" t="str">
        <f t="shared" si="29"/>
        <v/>
      </c>
    </row>
    <row r="730" spans="1:1">
      <c r="A730" s="1" t="str">
        <f t="shared" si="29"/>
        <v/>
      </c>
    </row>
    <row r="731" spans="1:1">
      <c r="A731" s="1" t="str">
        <f t="shared" si="29"/>
        <v/>
      </c>
    </row>
    <row r="732" spans="1:1">
      <c r="A732" s="1" t="str">
        <f t="shared" si="29"/>
        <v/>
      </c>
    </row>
    <row r="733" spans="1:1">
      <c r="A733" s="1" t="str">
        <f t="shared" si="29"/>
        <v/>
      </c>
    </row>
    <row r="734" spans="1:1">
      <c r="A734" s="1" t="str">
        <f t="shared" si="29"/>
        <v/>
      </c>
    </row>
    <row r="735" spans="1:1">
      <c r="A735" s="1" t="str">
        <f t="shared" si="29"/>
        <v/>
      </c>
    </row>
    <row r="736" spans="1:1">
      <c r="A736" s="1" t="str">
        <f t="shared" si="29"/>
        <v/>
      </c>
    </row>
    <row r="737" spans="1:1">
      <c r="A737" s="1" t="str">
        <f t="shared" si="29"/>
        <v/>
      </c>
    </row>
    <row r="738" spans="1:1">
      <c r="A738" s="1" t="str">
        <f t="shared" si="29"/>
        <v/>
      </c>
    </row>
    <row r="739" spans="1:1">
      <c r="A739" s="1" t="str">
        <f t="shared" si="29"/>
        <v/>
      </c>
    </row>
    <row r="740" spans="1:1">
      <c r="A740" s="1" t="str">
        <f t="shared" si="29"/>
        <v/>
      </c>
    </row>
    <row r="741" spans="1:1">
      <c r="A741" s="1" t="str">
        <f t="shared" si="29"/>
        <v/>
      </c>
    </row>
    <row r="742" spans="1:1">
      <c r="A742" s="1" t="str">
        <f t="shared" si="29"/>
        <v/>
      </c>
    </row>
    <row r="743" spans="1:1">
      <c r="A743" s="1" t="str">
        <f t="shared" si="29"/>
        <v/>
      </c>
    </row>
    <row r="744" spans="1:1">
      <c r="A744" s="1" t="str">
        <f t="shared" si="29"/>
        <v/>
      </c>
    </row>
    <row r="745" spans="1:1">
      <c r="A745" s="1" t="str">
        <f t="shared" si="29"/>
        <v/>
      </c>
    </row>
    <row r="746" spans="1:1">
      <c r="A746" s="1" t="str">
        <f t="shared" si="29"/>
        <v/>
      </c>
    </row>
    <row r="747" spans="1:1">
      <c r="A747" s="1" t="str">
        <f t="shared" si="29"/>
        <v/>
      </c>
    </row>
    <row r="748" spans="1:1">
      <c r="A748" s="1" t="str">
        <f t="shared" si="29"/>
        <v/>
      </c>
    </row>
    <row r="749" spans="1:1">
      <c r="A749" s="1" t="str">
        <f t="shared" si="29"/>
        <v/>
      </c>
    </row>
    <row r="750" spans="1:1">
      <c r="A750" s="1" t="str">
        <f t="shared" si="29"/>
        <v/>
      </c>
    </row>
    <row r="751" spans="1:1">
      <c r="A751" s="1" t="str">
        <f t="shared" si="29"/>
        <v/>
      </c>
    </row>
    <row r="752" spans="1:1">
      <c r="A752" s="1" t="str">
        <f t="shared" si="29"/>
        <v/>
      </c>
    </row>
    <row r="753" spans="1:1">
      <c r="A753" s="1" t="str">
        <f t="shared" si="29"/>
        <v/>
      </c>
    </row>
    <row r="754" spans="1:1">
      <c r="A754" s="1" t="str">
        <f t="shared" si="29"/>
        <v/>
      </c>
    </row>
    <row r="755" spans="1:1">
      <c r="A755" s="1" t="str">
        <f t="shared" si="29"/>
        <v/>
      </c>
    </row>
    <row r="756" spans="1:1">
      <c r="A756" s="1" t="str">
        <f t="shared" si="29"/>
        <v/>
      </c>
    </row>
    <row r="757" spans="1:1">
      <c r="A757" s="1" t="str">
        <f t="shared" si="29"/>
        <v/>
      </c>
    </row>
    <row r="758" spans="1:1">
      <c r="A758" s="1" t="str">
        <f t="shared" si="29"/>
        <v/>
      </c>
    </row>
    <row r="759" spans="1:1">
      <c r="A759" s="1" t="str">
        <f t="shared" si="29"/>
        <v/>
      </c>
    </row>
    <row r="760" spans="1:1">
      <c r="A760" s="1" t="str">
        <f t="shared" si="29"/>
        <v/>
      </c>
    </row>
    <row r="761" spans="1:1">
      <c r="A761" s="1" t="str">
        <f t="shared" si="29"/>
        <v/>
      </c>
    </row>
    <row r="762" spans="1:1">
      <c r="A762" s="1" t="str">
        <f t="shared" si="29"/>
        <v/>
      </c>
    </row>
    <row r="763" spans="1:1">
      <c r="A763" s="1" t="str">
        <f t="shared" si="29"/>
        <v/>
      </c>
    </row>
    <row r="764" spans="1:1">
      <c r="A764" s="1" t="str">
        <f t="shared" si="29"/>
        <v/>
      </c>
    </row>
    <row r="765" spans="1:1">
      <c r="A765" s="1" t="str">
        <f t="shared" si="29"/>
        <v/>
      </c>
    </row>
    <row r="766" spans="1:1">
      <c r="A766" s="1" t="str">
        <f t="shared" si="29"/>
        <v/>
      </c>
    </row>
    <row r="767" spans="1:1">
      <c r="A767" s="1" t="str">
        <f t="shared" si="29"/>
        <v/>
      </c>
    </row>
    <row r="768" spans="1:1">
      <c r="A768" s="1" t="str">
        <f t="shared" si="29"/>
        <v/>
      </c>
    </row>
    <row r="769" spans="1:1">
      <c r="A769" s="1" t="str">
        <f t="shared" si="29"/>
        <v/>
      </c>
    </row>
    <row r="770" spans="1:1">
      <c r="A770" s="1" t="str">
        <f t="shared" si="29"/>
        <v/>
      </c>
    </row>
    <row r="771" spans="1:1">
      <c r="A771" s="1" t="str">
        <f t="shared" si="29"/>
        <v/>
      </c>
    </row>
    <row r="772" spans="1:1">
      <c r="A772" s="1" t="str">
        <f t="shared" si="29"/>
        <v/>
      </c>
    </row>
    <row r="773" spans="1:1">
      <c r="A773" s="1" t="str">
        <f t="shared" si="29"/>
        <v/>
      </c>
    </row>
    <row r="774" spans="1:1">
      <c r="A774" s="1" t="str">
        <f t="shared" si="29"/>
        <v/>
      </c>
    </row>
    <row r="775" spans="1:1">
      <c r="A775" s="1" t="str">
        <f t="shared" si="29"/>
        <v/>
      </c>
    </row>
    <row r="776" spans="1:1">
      <c r="A776" s="1" t="str">
        <f t="shared" si="29"/>
        <v/>
      </c>
    </row>
    <row r="777" spans="1:1">
      <c r="A777" s="1" t="str">
        <f t="shared" si="29"/>
        <v/>
      </c>
    </row>
    <row r="778" spans="1:1">
      <c r="A778" s="1" t="str">
        <f t="shared" ref="A778:A841" si="30">IF(C778="","",A777+1)</f>
        <v/>
      </c>
    </row>
    <row r="779" spans="1:1">
      <c r="A779" s="1" t="str">
        <f t="shared" si="30"/>
        <v/>
      </c>
    </row>
    <row r="780" spans="1:1">
      <c r="A780" s="1" t="str">
        <f t="shared" si="30"/>
        <v/>
      </c>
    </row>
    <row r="781" spans="1:1">
      <c r="A781" s="1" t="str">
        <f t="shared" si="30"/>
        <v/>
      </c>
    </row>
    <row r="782" spans="1:1">
      <c r="A782" s="1" t="str">
        <f t="shared" si="30"/>
        <v/>
      </c>
    </row>
    <row r="783" spans="1:1">
      <c r="A783" s="1" t="str">
        <f t="shared" si="30"/>
        <v/>
      </c>
    </row>
    <row r="784" spans="1:1">
      <c r="A784" s="1" t="str">
        <f t="shared" si="30"/>
        <v/>
      </c>
    </row>
    <row r="785" spans="1:1">
      <c r="A785" s="1" t="str">
        <f t="shared" si="30"/>
        <v/>
      </c>
    </row>
    <row r="786" spans="1:1">
      <c r="A786" s="1" t="str">
        <f t="shared" si="30"/>
        <v/>
      </c>
    </row>
    <row r="787" spans="1:1">
      <c r="A787" s="1" t="str">
        <f t="shared" si="30"/>
        <v/>
      </c>
    </row>
    <row r="788" spans="1:1">
      <c r="A788" s="1" t="str">
        <f t="shared" si="30"/>
        <v/>
      </c>
    </row>
    <row r="789" spans="1:1">
      <c r="A789" s="1" t="str">
        <f t="shared" si="30"/>
        <v/>
      </c>
    </row>
    <row r="790" spans="1:1">
      <c r="A790" s="1" t="str">
        <f t="shared" si="30"/>
        <v/>
      </c>
    </row>
    <row r="791" spans="1:1">
      <c r="A791" s="1" t="str">
        <f t="shared" si="30"/>
        <v/>
      </c>
    </row>
    <row r="792" spans="1:1">
      <c r="A792" s="1" t="str">
        <f t="shared" si="30"/>
        <v/>
      </c>
    </row>
    <row r="793" spans="1:1">
      <c r="A793" s="1" t="str">
        <f t="shared" si="30"/>
        <v/>
      </c>
    </row>
    <row r="794" spans="1:1">
      <c r="A794" s="1" t="str">
        <f t="shared" si="30"/>
        <v/>
      </c>
    </row>
    <row r="795" spans="1:1">
      <c r="A795" s="1" t="str">
        <f t="shared" si="30"/>
        <v/>
      </c>
    </row>
    <row r="796" spans="1:1">
      <c r="A796" s="1" t="str">
        <f t="shared" si="30"/>
        <v/>
      </c>
    </row>
    <row r="797" spans="1:1">
      <c r="A797" s="1" t="str">
        <f t="shared" si="30"/>
        <v/>
      </c>
    </row>
    <row r="798" spans="1:1">
      <c r="A798" s="1" t="str">
        <f t="shared" si="30"/>
        <v/>
      </c>
    </row>
    <row r="799" spans="1:1">
      <c r="A799" s="1" t="str">
        <f t="shared" si="30"/>
        <v/>
      </c>
    </row>
    <row r="800" spans="1:1">
      <c r="A800" s="1" t="str">
        <f t="shared" si="30"/>
        <v/>
      </c>
    </row>
    <row r="801" spans="1:1">
      <c r="A801" s="1" t="str">
        <f t="shared" si="30"/>
        <v/>
      </c>
    </row>
    <row r="802" spans="1:1">
      <c r="A802" s="1" t="str">
        <f t="shared" si="30"/>
        <v/>
      </c>
    </row>
    <row r="803" spans="1:1">
      <c r="A803" s="1" t="str">
        <f t="shared" si="30"/>
        <v/>
      </c>
    </row>
    <row r="804" spans="1:1">
      <c r="A804" s="1" t="str">
        <f t="shared" si="30"/>
        <v/>
      </c>
    </row>
    <row r="805" spans="1:1">
      <c r="A805" s="1" t="str">
        <f t="shared" si="30"/>
        <v/>
      </c>
    </row>
    <row r="806" spans="1:1">
      <c r="A806" s="1" t="str">
        <f t="shared" si="30"/>
        <v/>
      </c>
    </row>
    <row r="807" spans="1:1">
      <c r="A807" s="1" t="str">
        <f t="shared" si="30"/>
        <v/>
      </c>
    </row>
    <row r="808" spans="1:1">
      <c r="A808" s="1" t="str">
        <f t="shared" si="30"/>
        <v/>
      </c>
    </row>
    <row r="809" spans="1:1">
      <c r="A809" s="1" t="str">
        <f t="shared" si="30"/>
        <v/>
      </c>
    </row>
    <row r="810" spans="1:1">
      <c r="A810" s="1" t="str">
        <f t="shared" si="30"/>
        <v/>
      </c>
    </row>
    <row r="811" spans="1:1">
      <c r="A811" s="1" t="str">
        <f t="shared" si="30"/>
        <v/>
      </c>
    </row>
    <row r="812" spans="1:1">
      <c r="A812" s="1" t="str">
        <f t="shared" si="30"/>
        <v/>
      </c>
    </row>
    <row r="813" spans="1:1">
      <c r="A813" s="1" t="str">
        <f t="shared" si="30"/>
        <v/>
      </c>
    </row>
    <row r="814" spans="1:1">
      <c r="A814" s="1" t="str">
        <f t="shared" si="30"/>
        <v/>
      </c>
    </row>
    <row r="815" spans="1:1">
      <c r="A815" s="1" t="str">
        <f t="shared" si="30"/>
        <v/>
      </c>
    </row>
    <row r="816" spans="1:1">
      <c r="A816" s="1" t="str">
        <f t="shared" si="30"/>
        <v/>
      </c>
    </row>
    <row r="817" spans="1:1">
      <c r="A817" s="1" t="str">
        <f t="shared" si="30"/>
        <v/>
      </c>
    </row>
    <row r="818" spans="1:1">
      <c r="A818" s="1" t="str">
        <f t="shared" si="30"/>
        <v/>
      </c>
    </row>
    <row r="819" spans="1:1">
      <c r="A819" s="1" t="str">
        <f t="shared" si="30"/>
        <v/>
      </c>
    </row>
    <row r="820" spans="1:1">
      <c r="A820" s="1" t="str">
        <f t="shared" si="30"/>
        <v/>
      </c>
    </row>
    <row r="821" spans="1:1">
      <c r="A821" s="1" t="str">
        <f t="shared" si="30"/>
        <v/>
      </c>
    </row>
    <row r="822" spans="1:1">
      <c r="A822" s="1" t="str">
        <f t="shared" si="30"/>
        <v/>
      </c>
    </row>
    <row r="823" spans="1:1">
      <c r="A823" s="1" t="str">
        <f t="shared" si="30"/>
        <v/>
      </c>
    </row>
    <row r="824" spans="1:1">
      <c r="A824" s="1" t="str">
        <f t="shared" si="30"/>
        <v/>
      </c>
    </row>
    <row r="825" spans="1:1">
      <c r="A825" s="1" t="str">
        <f t="shared" si="30"/>
        <v/>
      </c>
    </row>
    <row r="826" spans="1:1">
      <c r="A826" s="1" t="str">
        <f t="shared" si="30"/>
        <v/>
      </c>
    </row>
    <row r="827" spans="1:1">
      <c r="A827" s="1" t="str">
        <f t="shared" si="30"/>
        <v/>
      </c>
    </row>
    <row r="828" spans="1:1">
      <c r="A828" s="1" t="str">
        <f t="shared" si="30"/>
        <v/>
      </c>
    </row>
    <row r="829" spans="1:1">
      <c r="A829" s="1" t="str">
        <f t="shared" si="30"/>
        <v/>
      </c>
    </row>
    <row r="830" spans="1:1">
      <c r="A830" s="1" t="str">
        <f t="shared" si="30"/>
        <v/>
      </c>
    </row>
    <row r="831" spans="1:1">
      <c r="A831" s="1" t="str">
        <f t="shared" si="30"/>
        <v/>
      </c>
    </row>
    <row r="832" spans="1:1">
      <c r="A832" s="1" t="str">
        <f t="shared" si="30"/>
        <v/>
      </c>
    </row>
    <row r="833" spans="1:1">
      <c r="A833" s="1" t="str">
        <f t="shared" si="30"/>
        <v/>
      </c>
    </row>
    <row r="834" spans="1:1">
      <c r="A834" s="1" t="str">
        <f t="shared" si="30"/>
        <v/>
      </c>
    </row>
    <row r="835" spans="1:1">
      <c r="A835" s="1" t="str">
        <f t="shared" si="30"/>
        <v/>
      </c>
    </row>
    <row r="836" spans="1:1">
      <c r="A836" s="1" t="str">
        <f t="shared" si="30"/>
        <v/>
      </c>
    </row>
    <row r="837" spans="1:1">
      <c r="A837" s="1" t="str">
        <f t="shared" si="30"/>
        <v/>
      </c>
    </row>
    <row r="838" spans="1:1">
      <c r="A838" s="1" t="str">
        <f t="shared" si="30"/>
        <v/>
      </c>
    </row>
    <row r="839" spans="1:1">
      <c r="A839" s="1" t="str">
        <f t="shared" si="30"/>
        <v/>
      </c>
    </row>
    <row r="840" spans="1:1">
      <c r="A840" s="1" t="str">
        <f t="shared" si="30"/>
        <v/>
      </c>
    </row>
    <row r="841" spans="1:1">
      <c r="A841" s="1" t="str">
        <f t="shared" si="30"/>
        <v/>
      </c>
    </row>
    <row r="842" spans="1:1">
      <c r="A842" s="1" t="str">
        <f t="shared" ref="A842:A905" si="31">IF(C842="","",A841+1)</f>
        <v/>
      </c>
    </row>
    <row r="843" spans="1:1">
      <c r="A843" s="1" t="str">
        <f t="shared" si="31"/>
        <v/>
      </c>
    </row>
    <row r="844" spans="1:1">
      <c r="A844" s="1" t="str">
        <f t="shared" si="31"/>
        <v/>
      </c>
    </row>
    <row r="845" spans="1:1">
      <c r="A845" s="1" t="str">
        <f t="shared" si="31"/>
        <v/>
      </c>
    </row>
    <row r="846" spans="1:1">
      <c r="A846" s="1" t="str">
        <f t="shared" si="31"/>
        <v/>
      </c>
    </row>
    <row r="847" spans="1:1">
      <c r="A847" s="1" t="str">
        <f t="shared" si="31"/>
        <v/>
      </c>
    </row>
    <row r="848" spans="1:1">
      <c r="A848" s="1" t="str">
        <f t="shared" si="31"/>
        <v/>
      </c>
    </row>
    <row r="849" spans="1:1">
      <c r="A849" s="1" t="str">
        <f t="shared" si="31"/>
        <v/>
      </c>
    </row>
    <row r="850" spans="1:1">
      <c r="A850" s="1" t="str">
        <f t="shared" si="31"/>
        <v/>
      </c>
    </row>
    <row r="851" spans="1:1">
      <c r="A851" s="1" t="str">
        <f t="shared" si="31"/>
        <v/>
      </c>
    </row>
    <row r="852" spans="1:1">
      <c r="A852" s="1" t="str">
        <f t="shared" si="31"/>
        <v/>
      </c>
    </row>
    <row r="853" spans="1:1">
      <c r="A853" s="1" t="str">
        <f t="shared" si="31"/>
        <v/>
      </c>
    </row>
    <row r="854" spans="1:1">
      <c r="A854" s="1" t="str">
        <f t="shared" si="31"/>
        <v/>
      </c>
    </row>
    <row r="855" spans="1:1">
      <c r="A855" s="1" t="str">
        <f t="shared" si="31"/>
        <v/>
      </c>
    </row>
    <row r="856" spans="1:1">
      <c r="A856" s="1" t="str">
        <f t="shared" si="31"/>
        <v/>
      </c>
    </row>
    <row r="857" spans="1:1">
      <c r="A857" s="1" t="str">
        <f t="shared" si="31"/>
        <v/>
      </c>
    </row>
    <row r="858" spans="1:1">
      <c r="A858" s="1" t="str">
        <f t="shared" si="31"/>
        <v/>
      </c>
    </row>
    <row r="859" spans="1:1">
      <c r="A859" s="1" t="str">
        <f t="shared" si="31"/>
        <v/>
      </c>
    </row>
    <row r="860" spans="1:1">
      <c r="A860" s="1" t="str">
        <f t="shared" si="31"/>
        <v/>
      </c>
    </row>
    <row r="861" spans="1:1">
      <c r="A861" s="1" t="str">
        <f t="shared" si="31"/>
        <v/>
      </c>
    </row>
    <row r="862" spans="1:1">
      <c r="A862" s="1" t="str">
        <f t="shared" si="31"/>
        <v/>
      </c>
    </row>
    <row r="863" spans="1:1">
      <c r="A863" s="1" t="str">
        <f t="shared" si="31"/>
        <v/>
      </c>
    </row>
    <row r="864" spans="1:1">
      <c r="A864" s="1" t="str">
        <f t="shared" si="31"/>
        <v/>
      </c>
    </row>
    <row r="865" spans="1:1">
      <c r="A865" s="1" t="str">
        <f t="shared" si="31"/>
        <v/>
      </c>
    </row>
    <row r="866" spans="1:1">
      <c r="A866" s="1" t="str">
        <f t="shared" si="31"/>
        <v/>
      </c>
    </row>
    <row r="867" spans="1:1">
      <c r="A867" s="1" t="str">
        <f t="shared" si="31"/>
        <v/>
      </c>
    </row>
    <row r="868" spans="1:1">
      <c r="A868" s="1" t="str">
        <f t="shared" si="31"/>
        <v/>
      </c>
    </row>
    <row r="869" spans="1:1">
      <c r="A869" s="1" t="str">
        <f t="shared" si="31"/>
        <v/>
      </c>
    </row>
    <row r="870" spans="1:1">
      <c r="A870" s="1" t="str">
        <f t="shared" si="31"/>
        <v/>
      </c>
    </row>
    <row r="871" spans="1:1">
      <c r="A871" s="1" t="str">
        <f t="shared" si="31"/>
        <v/>
      </c>
    </row>
    <row r="872" spans="1:1">
      <c r="A872" s="1" t="str">
        <f t="shared" si="31"/>
        <v/>
      </c>
    </row>
    <row r="873" spans="1:1">
      <c r="A873" s="1" t="str">
        <f t="shared" si="31"/>
        <v/>
      </c>
    </row>
    <row r="874" spans="1:1">
      <c r="A874" s="1" t="str">
        <f t="shared" si="31"/>
        <v/>
      </c>
    </row>
    <row r="875" spans="1:1">
      <c r="A875" s="1" t="str">
        <f t="shared" si="31"/>
        <v/>
      </c>
    </row>
    <row r="876" spans="1:1">
      <c r="A876" s="1" t="str">
        <f t="shared" si="31"/>
        <v/>
      </c>
    </row>
    <row r="877" spans="1:1">
      <c r="A877" s="1" t="str">
        <f t="shared" si="31"/>
        <v/>
      </c>
    </row>
    <row r="878" spans="1:1">
      <c r="A878" s="1" t="str">
        <f t="shared" si="31"/>
        <v/>
      </c>
    </row>
    <row r="879" spans="1:1">
      <c r="A879" s="1" t="str">
        <f t="shared" si="31"/>
        <v/>
      </c>
    </row>
    <row r="880" spans="1:1">
      <c r="A880" s="1" t="str">
        <f t="shared" si="31"/>
        <v/>
      </c>
    </row>
    <row r="881" spans="1:1">
      <c r="A881" s="1" t="str">
        <f t="shared" si="31"/>
        <v/>
      </c>
    </row>
    <row r="882" spans="1:1">
      <c r="A882" s="1" t="str">
        <f t="shared" si="31"/>
        <v/>
      </c>
    </row>
    <row r="883" spans="1:1">
      <c r="A883" s="1" t="str">
        <f t="shared" si="31"/>
        <v/>
      </c>
    </row>
    <row r="884" spans="1:1">
      <c r="A884" s="1" t="str">
        <f t="shared" si="31"/>
        <v/>
      </c>
    </row>
    <row r="885" spans="1:1">
      <c r="A885" s="1" t="str">
        <f t="shared" si="31"/>
        <v/>
      </c>
    </row>
    <row r="886" spans="1:1">
      <c r="A886" s="1" t="str">
        <f t="shared" si="31"/>
        <v/>
      </c>
    </row>
    <row r="887" spans="1:1">
      <c r="A887" s="1" t="str">
        <f t="shared" si="31"/>
        <v/>
      </c>
    </row>
    <row r="888" spans="1:1">
      <c r="A888" s="1" t="str">
        <f t="shared" si="31"/>
        <v/>
      </c>
    </row>
    <row r="889" spans="1:1">
      <c r="A889" s="1" t="str">
        <f t="shared" si="31"/>
        <v/>
      </c>
    </row>
    <row r="890" spans="1:1">
      <c r="A890" s="1" t="str">
        <f t="shared" si="31"/>
        <v/>
      </c>
    </row>
    <row r="891" spans="1:1">
      <c r="A891" s="1" t="str">
        <f t="shared" si="31"/>
        <v/>
      </c>
    </row>
    <row r="892" spans="1:1">
      <c r="A892" s="1" t="str">
        <f t="shared" si="31"/>
        <v/>
      </c>
    </row>
    <row r="893" spans="1:1">
      <c r="A893" s="1" t="str">
        <f t="shared" si="31"/>
        <v/>
      </c>
    </row>
    <row r="894" spans="1:1">
      <c r="A894" s="1" t="str">
        <f t="shared" si="31"/>
        <v/>
      </c>
    </row>
    <row r="895" spans="1:1">
      <c r="A895" s="1" t="str">
        <f t="shared" si="31"/>
        <v/>
      </c>
    </row>
    <row r="896" spans="1:1">
      <c r="A896" s="1" t="str">
        <f t="shared" si="31"/>
        <v/>
      </c>
    </row>
    <row r="897" spans="1:1">
      <c r="A897" s="1" t="str">
        <f t="shared" si="31"/>
        <v/>
      </c>
    </row>
    <row r="898" spans="1:1">
      <c r="A898" s="1" t="str">
        <f t="shared" si="31"/>
        <v/>
      </c>
    </row>
    <row r="899" spans="1:1">
      <c r="A899" s="1" t="str">
        <f t="shared" si="31"/>
        <v/>
      </c>
    </row>
    <row r="900" spans="1:1">
      <c r="A900" s="1" t="str">
        <f t="shared" si="31"/>
        <v/>
      </c>
    </row>
    <row r="901" spans="1:1">
      <c r="A901" s="1" t="str">
        <f t="shared" si="31"/>
        <v/>
      </c>
    </row>
    <row r="902" spans="1:1">
      <c r="A902" s="1" t="str">
        <f t="shared" si="31"/>
        <v/>
      </c>
    </row>
    <row r="903" spans="1:1">
      <c r="A903" s="1" t="str">
        <f t="shared" si="31"/>
        <v/>
      </c>
    </row>
    <row r="904" spans="1:1">
      <c r="A904" s="1" t="str">
        <f t="shared" si="31"/>
        <v/>
      </c>
    </row>
    <row r="905" spans="1:1">
      <c r="A905" s="1" t="str">
        <f t="shared" si="31"/>
        <v/>
      </c>
    </row>
    <row r="906" spans="1:1">
      <c r="A906" s="1" t="str">
        <f t="shared" ref="A906:A969" si="32">IF(C906="","",A905+1)</f>
        <v/>
      </c>
    </row>
    <row r="907" spans="1:1">
      <c r="A907" s="1" t="str">
        <f t="shared" si="32"/>
        <v/>
      </c>
    </row>
    <row r="908" spans="1:1">
      <c r="A908" s="1" t="str">
        <f t="shared" si="32"/>
        <v/>
      </c>
    </row>
    <row r="909" spans="1:1">
      <c r="A909" s="1" t="str">
        <f t="shared" si="32"/>
        <v/>
      </c>
    </row>
    <row r="910" spans="1:1">
      <c r="A910" s="1" t="str">
        <f t="shared" si="32"/>
        <v/>
      </c>
    </row>
    <row r="911" spans="1:1">
      <c r="A911" s="1" t="str">
        <f t="shared" si="32"/>
        <v/>
      </c>
    </row>
    <row r="912" spans="1:1">
      <c r="A912" s="1" t="str">
        <f t="shared" si="32"/>
        <v/>
      </c>
    </row>
    <row r="913" spans="1:1">
      <c r="A913" s="1" t="str">
        <f t="shared" si="32"/>
        <v/>
      </c>
    </row>
    <row r="914" spans="1:1">
      <c r="A914" s="1" t="str">
        <f t="shared" si="32"/>
        <v/>
      </c>
    </row>
    <row r="915" spans="1:1">
      <c r="A915" s="1" t="str">
        <f t="shared" si="32"/>
        <v/>
      </c>
    </row>
    <row r="916" spans="1:1">
      <c r="A916" s="1" t="str">
        <f t="shared" si="32"/>
        <v/>
      </c>
    </row>
    <row r="917" spans="1:1">
      <c r="A917" s="1" t="str">
        <f t="shared" si="32"/>
        <v/>
      </c>
    </row>
    <row r="918" spans="1:1">
      <c r="A918" s="1" t="str">
        <f t="shared" si="32"/>
        <v/>
      </c>
    </row>
    <row r="919" spans="1:1">
      <c r="A919" s="1" t="str">
        <f t="shared" si="32"/>
        <v/>
      </c>
    </row>
    <row r="920" spans="1:1">
      <c r="A920" s="1" t="str">
        <f t="shared" si="32"/>
        <v/>
      </c>
    </row>
    <row r="921" spans="1:1">
      <c r="A921" s="1" t="str">
        <f t="shared" si="32"/>
        <v/>
      </c>
    </row>
    <row r="922" spans="1:1">
      <c r="A922" s="1" t="str">
        <f t="shared" si="32"/>
        <v/>
      </c>
    </row>
    <row r="923" spans="1:1">
      <c r="A923" s="1" t="str">
        <f t="shared" si="32"/>
        <v/>
      </c>
    </row>
    <row r="924" spans="1:1">
      <c r="A924" s="1" t="str">
        <f t="shared" si="32"/>
        <v/>
      </c>
    </row>
    <row r="925" spans="1:1">
      <c r="A925" s="1" t="str">
        <f t="shared" si="32"/>
        <v/>
      </c>
    </row>
    <row r="926" spans="1:1">
      <c r="A926" s="1" t="str">
        <f t="shared" si="32"/>
        <v/>
      </c>
    </row>
    <row r="927" spans="1:1">
      <c r="A927" s="1" t="str">
        <f t="shared" si="32"/>
        <v/>
      </c>
    </row>
    <row r="928" spans="1:1">
      <c r="A928" s="1" t="str">
        <f t="shared" si="32"/>
        <v/>
      </c>
    </row>
    <row r="929" spans="1:1">
      <c r="A929" s="1" t="str">
        <f t="shared" si="32"/>
        <v/>
      </c>
    </row>
    <row r="930" spans="1:1">
      <c r="A930" s="1" t="str">
        <f t="shared" si="32"/>
        <v/>
      </c>
    </row>
    <row r="931" spans="1:1">
      <c r="A931" s="1" t="str">
        <f t="shared" si="32"/>
        <v/>
      </c>
    </row>
    <row r="932" spans="1:1">
      <c r="A932" s="1" t="str">
        <f t="shared" si="32"/>
        <v/>
      </c>
    </row>
    <row r="933" spans="1:1">
      <c r="A933" s="1" t="str">
        <f t="shared" si="32"/>
        <v/>
      </c>
    </row>
    <row r="934" spans="1:1">
      <c r="A934" s="1" t="str">
        <f t="shared" si="32"/>
        <v/>
      </c>
    </row>
    <row r="935" spans="1:1">
      <c r="A935" s="1" t="str">
        <f t="shared" si="32"/>
        <v/>
      </c>
    </row>
    <row r="936" spans="1:1">
      <c r="A936" s="1" t="str">
        <f t="shared" si="32"/>
        <v/>
      </c>
    </row>
    <row r="937" spans="1:1">
      <c r="A937" s="1" t="str">
        <f t="shared" si="32"/>
        <v/>
      </c>
    </row>
    <row r="938" spans="1:1">
      <c r="A938" s="1" t="str">
        <f t="shared" si="32"/>
        <v/>
      </c>
    </row>
    <row r="939" spans="1:1">
      <c r="A939" s="1" t="str">
        <f t="shared" si="32"/>
        <v/>
      </c>
    </row>
    <row r="940" spans="1:1">
      <c r="A940" s="1" t="str">
        <f t="shared" si="32"/>
        <v/>
      </c>
    </row>
    <row r="941" spans="1:1">
      <c r="A941" s="1" t="str">
        <f t="shared" si="32"/>
        <v/>
      </c>
    </row>
    <row r="942" spans="1:1">
      <c r="A942" s="1" t="str">
        <f t="shared" si="32"/>
        <v/>
      </c>
    </row>
    <row r="943" spans="1:1">
      <c r="A943" s="1" t="str">
        <f t="shared" si="32"/>
        <v/>
      </c>
    </row>
    <row r="944" spans="1:1">
      <c r="A944" s="1" t="str">
        <f t="shared" si="32"/>
        <v/>
      </c>
    </row>
    <row r="945" spans="1:1">
      <c r="A945" s="1" t="str">
        <f t="shared" si="32"/>
        <v/>
      </c>
    </row>
    <row r="946" spans="1:1">
      <c r="A946" s="1" t="str">
        <f t="shared" si="32"/>
        <v/>
      </c>
    </row>
    <row r="947" spans="1:1">
      <c r="A947" s="1" t="str">
        <f t="shared" si="32"/>
        <v/>
      </c>
    </row>
    <row r="948" spans="1:1">
      <c r="A948" s="1" t="str">
        <f t="shared" si="32"/>
        <v/>
      </c>
    </row>
    <row r="949" spans="1:1">
      <c r="A949" s="1" t="str">
        <f t="shared" si="32"/>
        <v/>
      </c>
    </row>
    <row r="950" spans="1:1">
      <c r="A950" s="1" t="str">
        <f t="shared" si="32"/>
        <v/>
      </c>
    </row>
    <row r="951" spans="1:1">
      <c r="A951" s="1" t="str">
        <f t="shared" si="32"/>
        <v/>
      </c>
    </row>
    <row r="952" spans="1:1">
      <c r="A952" s="1" t="str">
        <f t="shared" si="32"/>
        <v/>
      </c>
    </row>
    <row r="953" spans="1:1">
      <c r="A953" s="1" t="str">
        <f t="shared" si="32"/>
        <v/>
      </c>
    </row>
    <row r="954" spans="1:1">
      <c r="A954" s="1" t="str">
        <f t="shared" si="32"/>
        <v/>
      </c>
    </row>
    <row r="955" spans="1:1">
      <c r="A955" s="1" t="str">
        <f t="shared" si="32"/>
        <v/>
      </c>
    </row>
    <row r="956" spans="1:1">
      <c r="A956" s="1" t="str">
        <f t="shared" si="32"/>
        <v/>
      </c>
    </row>
    <row r="957" spans="1:1">
      <c r="A957" s="1" t="str">
        <f t="shared" si="32"/>
        <v/>
      </c>
    </row>
    <row r="958" spans="1:1">
      <c r="A958" s="1" t="str">
        <f t="shared" si="32"/>
        <v/>
      </c>
    </row>
    <row r="959" spans="1:1">
      <c r="A959" s="1" t="str">
        <f t="shared" si="32"/>
        <v/>
      </c>
    </row>
    <row r="960" spans="1:1">
      <c r="A960" s="1" t="str">
        <f t="shared" si="32"/>
        <v/>
      </c>
    </row>
    <row r="961" spans="1:1">
      <c r="A961" s="1" t="str">
        <f t="shared" si="32"/>
        <v/>
      </c>
    </row>
    <row r="962" spans="1:1">
      <c r="A962" s="1" t="str">
        <f t="shared" si="32"/>
        <v/>
      </c>
    </row>
    <row r="963" spans="1:1">
      <c r="A963" s="1" t="str">
        <f t="shared" si="32"/>
        <v/>
      </c>
    </row>
    <row r="964" spans="1:1">
      <c r="A964" s="1" t="str">
        <f t="shared" si="32"/>
        <v/>
      </c>
    </row>
    <row r="965" spans="1:1">
      <c r="A965" s="1" t="str">
        <f t="shared" si="32"/>
        <v/>
      </c>
    </row>
    <row r="966" spans="1:1">
      <c r="A966" s="1" t="str">
        <f t="shared" si="32"/>
        <v/>
      </c>
    </row>
    <row r="967" spans="1:1">
      <c r="A967" s="1" t="str">
        <f t="shared" si="32"/>
        <v/>
      </c>
    </row>
    <row r="968" spans="1:1">
      <c r="A968" s="1" t="str">
        <f t="shared" si="32"/>
        <v/>
      </c>
    </row>
    <row r="969" spans="1:1">
      <c r="A969" s="1" t="str">
        <f t="shared" si="32"/>
        <v/>
      </c>
    </row>
    <row r="970" spans="1:1">
      <c r="A970" s="1" t="str">
        <f t="shared" ref="A970:A1002" si="33">IF(C970="","",A969+1)</f>
        <v/>
      </c>
    </row>
    <row r="971" spans="1:1">
      <c r="A971" s="1" t="str">
        <f t="shared" si="33"/>
        <v/>
      </c>
    </row>
    <row r="972" spans="1:1">
      <c r="A972" s="1" t="str">
        <f t="shared" si="33"/>
        <v/>
      </c>
    </row>
    <row r="973" spans="1:1">
      <c r="A973" s="1" t="str">
        <f t="shared" si="33"/>
        <v/>
      </c>
    </row>
    <row r="974" spans="1:1">
      <c r="A974" s="1" t="str">
        <f t="shared" si="33"/>
        <v/>
      </c>
    </row>
    <row r="975" spans="1:1">
      <c r="A975" s="1" t="str">
        <f t="shared" si="33"/>
        <v/>
      </c>
    </row>
    <row r="976" spans="1:1">
      <c r="A976" s="1" t="str">
        <f t="shared" si="33"/>
        <v/>
      </c>
    </row>
    <row r="977" spans="1:1">
      <c r="A977" s="1" t="str">
        <f t="shared" si="33"/>
        <v/>
      </c>
    </row>
    <row r="978" spans="1:1">
      <c r="A978" s="1" t="str">
        <f t="shared" si="33"/>
        <v/>
      </c>
    </row>
    <row r="979" spans="1:1">
      <c r="A979" s="1" t="str">
        <f t="shared" si="33"/>
        <v/>
      </c>
    </row>
    <row r="980" spans="1:1">
      <c r="A980" s="1" t="str">
        <f t="shared" si="33"/>
        <v/>
      </c>
    </row>
    <row r="981" spans="1:1">
      <c r="A981" s="1" t="str">
        <f t="shared" si="33"/>
        <v/>
      </c>
    </row>
    <row r="982" spans="1:1">
      <c r="A982" s="1" t="str">
        <f t="shared" si="33"/>
        <v/>
      </c>
    </row>
    <row r="983" spans="1:1">
      <c r="A983" s="1" t="str">
        <f t="shared" si="33"/>
        <v/>
      </c>
    </row>
    <row r="984" spans="1:1">
      <c r="A984" s="1" t="str">
        <f t="shared" si="33"/>
        <v/>
      </c>
    </row>
    <row r="985" spans="1:1">
      <c r="A985" s="1" t="str">
        <f t="shared" si="33"/>
        <v/>
      </c>
    </row>
    <row r="986" spans="1:1">
      <c r="A986" s="1" t="str">
        <f t="shared" si="33"/>
        <v/>
      </c>
    </row>
    <row r="987" spans="1:1">
      <c r="A987" s="1" t="str">
        <f t="shared" si="33"/>
        <v/>
      </c>
    </row>
    <row r="988" spans="1:1">
      <c r="A988" s="1" t="str">
        <f t="shared" si="33"/>
        <v/>
      </c>
    </row>
    <row r="989" spans="1:1">
      <c r="A989" s="1" t="str">
        <f t="shared" si="33"/>
        <v/>
      </c>
    </row>
    <row r="990" spans="1:1">
      <c r="A990" s="1" t="str">
        <f t="shared" si="33"/>
        <v/>
      </c>
    </row>
    <row r="991" spans="1:1">
      <c r="A991" s="1" t="str">
        <f t="shared" si="33"/>
        <v/>
      </c>
    </row>
    <row r="992" spans="1:1">
      <c r="A992" s="1" t="str">
        <f t="shared" si="33"/>
        <v/>
      </c>
    </row>
    <row r="993" spans="1:1">
      <c r="A993" s="1" t="str">
        <f t="shared" si="33"/>
        <v/>
      </c>
    </row>
    <row r="994" spans="1:1">
      <c r="A994" s="1" t="str">
        <f t="shared" si="33"/>
        <v/>
      </c>
    </row>
    <row r="995" spans="1:1">
      <c r="A995" s="1" t="str">
        <f t="shared" si="33"/>
        <v/>
      </c>
    </row>
    <row r="996" spans="1:1">
      <c r="A996" s="1" t="str">
        <f t="shared" si="33"/>
        <v/>
      </c>
    </row>
    <row r="997" spans="1:1">
      <c r="A997" s="1" t="str">
        <f t="shared" si="33"/>
        <v/>
      </c>
    </row>
    <row r="998" spans="1:1">
      <c r="A998" s="1" t="str">
        <f t="shared" si="33"/>
        <v/>
      </c>
    </row>
    <row r="999" spans="1:1">
      <c r="A999" s="1" t="str">
        <f t="shared" si="33"/>
        <v/>
      </c>
    </row>
    <row r="1000" spans="1:1">
      <c r="A1000" s="1" t="str">
        <f t="shared" si="33"/>
        <v/>
      </c>
    </row>
    <row r="1001" spans="1:1">
      <c r="A1001" s="1" t="str">
        <f t="shared" si="33"/>
        <v/>
      </c>
    </row>
    <row r="1002" spans="1:1">
      <c r="A1002" s="1" t="str">
        <f t="shared" si="33"/>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D101"/>
  <sheetViews>
    <sheetView tabSelected="1" workbookViewId="0">
      <pane ySplit="1" topLeftCell="A2" activePane="bottomLeft" state="frozen"/>
      <selection pane="bottomLeft" activeCell="C7" sqref="C7"/>
    </sheetView>
  </sheetViews>
  <sheetFormatPr defaultColWidth="9" defaultRowHeight="13.2"/>
  <cols>
    <col min="1" max="1" width="23.296875" style="188" bestFit="1" customWidth="1"/>
    <col min="2" max="2" width="8.09765625" style="189" bestFit="1" customWidth="1"/>
    <col min="3" max="3" width="46.3984375" style="188" bestFit="1" customWidth="1"/>
    <col min="4" max="4" width="46" style="188" bestFit="1" customWidth="1"/>
    <col min="5" max="16384" width="9" style="188"/>
  </cols>
  <sheetData>
    <row r="1" spans="1:4">
      <c r="A1" s="164" t="s">
        <v>136</v>
      </c>
      <c r="B1" s="164" t="s">
        <v>124</v>
      </c>
      <c r="C1" s="164" t="s">
        <v>140</v>
      </c>
      <c r="D1" s="164" t="s">
        <v>120</v>
      </c>
    </row>
    <row r="2" spans="1:4">
      <c r="A2" s="188" t="s">
        <v>154</v>
      </c>
      <c r="B2" s="212">
        <v>0</v>
      </c>
      <c r="C2" s="188" t="s">
        <v>183</v>
      </c>
      <c r="D2" s="188" t="s">
        <v>182</v>
      </c>
    </row>
    <row r="3" spans="1:4">
      <c r="A3" s="188" t="s">
        <v>141</v>
      </c>
      <c r="B3" s="212">
        <v>0</v>
      </c>
      <c r="C3" s="188" t="s">
        <v>184</v>
      </c>
      <c r="D3" s="188" t="s">
        <v>162</v>
      </c>
    </row>
    <row r="4" spans="1:4">
      <c r="A4" s="188" t="s">
        <v>142</v>
      </c>
      <c r="B4" s="212">
        <v>0</v>
      </c>
      <c r="C4" s="188" t="s">
        <v>185</v>
      </c>
      <c r="D4" s="188" t="s">
        <v>145</v>
      </c>
    </row>
    <row r="5" spans="1:4">
      <c r="A5" s="188" t="s">
        <v>144</v>
      </c>
      <c r="B5" s="212">
        <v>0</v>
      </c>
      <c r="C5" s="188" t="s">
        <v>186</v>
      </c>
      <c r="D5" s="188" t="s">
        <v>153</v>
      </c>
    </row>
    <row r="6" spans="1:4">
      <c r="A6" s="188" t="s">
        <v>143</v>
      </c>
      <c r="B6" s="212">
        <v>0</v>
      </c>
      <c r="C6" s="188" t="s">
        <v>187</v>
      </c>
      <c r="D6" s="188" t="s">
        <v>152</v>
      </c>
    </row>
    <row r="7" spans="1:4">
      <c r="A7" s="188" t="s">
        <v>155</v>
      </c>
      <c r="B7" s="212">
        <v>0</v>
      </c>
      <c r="C7" s="188" t="s">
        <v>189</v>
      </c>
      <c r="D7" s="188" t="s">
        <v>156</v>
      </c>
    </row>
    <row r="8" spans="1:4">
      <c r="A8" s="188" t="s">
        <v>157</v>
      </c>
      <c r="B8" s="212">
        <v>0</v>
      </c>
      <c r="C8" s="188" t="s">
        <v>188</v>
      </c>
      <c r="D8" s="188" t="s">
        <v>158</v>
      </c>
    </row>
    <row r="11" spans="1:4">
      <c r="A11" s="188" t="s">
        <v>171</v>
      </c>
    </row>
    <row r="12" spans="1:4">
      <c r="A12" s="188" t="s">
        <v>172</v>
      </c>
    </row>
    <row r="13" spans="1:4">
      <c r="A13" s="188" t="s">
        <v>173</v>
      </c>
    </row>
    <row r="14" spans="1:4">
      <c r="A14" s="188" t="s">
        <v>174</v>
      </c>
    </row>
    <row r="15" spans="1:4">
      <c r="A15" s="188" t="s">
        <v>175</v>
      </c>
    </row>
    <row r="16" spans="1:4">
      <c r="A16" s="188" t="s">
        <v>176</v>
      </c>
    </row>
    <row r="17" spans="1:1">
      <c r="A17" s="188" t="s">
        <v>177</v>
      </c>
    </row>
    <row r="18" spans="1:1">
      <c r="A18" s="188" t="s">
        <v>178</v>
      </c>
    </row>
    <row r="19" spans="1:1">
      <c r="A19" s="188" t="s">
        <v>179</v>
      </c>
    </row>
    <row r="20" spans="1:1">
      <c r="A20" s="188" t="s">
        <v>180</v>
      </c>
    </row>
    <row r="22" spans="1:1">
      <c r="A22" s="188" t="s">
        <v>181</v>
      </c>
    </row>
    <row r="101" spans="1:1">
      <c r="A101" s="164" t="s">
        <v>120</v>
      </c>
    </row>
  </sheetData>
  <phoneticPr fontId="4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G997"/>
  <sheetViews>
    <sheetView workbookViewId="0">
      <pane ySplit="11" topLeftCell="A12" activePane="bottomLeft" state="frozen"/>
      <selection pane="bottomLeft" activeCell="D6" sqref="D6"/>
    </sheetView>
  </sheetViews>
  <sheetFormatPr defaultColWidth="9" defaultRowHeight="12"/>
  <cols>
    <col min="1" max="1" width="6.19921875" style="133" customWidth="1"/>
    <col min="2" max="2" width="7.09765625" style="133" bestFit="1" customWidth="1"/>
    <col min="3" max="3" width="12.796875" style="134" bestFit="1" customWidth="1"/>
    <col min="4" max="4" width="6.8984375" style="134" bestFit="1" customWidth="1"/>
    <col min="5" max="5" width="5.19921875" style="135" customWidth="1"/>
    <col min="6" max="6" width="3.8984375" style="135" bestFit="1" customWidth="1"/>
    <col min="7" max="7" width="10.296875" style="136" bestFit="1" customWidth="1"/>
    <col min="8" max="8" width="4.19921875" style="136" bestFit="1" customWidth="1"/>
    <col min="9" max="9" width="5.09765625" style="137" bestFit="1" customWidth="1"/>
    <col min="10" max="10" width="7.09765625" style="137" bestFit="1" customWidth="1"/>
    <col min="11" max="11" width="7.296875" style="137" customWidth="1"/>
    <col min="12" max="12" width="14.69921875" style="137" customWidth="1"/>
    <col min="13" max="13" width="9.296875" style="137" bestFit="1" customWidth="1"/>
    <col min="14" max="14" width="9.296875" style="137" customWidth="1"/>
    <col min="15" max="15" width="14.5" style="138" bestFit="1" customWidth="1"/>
    <col min="16" max="16" width="8.3984375" style="139" bestFit="1" customWidth="1"/>
    <col min="17" max="17" width="8.59765625" style="140" customWidth="1"/>
    <col min="18" max="18" width="7.59765625" style="139" customWidth="1"/>
    <col min="19" max="19" width="6.19921875" style="141" customWidth="1"/>
    <col min="20" max="20" width="7.59765625" style="142" bestFit="1" customWidth="1"/>
    <col min="21" max="21" width="8.5" style="140" customWidth="1"/>
    <col min="22" max="22" width="6.5" style="143" hidden="1" customWidth="1"/>
    <col min="23" max="23" width="5.3984375" style="143" hidden="1" customWidth="1"/>
    <col min="24" max="24" width="6.69921875" style="144" customWidth="1"/>
    <col min="25" max="25" width="7.5" style="139" customWidth="1"/>
    <col min="26" max="26" width="9.69921875" style="145" hidden="1" customWidth="1"/>
    <col min="27" max="27" width="11.5" style="145" hidden="1" customWidth="1"/>
    <col min="28" max="28" width="37.69921875" style="146" customWidth="1"/>
    <col min="29" max="29" width="36.3984375" style="146" customWidth="1"/>
    <col min="30" max="16384" width="9" style="146"/>
  </cols>
  <sheetData>
    <row r="1" spans="1:33" s="85" customFormat="1" ht="18" customHeight="1">
      <c r="A1" s="246" t="s">
        <v>92</v>
      </c>
      <c r="B1" s="246"/>
      <c r="C1" s="246"/>
      <c r="D1" s="247"/>
      <c r="E1" s="73"/>
      <c r="F1" s="73"/>
      <c r="G1" s="74"/>
      <c r="H1" s="74"/>
      <c r="I1" s="75"/>
      <c r="L1" s="206" t="s">
        <v>121</v>
      </c>
      <c r="M1" s="206" t="s">
        <v>137</v>
      </c>
      <c r="N1" s="77"/>
      <c r="O1" s="78"/>
      <c r="P1" s="79"/>
      <c r="Q1" s="80"/>
      <c r="R1" s="79"/>
      <c r="S1" s="81"/>
      <c r="T1" s="82"/>
      <c r="U1" s="80"/>
      <c r="V1" s="73" t="s">
        <v>9</v>
      </c>
      <c r="W1" s="73" t="s">
        <v>10</v>
      </c>
      <c r="X1" s="83"/>
      <c r="Y1" s="179"/>
      <c r="Z1" s="75"/>
      <c r="AA1" s="75"/>
      <c r="AB1" s="84"/>
      <c r="AC1" s="84"/>
    </row>
    <row r="2" spans="1:33" s="85" customFormat="1" ht="17.25" customHeight="1">
      <c r="A2" s="86" t="s">
        <v>78</v>
      </c>
      <c r="B2" s="86"/>
      <c r="C2" s="87"/>
      <c r="D2" s="173">
        <f>ROUNDDOWN((D6*D5)/(D4*D3)*0.01,2)</f>
        <v>0.05</v>
      </c>
      <c r="E2" s="242"/>
      <c r="F2" s="253"/>
      <c r="G2" s="253"/>
      <c r="H2" s="253"/>
      <c r="I2" s="253"/>
      <c r="J2" s="253"/>
      <c r="K2" s="253"/>
      <c r="L2" s="253"/>
      <c r="M2" s="253"/>
      <c r="N2" s="253"/>
      <c r="O2" s="253"/>
      <c r="P2" s="253"/>
      <c r="Q2" s="253"/>
      <c r="R2" s="79"/>
      <c r="S2" s="81"/>
      <c r="T2" s="82"/>
      <c r="U2" s="80"/>
      <c r="V2" s="73"/>
      <c r="W2" s="73"/>
      <c r="X2" s="83"/>
      <c r="Y2" s="79"/>
      <c r="Z2" s="75"/>
      <c r="AA2" s="75"/>
      <c r="AB2" s="84"/>
      <c r="AC2" s="84"/>
    </row>
    <row r="3" spans="1:33" s="85" customFormat="1" ht="14.25" customHeight="1">
      <c r="A3" s="86" t="s">
        <v>168</v>
      </c>
      <c r="B3" s="86"/>
      <c r="C3" s="87"/>
      <c r="D3" s="228">
        <v>4.7800000000000004E-3</v>
      </c>
      <c r="E3" s="242" t="s">
        <v>82</v>
      </c>
      <c r="F3" s="243"/>
      <c r="G3" s="243"/>
      <c r="H3" s="243"/>
      <c r="I3" s="243"/>
      <c r="J3" s="243"/>
      <c r="K3" s="243"/>
      <c r="L3" s="243"/>
      <c r="M3" s="243"/>
      <c r="N3" s="243"/>
      <c r="O3" s="243"/>
      <c r="P3" s="243"/>
      <c r="Q3" s="243"/>
      <c r="R3" s="79"/>
      <c r="S3" s="81"/>
      <c r="T3" s="82"/>
      <c r="U3" s="80"/>
      <c r="V3" s="73"/>
      <c r="W3" s="73"/>
      <c r="X3" s="83"/>
      <c r="Y3" s="79"/>
      <c r="Z3" s="75"/>
      <c r="AA3" s="75"/>
      <c r="AB3" s="84"/>
      <c r="AC3" s="84"/>
    </row>
    <row r="4" spans="1:33" s="85" customFormat="1" ht="14.25" customHeight="1">
      <c r="A4" s="88" t="s">
        <v>113</v>
      </c>
      <c r="B4" s="88"/>
      <c r="C4" s="87"/>
      <c r="D4" s="172">
        <v>70</v>
      </c>
      <c r="E4" s="90" t="s">
        <v>74</v>
      </c>
      <c r="F4" s="89"/>
      <c r="G4" s="91"/>
      <c r="H4" s="91"/>
      <c r="I4" s="258">
        <f>'Account Log'!F3-'Account Log'!F4</f>
        <v>200</v>
      </c>
      <c r="J4" s="258"/>
      <c r="K4" s="258"/>
      <c r="L4" s="93" t="s">
        <v>22</v>
      </c>
      <c r="M4" s="94">
        <f>X996</f>
        <v>0</v>
      </c>
      <c r="N4" s="94"/>
      <c r="O4" s="90" t="s">
        <v>127</v>
      </c>
      <c r="P4" s="95">
        <f>IF(U4&gt;I4,I8/U4,I8/I4)</f>
        <v>0</v>
      </c>
      <c r="Q4" s="96" t="s">
        <v>27</v>
      </c>
      <c r="R4" s="97"/>
      <c r="S4" s="244"/>
      <c r="T4" s="244"/>
      <c r="U4" s="245"/>
      <c r="V4" s="245"/>
      <c r="W4" s="245"/>
      <c r="X4" s="245"/>
      <c r="Y4" s="79"/>
      <c r="Z4" s="75"/>
      <c r="AA4" s="75"/>
      <c r="AC4" s="84"/>
    </row>
    <row r="5" spans="1:33" s="85" customFormat="1" ht="14.25" customHeight="1">
      <c r="A5" s="86" t="s">
        <v>79</v>
      </c>
      <c r="B5" s="86"/>
      <c r="C5" s="98"/>
      <c r="D5" s="174">
        <v>0.01</v>
      </c>
      <c r="E5" s="90" t="s">
        <v>80</v>
      </c>
      <c r="F5" s="90"/>
      <c r="G5" s="99"/>
      <c r="H5" s="99"/>
      <c r="I5" s="258">
        <f>I4+T995</f>
        <v>200</v>
      </c>
      <c r="J5" s="258"/>
      <c r="K5" s="258"/>
      <c r="L5" s="92" t="s">
        <v>23</v>
      </c>
      <c r="M5" s="94">
        <f>X997</f>
        <v>0</v>
      </c>
      <c r="N5" s="94"/>
      <c r="O5" s="193" t="s">
        <v>114</v>
      </c>
      <c r="P5" s="100">
        <f>IF(V995=0,0,V995/(V995+W995))</f>
        <v>0</v>
      </c>
      <c r="Q5" s="96" t="s">
        <v>28</v>
      </c>
      <c r="R5" s="79"/>
      <c r="S5" s="81"/>
      <c r="T5" s="208"/>
      <c r="U5" s="80"/>
      <c r="V5" s="73"/>
      <c r="W5" s="73"/>
      <c r="X5" s="83"/>
      <c r="Y5" s="79"/>
      <c r="Z5" s="75"/>
      <c r="AA5" s="75"/>
      <c r="AB5" s="84"/>
      <c r="AC5" s="84"/>
    </row>
    <row r="6" spans="1:33" s="85" customFormat="1" ht="15" customHeight="1">
      <c r="A6" s="86" t="s">
        <v>81</v>
      </c>
      <c r="B6" s="86"/>
      <c r="C6" s="98"/>
      <c r="D6" s="88">
        <f>I5</f>
        <v>200</v>
      </c>
      <c r="E6" s="90" t="s">
        <v>19</v>
      </c>
      <c r="F6" s="90"/>
      <c r="G6" s="99"/>
      <c r="H6" s="99"/>
      <c r="I6" s="240">
        <f>T996</f>
        <v>0</v>
      </c>
      <c r="J6" s="240"/>
      <c r="K6" s="241"/>
      <c r="L6" s="92" t="s">
        <v>24</v>
      </c>
      <c r="M6" s="94">
        <f>X995</f>
        <v>0</v>
      </c>
      <c r="N6" s="94"/>
      <c r="O6" s="90" t="s">
        <v>45</v>
      </c>
      <c r="P6" s="101">
        <f>IF(V995=0,0,W995/(V995+W995))</f>
        <v>0</v>
      </c>
      <c r="Q6" s="96" t="s">
        <v>28</v>
      </c>
      <c r="R6" s="79"/>
      <c r="S6" s="81"/>
      <c r="T6" s="208"/>
      <c r="U6" s="80"/>
      <c r="V6" s="73"/>
      <c r="W6" s="73"/>
      <c r="X6" s="83"/>
      <c r="Y6" s="79"/>
      <c r="Z6" s="75"/>
      <c r="AA6" s="75"/>
      <c r="AB6" s="84"/>
      <c r="AC6" s="84"/>
    </row>
    <row r="7" spans="1:33" s="85" customFormat="1" ht="12.75" customHeight="1">
      <c r="A7" s="254" t="s">
        <v>117</v>
      </c>
      <c r="B7" s="255"/>
      <c r="C7" s="256"/>
      <c r="D7" s="257"/>
      <c r="E7" s="90" t="s">
        <v>20</v>
      </c>
      <c r="F7" s="89"/>
      <c r="G7" s="91"/>
      <c r="H7" s="91"/>
      <c r="I7" s="240">
        <f>T997</f>
        <v>0</v>
      </c>
      <c r="J7" s="240"/>
      <c r="K7" s="241"/>
      <c r="L7" s="102" t="s">
        <v>109</v>
      </c>
      <c r="M7" s="177" t="str">
        <f>IF(MAX(X12:X994)&gt;0,MAX(X12:X994),"")</f>
        <v/>
      </c>
      <c r="N7" s="177"/>
      <c r="O7" s="102" t="s">
        <v>115</v>
      </c>
      <c r="P7" s="76"/>
      <c r="Q7" s="177" t="str">
        <f>IF(COUNTIF(X12:X994,"&gt;0")&gt;0,SUMIF(X12:X994,"&gt;0")/COUNTIF(X12:X994,"&gt;0"),"")</f>
        <v/>
      </c>
      <c r="R7" s="79"/>
      <c r="S7" s="81"/>
      <c r="T7" s="208"/>
      <c r="U7" s="80"/>
      <c r="V7" s="73"/>
      <c r="W7" s="73"/>
      <c r="X7" s="83"/>
      <c r="Y7" s="79"/>
      <c r="Z7" s="75"/>
      <c r="AA7" s="75"/>
      <c r="AB7" s="84"/>
      <c r="AC7" s="84"/>
    </row>
    <row r="8" spans="1:33" s="85" customFormat="1" ht="14.25" customHeight="1">
      <c r="A8" s="248" t="s">
        <v>118</v>
      </c>
      <c r="B8" s="249"/>
      <c r="C8" s="250"/>
      <c r="D8" s="251"/>
      <c r="E8" s="90" t="s">
        <v>21</v>
      </c>
      <c r="F8" s="89"/>
      <c r="G8" s="91"/>
      <c r="H8" s="91"/>
      <c r="I8" s="240">
        <f>T995</f>
        <v>0</v>
      </c>
      <c r="J8" s="240"/>
      <c r="K8" s="252"/>
      <c r="L8" s="102" t="s">
        <v>110</v>
      </c>
      <c r="M8" s="176" t="str">
        <f>IF(MIN(X12:X994)&lt;0,MIN(X12:X994),"")</f>
        <v/>
      </c>
      <c r="N8" s="176"/>
      <c r="O8" s="102" t="s">
        <v>116</v>
      </c>
      <c r="P8" s="76"/>
      <c r="Q8" s="176" t="str">
        <f>IF(COUNTIF(X13:X995,"&lt;0")&gt;0,SUMIF(X13:X995,"&lt;0")/COUNTIF(X13:X995,"&lt;0"),"")</f>
        <v/>
      </c>
      <c r="R8" s="79"/>
      <c r="S8" s="81"/>
      <c r="T8" s="208"/>
      <c r="U8" s="80"/>
      <c r="V8" s="73"/>
      <c r="W8" s="73"/>
      <c r="X8" s="83"/>
      <c r="Y8" s="79"/>
      <c r="Z8" s="75"/>
      <c r="AA8" s="75"/>
      <c r="AB8" s="84"/>
      <c r="AC8" s="84"/>
    </row>
    <row r="9" spans="1:33" s="85" customFormat="1" ht="13.5" customHeight="1">
      <c r="A9" s="248" t="s">
        <v>119</v>
      </c>
      <c r="B9" s="249"/>
      <c r="C9" s="250"/>
      <c r="D9" s="251"/>
      <c r="E9" s="175" t="s">
        <v>135</v>
      </c>
      <c r="F9" s="73"/>
      <c r="G9" s="74"/>
      <c r="H9" s="74"/>
      <c r="L9" s="84"/>
      <c r="M9" s="77"/>
      <c r="N9" s="77"/>
      <c r="O9" s="78"/>
      <c r="P9" s="79"/>
      <c r="Q9" s="80"/>
      <c r="R9" s="79"/>
      <c r="S9" s="81"/>
      <c r="T9" s="82"/>
      <c r="U9" s="80"/>
      <c r="V9" s="73"/>
      <c r="W9" s="73"/>
      <c r="X9" s="83"/>
      <c r="Y9" s="79"/>
      <c r="Z9" s="75"/>
      <c r="AA9" s="75"/>
      <c r="AC9" s="84"/>
    </row>
    <row r="10" spans="1:33" s="117" customFormat="1" ht="18" customHeight="1">
      <c r="A10" s="178" t="s">
        <v>123</v>
      </c>
      <c r="B10" s="178"/>
      <c r="C10" s="107"/>
      <c r="D10" s="107"/>
      <c r="E10" s="103"/>
      <c r="F10" s="103"/>
      <c r="G10" s="104"/>
      <c r="H10" s="104"/>
      <c r="I10" s="104"/>
      <c r="J10" s="105"/>
      <c r="K10" s="105" t="s">
        <v>0</v>
      </c>
      <c r="L10" s="105"/>
      <c r="M10" s="106"/>
      <c r="N10" s="106"/>
      <c r="O10" s="105"/>
      <c r="P10" s="108"/>
      <c r="Q10" s="109"/>
      <c r="R10" s="110"/>
      <c r="S10" s="111" t="s">
        <v>2</v>
      </c>
      <c r="T10" s="112"/>
      <c r="U10" s="109"/>
      <c r="V10" s="113"/>
      <c r="W10" s="113"/>
      <c r="X10" s="114"/>
      <c r="Y10" s="108"/>
      <c r="Z10" s="115" t="s">
        <v>15</v>
      </c>
      <c r="AA10" s="116"/>
      <c r="AB10" s="239" t="s">
        <v>125</v>
      </c>
      <c r="AC10" s="239"/>
      <c r="AD10" s="191"/>
      <c r="AE10" s="191"/>
      <c r="AF10" s="191"/>
      <c r="AG10" s="191"/>
    </row>
    <row r="11" spans="1:33" s="132" customFormat="1" ht="37.5" customHeight="1">
      <c r="A11" s="199" t="s">
        <v>128</v>
      </c>
      <c r="B11" s="199" t="s">
        <v>146</v>
      </c>
      <c r="C11" s="119" t="s">
        <v>147</v>
      </c>
      <c r="D11" s="118" t="s">
        <v>148</v>
      </c>
      <c r="E11" s="121" t="s">
        <v>129</v>
      </c>
      <c r="F11" s="120" t="s">
        <v>130</v>
      </c>
      <c r="G11" s="170" t="s">
        <v>159</v>
      </c>
      <c r="H11" s="120" t="s">
        <v>131</v>
      </c>
      <c r="I11" s="122" t="s">
        <v>90</v>
      </c>
      <c r="J11" s="121" t="s">
        <v>102</v>
      </c>
      <c r="K11" s="122" t="s">
        <v>149</v>
      </c>
      <c r="L11" s="122" t="s">
        <v>151</v>
      </c>
      <c r="M11" s="122" t="s">
        <v>1</v>
      </c>
      <c r="N11" s="122" t="s">
        <v>160</v>
      </c>
      <c r="O11" s="123" t="s">
        <v>150</v>
      </c>
      <c r="P11" s="124" t="s">
        <v>3</v>
      </c>
      <c r="Q11" s="125" t="s">
        <v>126</v>
      </c>
      <c r="R11" s="124" t="s">
        <v>13</v>
      </c>
      <c r="S11" s="126" t="s">
        <v>4</v>
      </c>
      <c r="T11" s="127" t="s">
        <v>5</v>
      </c>
      <c r="U11" s="125" t="s">
        <v>14</v>
      </c>
      <c r="V11" s="128" t="s">
        <v>7</v>
      </c>
      <c r="W11" s="128" t="s">
        <v>8</v>
      </c>
      <c r="X11" s="129" t="s">
        <v>11</v>
      </c>
      <c r="Y11" s="130" t="s">
        <v>6</v>
      </c>
      <c r="Z11" s="131" t="s">
        <v>29</v>
      </c>
      <c r="AA11" s="131" t="s">
        <v>30</v>
      </c>
      <c r="AB11" s="190" t="s">
        <v>124</v>
      </c>
      <c r="AC11" s="190" t="s">
        <v>120</v>
      </c>
    </row>
    <row r="12" spans="1:33" ht="11.4">
      <c r="A12" s="211" t="str">
        <f>IF(D12="","",1)</f>
        <v/>
      </c>
      <c r="B12" s="211"/>
      <c r="C12" s="215"/>
      <c r="D12" s="213" t="str">
        <f>IF(G12="","","SUGAR")</f>
        <v/>
      </c>
      <c r="E12" s="213" t="str">
        <f>IF(G12="","","D1")</f>
        <v/>
      </c>
      <c r="F12" s="214" t="str">
        <f>IF(G12="","",0.01)</f>
        <v/>
      </c>
      <c r="G12" s="180"/>
      <c r="H12" s="181" t="str">
        <f>IF(G12="","",IF(OR(G12="第二类买点",G12="第三类买点"),"Buy","Sell"))</f>
        <v/>
      </c>
      <c r="I12" s="227"/>
      <c r="J12" s="227"/>
      <c r="K12" s="227"/>
      <c r="L12" s="227"/>
      <c r="M12" s="210"/>
      <c r="N12" s="210"/>
      <c r="O12" s="207"/>
      <c r="P12" s="182" t="str">
        <f t="shared" ref="P12:P75" si="0">IF(M12="","",IF(L12*F12*$D$3=0,0,L12*F12*$D$3))</f>
        <v/>
      </c>
      <c r="Q12" s="183" t="str">
        <f>IF(P12="","",IF(P12=0,0,P12/$I$4))</f>
        <v/>
      </c>
      <c r="R12" s="182" t="str">
        <f>IF(M12&lt;&gt;"",IF(#REF!*F12*10=0,"",#REF!*F12*10),"")</f>
        <v/>
      </c>
      <c r="S12" s="184" t="str">
        <f>IF(P12="","",IF(P12=0,0,R12/P12))</f>
        <v/>
      </c>
      <c r="T12" s="185" t="str">
        <f t="shared" ref="T12:T75" si="1">IF(X12="","",X12*F12*$D$3)</f>
        <v/>
      </c>
      <c r="U12" s="183" t="str">
        <f>IF(T12="","",IF($I$4="","",T12/$I$4))</f>
        <v/>
      </c>
      <c r="V12" s="186" t="str">
        <f t="shared" ref="V12:V75" si="2">IF(M12="","",IF(AND(M12&gt;I12,H12="L"),1, IF(AND(I12&gt;M12,H12="S"),1,0)))</f>
        <v/>
      </c>
      <c r="W12" s="186" t="str">
        <f t="shared" ref="W12:W75" si="3">IF(M12="","",IF(AND(M12&lt;I12,H12="L"),1, IF(AND(I12&lt;M12,H12="S"),1,0)))</f>
        <v/>
      </c>
      <c r="X12" s="187" t="str">
        <f t="shared" ref="X12:X75" si="4">IF((M12=""),"",IF(H12="Buy",1,-1)*(M12-I12)*IF(LEN(RIGHT(I12,LEN(I12)-FIND(".",I12)))&gt;3,10000,100))</f>
        <v/>
      </c>
      <c r="Y12" s="182" t="str">
        <f>IF($I$4="","",IF(T12="","",$I$4+T12))</f>
        <v/>
      </c>
      <c r="Z12" s="209" t="str">
        <f t="shared" ref="Z12:Z75" si="5">IF(C12="","",MONTH(LEFT(C12,8)))</f>
        <v/>
      </c>
      <c r="AA12" s="209" t="str">
        <f t="shared" ref="AA12:AA75" si="6">IF(C12="","",YEAR(LEFT(C12,8)))</f>
        <v/>
      </c>
      <c r="AB12" s="200"/>
      <c r="AC12" s="192"/>
    </row>
    <row r="13" spans="1:33" ht="11.4">
      <c r="A13" s="211" t="str">
        <f t="shared" ref="A13:A76" si="7">IF(D13="","",1)</f>
        <v/>
      </c>
      <c r="B13" s="211"/>
      <c r="C13" s="215"/>
      <c r="D13" s="213" t="str">
        <f t="shared" ref="D13:D76" si="8">IF(G13="","","SUGAR")</f>
        <v/>
      </c>
      <c r="E13" s="213" t="str">
        <f t="shared" ref="E13:E14" si="9">IF(G13="","","D1")</f>
        <v/>
      </c>
      <c r="F13" s="214" t="str">
        <f t="shared" ref="F13:F76" si="10">IF(G13="","",0.01)</f>
        <v/>
      </c>
      <c r="G13" s="180"/>
      <c r="H13" s="181" t="str">
        <f t="shared" ref="H13:H76" si="11">IF(G13="","",IF(OR(G13="第二类买点",G13="第三类买点"),"Buy","Sell"))</f>
        <v/>
      </c>
      <c r="I13" s="227"/>
      <c r="J13" s="227"/>
      <c r="K13" s="227"/>
      <c r="L13" s="227"/>
      <c r="M13" s="210" t="str">
        <f>IF(J13="","",J13)</f>
        <v/>
      </c>
      <c r="N13" s="210"/>
      <c r="O13" s="207"/>
      <c r="P13" s="182" t="str">
        <f t="shared" si="0"/>
        <v/>
      </c>
      <c r="Q13" s="183" t="str">
        <f t="shared" ref="Q13:Q76" si="12">IF(P13="","",IF(P13=0,0,P13/$I$4))</f>
        <v/>
      </c>
      <c r="R13" s="182" t="str">
        <f>IF(M13&lt;&gt;"",IF(#REF!*F13*10=0,"",#REF!*F13*10),"")</f>
        <v/>
      </c>
      <c r="S13" s="184" t="str">
        <f t="shared" ref="S13:S76" si="13">IF(P13="","",IF(P13=0,0,R13/P13))</f>
        <v/>
      </c>
      <c r="T13" s="185" t="str">
        <f t="shared" si="1"/>
        <v/>
      </c>
      <c r="U13" s="183" t="str">
        <f t="shared" ref="U13:U76" si="14">IF(T13="","",IF($I$4="","",T13/$I$4))</f>
        <v/>
      </c>
      <c r="V13" s="186" t="str">
        <f t="shared" si="2"/>
        <v/>
      </c>
      <c r="W13" s="186" t="str">
        <f t="shared" si="3"/>
        <v/>
      </c>
      <c r="X13" s="187" t="str">
        <f t="shared" si="4"/>
        <v/>
      </c>
      <c r="Y13" s="182" t="str">
        <f>IF(Y12="","",IF(T13="","",Y12+T13))</f>
        <v/>
      </c>
      <c r="Z13" s="209" t="str">
        <f t="shared" si="5"/>
        <v/>
      </c>
      <c r="AA13" s="209" t="str">
        <f t="shared" si="6"/>
        <v/>
      </c>
      <c r="AB13" s="200"/>
      <c r="AC13" s="192"/>
    </row>
    <row r="14" spans="1:33" ht="11.4">
      <c r="A14" s="211" t="str">
        <f t="shared" si="7"/>
        <v/>
      </c>
      <c r="B14" s="211"/>
      <c r="C14" s="215"/>
      <c r="D14" s="213" t="str">
        <f t="shared" si="8"/>
        <v/>
      </c>
      <c r="E14" s="213" t="str">
        <f t="shared" si="9"/>
        <v/>
      </c>
      <c r="F14" s="214" t="str">
        <f t="shared" si="10"/>
        <v/>
      </c>
      <c r="G14" s="180"/>
      <c r="H14" s="181" t="str">
        <f t="shared" si="11"/>
        <v/>
      </c>
      <c r="I14" s="227"/>
      <c r="J14" s="227"/>
      <c r="K14" s="227"/>
      <c r="L14" s="227"/>
      <c r="M14" s="210"/>
      <c r="N14" s="210"/>
      <c r="O14" s="207"/>
      <c r="P14" s="182" t="str">
        <f t="shared" si="0"/>
        <v/>
      </c>
      <c r="Q14" s="183" t="str">
        <f t="shared" si="12"/>
        <v/>
      </c>
      <c r="R14" s="182" t="str">
        <f>IF(M14&lt;&gt;"",IF(#REF!*F14*10=0,"",#REF!*F14*10),"")</f>
        <v/>
      </c>
      <c r="S14" s="184" t="str">
        <f t="shared" si="13"/>
        <v/>
      </c>
      <c r="T14" s="185" t="str">
        <f t="shared" si="1"/>
        <v/>
      </c>
      <c r="U14" s="183" t="str">
        <f t="shared" si="14"/>
        <v/>
      </c>
      <c r="V14" s="186" t="str">
        <f t="shared" si="2"/>
        <v/>
      </c>
      <c r="W14" s="186" t="str">
        <f t="shared" si="3"/>
        <v/>
      </c>
      <c r="X14" s="187" t="str">
        <f t="shared" si="4"/>
        <v/>
      </c>
      <c r="Y14" s="182" t="str">
        <f t="shared" ref="Y14:Y77" si="15">IF(Y13="","",IF(T14="","",Y13+T14))</f>
        <v/>
      </c>
      <c r="Z14" s="209" t="str">
        <f t="shared" si="5"/>
        <v/>
      </c>
      <c r="AA14" s="209" t="str">
        <f t="shared" si="6"/>
        <v/>
      </c>
      <c r="AB14" s="200"/>
      <c r="AC14" s="192"/>
    </row>
    <row r="15" spans="1:33" ht="11.4">
      <c r="A15" s="211" t="str">
        <f t="shared" si="7"/>
        <v/>
      </c>
      <c r="B15" s="211"/>
      <c r="C15" s="215"/>
      <c r="D15" s="213" t="str">
        <f t="shared" si="8"/>
        <v/>
      </c>
      <c r="E15" s="213" t="str">
        <f>IF(G15="","","M30")</f>
        <v/>
      </c>
      <c r="F15" s="214" t="str">
        <f t="shared" si="10"/>
        <v/>
      </c>
      <c r="G15" s="180"/>
      <c r="H15" s="181" t="str">
        <f t="shared" si="11"/>
        <v/>
      </c>
      <c r="I15" s="227"/>
      <c r="J15" s="227"/>
      <c r="K15" s="227"/>
      <c r="L15" s="227"/>
      <c r="M15" s="210" t="str">
        <f t="shared" ref="M15:M78" si="16">IF(J15="","",J15)</f>
        <v/>
      </c>
      <c r="N15" s="210"/>
      <c r="O15" s="207"/>
      <c r="P15" s="182" t="str">
        <f t="shared" si="0"/>
        <v/>
      </c>
      <c r="Q15" s="183" t="str">
        <f t="shared" si="12"/>
        <v/>
      </c>
      <c r="R15" s="182" t="str">
        <f>IF(M15&lt;&gt;"",IF(#REF!*F15*10=0,"",#REF!*F15*10),"")</f>
        <v/>
      </c>
      <c r="S15" s="184" t="str">
        <f t="shared" si="13"/>
        <v/>
      </c>
      <c r="T15" s="185" t="str">
        <f t="shared" si="1"/>
        <v/>
      </c>
      <c r="U15" s="183" t="str">
        <f t="shared" si="14"/>
        <v/>
      </c>
      <c r="V15" s="186" t="str">
        <f t="shared" si="2"/>
        <v/>
      </c>
      <c r="W15" s="186" t="str">
        <f t="shared" si="3"/>
        <v/>
      </c>
      <c r="X15" s="187" t="str">
        <f t="shared" si="4"/>
        <v/>
      </c>
      <c r="Y15" s="182" t="str">
        <f t="shared" si="15"/>
        <v/>
      </c>
      <c r="Z15" s="209" t="str">
        <f t="shared" si="5"/>
        <v/>
      </c>
      <c r="AA15" s="209" t="str">
        <f t="shared" si="6"/>
        <v/>
      </c>
      <c r="AB15" s="200"/>
      <c r="AC15" s="192"/>
    </row>
    <row r="16" spans="1:33" ht="11.4">
      <c r="A16" s="211" t="str">
        <f t="shared" si="7"/>
        <v/>
      </c>
      <c r="B16" s="211"/>
      <c r="C16" s="215"/>
      <c r="D16" s="213" t="str">
        <f t="shared" si="8"/>
        <v/>
      </c>
      <c r="E16" s="213" t="str">
        <f t="shared" ref="E16:E79" si="17">IF(G16="","","M30")</f>
        <v/>
      </c>
      <c r="F16" s="214" t="str">
        <f t="shared" si="10"/>
        <v/>
      </c>
      <c r="G16" s="180"/>
      <c r="H16" s="181" t="str">
        <f t="shared" si="11"/>
        <v/>
      </c>
      <c r="I16" s="227"/>
      <c r="J16" s="227"/>
      <c r="K16" s="227"/>
      <c r="L16" s="227"/>
      <c r="M16" s="210" t="str">
        <f t="shared" si="16"/>
        <v/>
      </c>
      <c r="N16" s="210"/>
      <c r="O16" s="207"/>
      <c r="P16" s="182" t="str">
        <f t="shared" si="0"/>
        <v/>
      </c>
      <c r="Q16" s="183" t="str">
        <f t="shared" si="12"/>
        <v/>
      </c>
      <c r="R16" s="182" t="str">
        <f>IF(M16&lt;&gt;"",IF(#REF!*F16*10=0,"",#REF!*F16*10),"")</f>
        <v/>
      </c>
      <c r="S16" s="184" t="str">
        <f t="shared" si="13"/>
        <v/>
      </c>
      <c r="T16" s="185" t="str">
        <f t="shared" si="1"/>
        <v/>
      </c>
      <c r="U16" s="183" t="str">
        <f t="shared" si="14"/>
        <v/>
      </c>
      <c r="V16" s="186" t="str">
        <f t="shared" si="2"/>
        <v/>
      </c>
      <c r="W16" s="186" t="str">
        <f t="shared" si="3"/>
        <v/>
      </c>
      <c r="X16" s="187" t="str">
        <f t="shared" si="4"/>
        <v/>
      </c>
      <c r="Y16" s="182" t="str">
        <f t="shared" si="15"/>
        <v/>
      </c>
      <c r="Z16" s="209" t="str">
        <f t="shared" si="5"/>
        <v/>
      </c>
      <c r="AA16" s="209" t="str">
        <f t="shared" si="6"/>
        <v/>
      </c>
      <c r="AB16" s="200"/>
      <c r="AC16" s="192"/>
    </row>
    <row r="17" spans="1:29" ht="11.4">
      <c r="A17" s="211" t="str">
        <f t="shared" si="7"/>
        <v/>
      </c>
      <c r="B17" s="211"/>
      <c r="C17" s="215"/>
      <c r="D17" s="213" t="str">
        <f t="shared" si="8"/>
        <v/>
      </c>
      <c r="E17" s="213" t="str">
        <f t="shared" si="17"/>
        <v/>
      </c>
      <c r="F17" s="214" t="str">
        <f t="shared" si="10"/>
        <v/>
      </c>
      <c r="G17" s="180"/>
      <c r="H17" s="181" t="str">
        <f t="shared" si="11"/>
        <v/>
      </c>
      <c r="I17" s="227"/>
      <c r="J17" s="227"/>
      <c r="K17" s="227"/>
      <c r="L17" s="227"/>
      <c r="M17" s="210" t="str">
        <f t="shared" si="16"/>
        <v/>
      </c>
      <c r="N17" s="210"/>
      <c r="O17" s="207"/>
      <c r="P17" s="182" t="str">
        <f t="shared" si="0"/>
        <v/>
      </c>
      <c r="Q17" s="183" t="str">
        <f t="shared" si="12"/>
        <v/>
      </c>
      <c r="R17" s="182" t="str">
        <f>IF(M17&lt;&gt;"",IF(#REF!*F17*10=0,"",#REF!*F17*10),"")</f>
        <v/>
      </c>
      <c r="S17" s="184" t="str">
        <f t="shared" si="13"/>
        <v/>
      </c>
      <c r="T17" s="185" t="str">
        <f t="shared" si="1"/>
        <v/>
      </c>
      <c r="U17" s="183" t="str">
        <f t="shared" si="14"/>
        <v/>
      </c>
      <c r="V17" s="186" t="str">
        <f t="shared" si="2"/>
        <v/>
      </c>
      <c r="W17" s="186" t="str">
        <f t="shared" si="3"/>
        <v/>
      </c>
      <c r="X17" s="187" t="str">
        <f t="shared" si="4"/>
        <v/>
      </c>
      <c r="Y17" s="182" t="str">
        <f t="shared" si="15"/>
        <v/>
      </c>
      <c r="Z17" s="209" t="str">
        <f t="shared" si="5"/>
        <v/>
      </c>
      <c r="AA17" s="209" t="str">
        <f t="shared" si="6"/>
        <v/>
      </c>
      <c r="AB17" s="200"/>
      <c r="AC17" s="192"/>
    </row>
    <row r="18" spans="1:29" ht="11.4">
      <c r="A18" s="211" t="str">
        <f t="shared" si="7"/>
        <v/>
      </c>
      <c r="B18" s="211"/>
      <c r="C18" s="215"/>
      <c r="D18" s="213" t="str">
        <f t="shared" si="8"/>
        <v/>
      </c>
      <c r="E18" s="213" t="str">
        <f t="shared" si="17"/>
        <v/>
      </c>
      <c r="F18" s="214" t="str">
        <f t="shared" si="10"/>
        <v/>
      </c>
      <c r="G18" s="180"/>
      <c r="H18" s="181" t="str">
        <f t="shared" si="11"/>
        <v/>
      </c>
      <c r="I18" s="227"/>
      <c r="J18" s="227"/>
      <c r="K18" s="227"/>
      <c r="L18" s="227"/>
      <c r="M18" s="210" t="str">
        <f t="shared" si="16"/>
        <v/>
      </c>
      <c r="N18" s="210"/>
      <c r="O18" s="207"/>
      <c r="P18" s="182" t="str">
        <f t="shared" si="0"/>
        <v/>
      </c>
      <c r="Q18" s="183" t="str">
        <f t="shared" si="12"/>
        <v/>
      </c>
      <c r="R18" s="182" t="str">
        <f>IF(M18&lt;&gt;"",IF(#REF!*F18*10=0,"",#REF!*F18*10),"")</f>
        <v/>
      </c>
      <c r="S18" s="184" t="str">
        <f t="shared" si="13"/>
        <v/>
      </c>
      <c r="T18" s="185" t="str">
        <f t="shared" si="1"/>
        <v/>
      </c>
      <c r="U18" s="183" t="str">
        <f t="shared" si="14"/>
        <v/>
      </c>
      <c r="V18" s="186" t="str">
        <f t="shared" si="2"/>
        <v/>
      </c>
      <c r="W18" s="186" t="str">
        <f t="shared" si="3"/>
        <v/>
      </c>
      <c r="X18" s="187" t="str">
        <f t="shared" si="4"/>
        <v/>
      </c>
      <c r="Y18" s="182" t="str">
        <f t="shared" si="15"/>
        <v/>
      </c>
      <c r="Z18" s="209" t="str">
        <f t="shared" si="5"/>
        <v/>
      </c>
      <c r="AA18" s="209" t="str">
        <f t="shared" si="6"/>
        <v/>
      </c>
      <c r="AB18" s="200"/>
      <c r="AC18" s="192"/>
    </row>
    <row r="19" spans="1:29" ht="11.4">
      <c r="A19" s="211" t="str">
        <f t="shared" si="7"/>
        <v/>
      </c>
      <c r="B19" s="211"/>
      <c r="C19" s="215"/>
      <c r="D19" s="213" t="str">
        <f t="shared" si="8"/>
        <v/>
      </c>
      <c r="E19" s="213" t="str">
        <f t="shared" si="17"/>
        <v/>
      </c>
      <c r="F19" s="214" t="str">
        <f t="shared" si="10"/>
        <v/>
      </c>
      <c r="G19" s="180"/>
      <c r="H19" s="181" t="str">
        <f t="shared" si="11"/>
        <v/>
      </c>
      <c r="I19" s="227"/>
      <c r="J19" s="227"/>
      <c r="K19" s="227"/>
      <c r="L19" s="227"/>
      <c r="M19" s="210" t="str">
        <f t="shared" si="16"/>
        <v/>
      </c>
      <c r="N19" s="210"/>
      <c r="O19" s="207"/>
      <c r="P19" s="182" t="str">
        <f t="shared" si="0"/>
        <v/>
      </c>
      <c r="Q19" s="183" t="str">
        <f t="shared" si="12"/>
        <v/>
      </c>
      <c r="R19" s="182" t="str">
        <f>IF(M19&lt;&gt;"",IF(#REF!*F19*10=0,"",#REF!*F19*10),"")</f>
        <v/>
      </c>
      <c r="S19" s="184" t="str">
        <f t="shared" si="13"/>
        <v/>
      </c>
      <c r="T19" s="185" t="str">
        <f t="shared" si="1"/>
        <v/>
      </c>
      <c r="U19" s="183" t="str">
        <f t="shared" si="14"/>
        <v/>
      </c>
      <c r="V19" s="186" t="str">
        <f t="shared" si="2"/>
        <v/>
      </c>
      <c r="W19" s="186" t="str">
        <f t="shared" si="3"/>
        <v/>
      </c>
      <c r="X19" s="187" t="str">
        <f t="shared" si="4"/>
        <v/>
      </c>
      <c r="Y19" s="182" t="str">
        <f t="shared" si="15"/>
        <v/>
      </c>
      <c r="Z19" s="209" t="str">
        <f t="shared" si="5"/>
        <v/>
      </c>
      <c r="AA19" s="209" t="str">
        <f t="shared" si="6"/>
        <v/>
      </c>
      <c r="AB19" s="200"/>
      <c r="AC19" s="192"/>
    </row>
    <row r="20" spans="1:29" ht="11.4">
      <c r="A20" s="211" t="str">
        <f t="shared" si="7"/>
        <v/>
      </c>
      <c r="B20" s="211"/>
      <c r="C20" s="215"/>
      <c r="D20" s="213" t="str">
        <f t="shared" si="8"/>
        <v/>
      </c>
      <c r="E20" s="213" t="str">
        <f t="shared" si="17"/>
        <v/>
      </c>
      <c r="F20" s="214" t="str">
        <f t="shared" si="10"/>
        <v/>
      </c>
      <c r="G20" s="180"/>
      <c r="H20" s="181" t="str">
        <f t="shared" si="11"/>
        <v/>
      </c>
      <c r="I20" s="227"/>
      <c r="J20" s="227"/>
      <c r="K20" s="227"/>
      <c r="L20" s="227"/>
      <c r="M20" s="210" t="str">
        <f t="shared" si="16"/>
        <v/>
      </c>
      <c r="N20" s="210"/>
      <c r="O20" s="207"/>
      <c r="P20" s="182" t="str">
        <f t="shared" si="0"/>
        <v/>
      </c>
      <c r="Q20" s="183" t="str">
        <f t="shared" si="12"/>
        <v/>
      </c>
      <c r="R20" s="182" t="str">
        <f>IF(M20&lt;&gt;"",IF(#REF!*F20*10=0,"",#REF!*F20*10),"")</f>
        <v/>
      </c>
      <c r="S20" s="184" t="str">
        <f t="shared" si="13"/>
        <v/>
      </c>
      <c r="T20" s="185" t="str">
        <f t="shared" si="1"/>
        <v/>
      </c>
      <c r="U20" s="183" t="str">
        <f t="shared" si="14"/>
        <v/>
      </c>
      <c r="V20" s="186" t="str">
        <f t="shared" si="2"/>
        <v/>
      </c>
      <c r="W20" s="186" t="str">
        <f t="shared" si="3"/>
        <v/>
      </c>
      <c r="X20" s="187" t="str">
        <f t="shared" si="4"/>
        <v/>
      </c>
      <c r="Y20" s="182" t="str">
        <f t="shared" si="15"/>
        <v/>
      </c>
      <c r="Z20" s="209" t="str">
        <f t="shared" si="5"/>
        <v/>
      </c>
      <c r="AA20" s="209" t="str">
        <f t="shared" si="6"/>
        <v/>
      </c>
      <c r="AB20" s="200"/>
      <c r="AC20" s="192"/>
    </row>
    <row r="21" spans="1:29" ht="11.4">
      <c r="A21" s="211" t="str">
        <f t="shared" si="7"/>
        <v/>
      </c>
      <c r="B21" s="211"/>
      <c r="C21" s="215"/>
      <c r="D21" s="213" t="str">
        <f t="shared" si="8"/>
        <v/>
      </c>
      <c r="E21" s="213" t="str">
        <f t="shared" si="17"/>
        <v/>
      </c>
      <c r="F21" s="214" t="str">
        <f t="shared" si="10"/>
        <v/>
      </c>
      <c r="G21" s="180"/>
      <c r="H21" s="181" t="str">
        <f t="shared" si="11"/>
        <v/>
      </c>
      <c r="I21" s="227"/>
      <c r="J21" s="227"/>
      <c r="K21" s="227"/>
      <c r="L21" s="227"/>
      <c r="M21" s="210" t="str">
        <f t="shared" si="16"/>
        <v/>
      </c>
      <c r="N21" s="210"/>
      <c r="O21" s="207"/>
      <c r="P21" s="182" t="str">
        <f t="shared" si="0"/>
        <v/>
      </c>
      <c r="Q21" s="183" t="str">
        <f t="shared" si="12"/>
        <v/>
      </c>
      <c r="R21" s="182" t="str">
        <f>IF(M21&lt;&gt;"",IF(#REF!*F21*10=0,"",#REF!*F21*10),"")</f>
        <v/>
      </c>
      <c r="S21" s="184" t="str">
        <f t="shared" si="13"/>
        <v/>
      </c>
      <c r="T21" s="185" t="str">
        <f t="shared" si="1"/>
        <v/>
      </c>
      <c r="U21" s="183" t="str">
        <f t="shared" si="14"/>
        <v/>
      </c>
      <c r="V21" s="186" t="str">
        <f t="shared" si="2"/>
        <v/>
      </c>
      <c r="W21" s="186" t="str">
        <f t="shared" si="3"/>
        <v/>
      </c>
      <c r="X21" s="187" t="str">
        <f t="shared" si="4"/>
        <v/>
      </c>
      <c r="Y21" s="182" t="str">
        <f t="shared" si="15"/>
        <v/>
      </c>
      <c r="Z21" s="209" t="str">
        <f t="shared" si="5"/>
        <v/>
      </c>
      <c r="AA21" s="209" t="str">
        <f t="shared" si="6"/>
        <v/>
      </c>
      <c r="AB21" s="200"/>
      <c r="AC21" s="192"/>
    </row>
    <row r="22" spans="1:29" ht="11.4">
      <c r="A22" s="211" t="str">
        <f t="shared" si="7"/>
        <v/>
      </c>
      <c r="B22" s="211"/>
      <c r="C22" s="215"/>
      <c r="D22" s="213" t="str">
        <f t="shared" si="8"/>
        <v/>
      </c>
      <c r="E22" s="213" t="str">
        <f t="shared" si="17"/>
        <v/>
      </c>
      <c r="F22" s="214" t="str">
        <f t="shared" si="10"/>
        <v/>
      </c>
      <c r="G22" s="180"/>
      <c r="H22" s="181" t="str">
        <f t="shared" si="11"/>
        <v/>
      </c>
      <c r="I22" s="227"/>
      <c r="J22" s="227"/>
      <c r="K22" s="227"/>
      <c r="L22" s="227"/>
      <c r="M22" s="210" t="str">
        <f t="shared" si="16"/>
        <v/>
      </c>
      <c r="N22" s="210"/>
      <c r="O22" s="207"/>
      <c r="P22" s="182" t="str">
        <f t="shared" si="0"/>
        <v/>
      </c>
      <c r="Q22" s="183" t="str">
        <f t="shared" si="12"/>
        <v/>
      </c>
      <c r="R22" s="182" t="str">
        <f>IF(M22&lt;&gt;"",IF(#REF!*F22*10=0,"",#REF!*F22*10),"")</f>
        <v/>
      </c>
      <c r="S22" s="184" t="str">
        <f t="shared" si="13"/>
        <v/>
      </c>
      <c r="T22" s="185" t="str">
        <f t="shared" si="1"/>
        <v/>
      </c>
      <c r="U22" s="183" t="str">
        <f t="shared" si="14"/>
        <v/>
      </c>
      <c r="V22" s="186" t="str">
        <f t="shared" si="2"/>
        <v/>
      </c>
      <c r="W22" s="186" t="str">
        <f t="shared" si="3"/>
        <v/>
      </c>
      <c r="X22" s="187" t="str">
        <f t="shared" si="4"/>
        <v/>
      </c>
      <c r="Y22" s="182" t="str">
        <f t="shared" si="15"/>
        <v/>
      </c>
      <c r="Z22" s="209" t="str">
        <f t="shared" si="5"/>
        <v/>
      </c>
      <c r="AA22" s="209" t="str">
        <f t="shared" si="6"/>
        <v/>
      </c>
      <c r="AB22" s="200"/>
      <c r="AC22" s="192"/>
    </row>
    <row r="23" spans="1:29" ht="11.4">
      <c r="A23" s="211" t="str">
        <f t="shared" si="7"/>
        <v/>
      </c>
      <c r="B23" s="211"/>
      <c r="C23" s="215"/>
      <c r="D23" s="213" t="str">
        <f t="shared" si="8"/>
        <v/>
      </c>
      <c r="E23" s="213" t="str">
        <f t="shared" si="17"/>
        <v/>
      </c>
      <c r="F23" s="214" t="str">
        <f t="shared" si="10"/>
        <v/>
      </c>
      <c r="G23" s="180"/>
      <c r="H23" s="181" t="str">
        <f t="shared" si="11"/>
        <v/>
      </c>
      <c r="I23" s="227"/>
      <c r="J23" s="227"/>
      <c r="K23" s="227"/>
      <c r="L23" s="227"/>
      <c r="M23" s="210" t="str">
        <f t="shared" si="16"/>
        <v/>
      </c>
      <c r="N23" s="210"/>
      <c r="O23" s="207"/>
      <c r="P23" s="182" t="str">
        <f t="shared" si="0"/>
        <v/>
      </c>
      <c r="Q23" s="183" t="str">
        <f t="shared" si="12"/>
        <v/>
      </c>
      <c r="R23" s="182" t="str">
        <f>IF(M23&lt;&gt;"",IF(#REF!*F23*10=0,"",#REF!*F23*10),"")</f>
        <v/>
      </c>
      <c r="S23" s="184" t="str">
        <f t="shared" si="13"/>
        <v/>
      </c>
      <c r="T23" s="185" t="str">
        <f t="shared" si="1"/>
        <v/>
      </c>
      <c r="U23" s="183" t="str">
        <f t="shared" si="14"/>
        <v/>
      </c>
      <c r="V23" s="186" t="str">
        <f t="shared" si="2"/>
        <v/>
      </c>
      <c r="W23" s="186" t="str">
        <f t="shared" si="3"/>
        <v/>
      </c>
      <c r="X23" s="187" t="str">
        <f t="shared" si="4"/>
        <v/>
      </c>
      <c r="Y23" s="182" t="str">
        <f t="shared" si="15"/>
        <v/>
      </c>
      <c r="Z23" s="209" t="str">
        <f t="shared" si="5"/>
        <v/>
      </c>
      <c r="AA23" s="209" t="str">
        <f t="shared" si="6"/>
        <v/>
      </c>
      <c r="AB23" s="200"/>
      <c r="AC23" s="192"/>
    </row>
    <row r="24" spans="1:29" ht="11.4">
      <c r="A24" s="211" t="str">
        <f t="shared" si="7"/>
        <v/>
      </c>
      <c r="B24" s="211"/>
      <c r="C24" s="215"/>
      <c r="D24" s="213" t="str">
        <f t="shared" si="8"/>
        <v/>
      </c>
      <c r="E24" s="213" t="str">
        <f t="shared" si="17"/>
        <v/>
      </c>
      <c r="F24" s="214" t="str">
        <f t="shared" si="10"/>
        <v/>
      </c>
      <c r="G24" s="180"/>
      <c r="H24" s="181" t="str">
        <f t="shared" si="11"/>
        <v/>
      </c>
      <c r="I24" s="227"/>
      <c r="J24" s="227"/>
      <c r="K24" s="227"/>
      <c r="L24" s="227"/>
      <c r="M24" s="210" t="str">
        <f t="shared" si="16"/>
        <v/>
      </c>
      <c r="N24" s="210"/>
      <c r="O24" s="207"/>
      <c r="P24" s="182" t="str">
        <f t="shared" si="0"/>
        <v/>
      </c>
      <c r="Q24" s="183" t="str">
        <f t="shared" si="12"/>
        <v/>
      </c>
      <c r="R24" s="182" t="str">
        <f>IF(M24&lt;&gt;"",IF(#REF!*F24*10=0,"",#REF!*F24*10),"")</f>
        <v/>
      </c>
      <c r="S24" s="184" t="str">
        <f t="shared" si="13"/>
        <v/>
      </c>
      <c r="T24" s="185" t="str">
        <f t="shared" si="1"/>
        <v/>
      </c>
      <c r="U24" s="183" t="str">
        <f t="shared" si="14"/>
        <v/>
      </c>
      <c r="V24" s="186" t="str">
        <f t="shared" si="2"/>
        <v/>
      </c>
      <c r="W24" s="186" t="str">
        <f t="shared" si="3"/>
        <v/>
      </c>
      <c r="X24" s="187" t="str">
        <f t="shared" si="4"/>
        <v/>
      </c>
      <c r="Y24" s="182" t="str">
        <f t="shared" si="15"/>
        <v/>
      </c>
      <c r="Z24" s="209" t="str">
        <f t="shared" si="5"/>
        <v/>
      </c>
      <c r="AA24" s="209" t="str">
        <f t="shared" si="6"/>
        <v/>
      </c>
      <c r="AB24" s="200"/>
      <c r="AC24" s="192"/>
    </row>
    <row r="25" spans="1:29" ht="11.4">
      <c r="A25" s="211" t="str">
        <f t="shared" si="7"/>
        <v/>
      </c>
      <c r="B25" s="211"/>
      <c r="C25" s="215"/>
      <c r="D25" s="213" t="str">
        <f t="shared" si="8"/>
        <v/>
      </c>
      <c r="E25" s="213" t="str">
        <f t="shared" si="17"/>
        <v/>
      </c>
      <c r="F25" s="214" t="str">
        <f t="shared" si="10"/>
        <v/>
      </c>
      <c r="G25" s="180"/>
      <c r="H25" s="181" t="str">
        <f t="shared" si="11"/>
        <v/>
      </c>
      <c r="I25" s="227"/>
      <c r="J25" s="227"/>
      <c r="K25" s="227"/>
      <c r="L25" s="227"/>
      <c r="M25" s="210" t="str">
        <f t="shared" si="16"/>
        <v/>
      </c>
      <c r="N25" s="210"/>
      <c r="O25" s="207"/>
      <c r="P25" s="182" t="str">
        <f t="shared" si="0"/>
        <v/>
      </c>
      <c r="Q25" s="183" t="str">
        <f t="shared" si="12"/>
        <v/>
      </c>
      <c r="R25" s="182" t="str">
        <f>IF(M25&lt;&gt;"",IF(#REF!*F25*10=0,"",#REF!*F25*10),"")</f>
        <v/>
      </c>
      <c r="S25" s="184" t="str">
        <f t="shared" si="13"/>
        <v/>
      </c>
      <c r="T25" s="185" t="str">
        <f t="shared" si="1"/>
        <v/>
      </c>
      <c r="U25" s="183" t="str">
        <f t="shared" si="14"/>
        <v/>
      </c>
      <c r="V25" s="186" t="str">
        <f t="shared" si="2"/>
        <v/>
      </c>
      <c r="W25" s="186" t="str">
        <f t="shared" si="3"/>
        <v/>
      </c>
      <c r="X25" s="187" t="str">
        <f t="shared" si="4"/>
        <v/>
      </c>
      <c r="Y25" s="182" t="str">
        <f t="shared" si="15"/>
        <v/>
      </c>
      <c r="Z25" s="209" t="str">
        <f t="shared" si="5"/>
        <v/>
      </c>
      <c r="AA25" s="209" t="str">
        <f t="shared" si="6"/>
        <v/>
      </c>
      <c r="AB25" s="200"/>
      <c r="AC25" s="192"/>
    </row>
    <row r="26" spans="1:29" ht="11.4">
      <c r="A26" s="211" t="str">
        <f t="shared" si="7"/>
        <v/>
      </c>
      <c r="B26" s="211"/>
      <c r="C26" s="215"/>
      <c r="D26" s="213" t="str">
        <f t="shared" si="8"/>
        <v/>
      </c>
      <c r="E26" s="213" t="str">
        <f t="shared" si="17"/>
        <v/>
      </c>
      <c r="F26" s="214" t="str">
        <f t="shared" si="10"/>
        <v/>
      </c>
      <c r="G26" s="180"/>
      <c r="H26" s="181" t="str">
        <f t="shared" si="11"/>
        <v/>
      </c>
      <c r="I26" s="227"/>
      <c r="J26" s="227"/>
      <c r="K26" s="227"/>
      <c r="L26" s="227"/>
      <c r="M26" s="210" t="str">
        <f t="shared" si="16"/>
        <v/>
      </c>
      <c r="N26" s="210"/>
      <c r="O26" s="207"/>
      <c r="P26" s="182" t="str">
        <f t="shared" si="0"/>
        <v/>
      </c>
      <c r="Q26" s="183" t="str">
        <f t="shared" si="12"/>
        <v/>
      </c>
      <c r="R26" s="182" t="str">
        <f>IF(M26&lt;&gt;"",IF(#REF!*F26*10=0,"",#REF!*F26*10),"")</f>
        <v/>
      </c>
      <c r="S26" s="184" t="str">
        <f t="shared" si="13"/>
        <v/>
      </c>
      <c r="T26" s="185" t="str">
        <f t="shared" si="1"/>
        <v/>
      </c>
      <c r="U26" s="183" t="str">
        <f t="shared" si="14"/>
        <v/>
      </c>
      <c r="V26" s="186" t="str">
        <f t="shared" si="2"/>
        <v/>
      </c>
      <c r="W26" s="186" t="str">
        <f t="shared" si="3"/>
        <v/>
      </c>
      <c r="X26" s="187" t="str">
        <f t="shared" si="4"/>
        <v/>
      </c>
      <c r="Y26" s="182" t="str">
        <f t="shared" si="15"/>
        <v/>
      </c>
      <c r="Z26" s="209" t="str">
        <f t="shared" si="5"/>
        <v/>
      </c>
      <c r="AA26" s="209" t="str">
        <f t="shared" si="6"/>
        <v/>
      </c>
      <c r="AB26" s="200"/>
      <c r="AC26" s="192"/>
    </row>
    <row r="27" spans="1:29" ht="11.4">
      <c r="A27" s="211" t="str">
        <f t="shared" si="7"/>
        <v/>
      </c>
      <c r="B27" s="211"/>
      <c r="C27" s="215"/>
      <c r="D27" s="213" t="str">
        <f t="shared" si="8"/>
        <v/>
      </c>
      <c r="E27" s="213" t="str">
        <f t="shared" si="17"/>
        <v/>
      </c>
      <c r="F27" s="214" t="str">
        <f t="shared" si="10"/>
        <v/>
      </c>
      <c r="G27" s="180"/>
      <c r="H27" s="181" t="str">
        <f t="shared" si="11"/>
        <v/>
      </c>
      <c r="I27" s="227"/>
      <c r="J27" s="227"/>
      <c r="K27" s="227"/>
      <c r="L27" s="227"/>
      <c r="M27" s="210" t="str">
        <f t="shared" si="16"/>
        <v/>
      </c>
      <c r="N27" s="210"/>
      <c r="O27" s="207"/>
      <c r="P27" s="182" t="str">
        <f t="shared" si="0"/>
        <v/>
      </c>
      <c r="Q27" s="183" t="str">
        <f t="shared" si="12"/>
        <v/>
      </c>
      <c r="R27" s="182" t="str">
        <f>IF(M27&lt;&gt;"",IF(#REF!*F27*10=0,"",#REF!*F27*10),"")</f>
        <v/>
      </c>
      <c r="S27" s="184" t="str">
        <f t="shared" si="13"/>
        <v/>
      </c>
      <c r="T27" s="185" t="str">
        <f t="shared" si="1"/>
        <v/>
      </c>
      <c r="U27" s="183" t="str">
        <f t="shared" si="14"/>
        <v/>
      </c>
      <c r="V27" s="186" t="str">
        <f t="shared" si="2"/>
        <v/>
      </c>
      <c r="W27" s="186" t="str">
        <f t="shared" si="3"/>
        <v/>
      </c>
      <c r="X27" s="187" t="str">
        <f t="shared" si="4"/>
        <v/>
      </c>
      <c r="Y27" s="182" t="str">
        <f t="shared" si="15"/>
        <v/>
      </c>
      <c r="Z27" s="209" t="str">
        <f t="shared" si="5"/>
        <v/>
      </c>
      <c r="AA27" s="209" t="str">
        <f t="shared" si="6"/>
        <v/>
      </c>
      <c r="AB27" s="200"/>
      <c r="AC27" s="192"/>
    </row>
    <row r="28" spans="1:29" ht="11.4">
      <c r="A28" s="211" t="str">
        <f t="shared" si="7"/>
        <v/>
      </c>
      <c r="B28" s="211"/>
      <c r="C28" s="215"/>
      <c r="D28" s="213" t="str">
        <f t="shared" si="8"/>
        <v/>
      </c>
      <c r="E28" s="213" t="str">
        <f t="shared" si="17"/>
        <v/>
      </c>
      <c r="F28" s="214" t="str">
        <f t="shared" si="10"/>
        <v/>
      </c>
      <c r="G28" s="180"/>
      <c r="H28" s="181" t="str">
        <f t="shared" si="11"/>
        <v/>
      </c>
      <c r="I28" s="227"/>
      <c r="J28" s="227"/>
      <c r="K28" s="227"/>
      <c r="L28" s="227"/>
      <c r="M28" s="210" t="str">
        <f t="shared" si="16"/>
        <v/>
      </c>
      <c r="N28" s="210"/>
      <c r="O28" s="207"/>
      <c r="P28" s="182" t="str">
        <f t="shared" si="0"/>
        <v/>
      </c>
      <c r="Q28" s="183" t="str">
        <f t="shared" si="12"/>
        <v/>
      </c>
      <c r="R28" s="182" t="str">
        <f>IF(M28&lt;&gt;"",IF(#REF!*F28*10=0,"",#REF!*F28*10),"")</f>
        <v/>
      </c>
      <c r="S28" s="184" t="str">
        <f t="shared" si="13"/>
        <v/>
      </c>
      <c r="T28" s="185" t="str">
        <f t="shared" si="1"/>
        <v/>
      </c>
      <c r="U28" s="183" t="str">
        <f t="shared" si="14"/>
        <v/>
      </c>
      <c r="V28" s="186" t="str">
        <f t="shared" si="2"/>
        <v/>
      </c>
      <c r="W28" s="186" t="str">
        <f t="shared" si="3"/>
        <v/>
      </c>
      <c r="X28" s="187" t="str">
        <f t="shared" si="4"/>
        <v/>
      </c>
      <c r="Y28" s="182" t="str">
        <f t="shared" si="15"/>
        <v/>
      </c>
      <c r="Z28" s="209" t="str">
        <f t="shared" si="5"/>
        <v/>
      </c>
      <c r="AA28" s="209" t="str">
        <f t="shared" si="6"/>
        <v/>
      </c>
      <c r="AB28" s="200"/>
      <c r="AC28" s="192"/>
    </row>
    <row r="29" spans="1:29" ht="11.4">
      <c r="A29" s="211" t="str">
        <f t="shared" si="7"/>
        <v/>
      </c>
      <c r="B29" s="211"/>
      <c r="C29" s="215"/>
      <c r="D29" s="213" t="str">
        <f t="shared" si="8"/>
        <v/>
      </c>
      <c r="E29" s="213" t="str">
        <f t="shared" si="17"/>
        <v/>
      </c>
      <c r="F29" s="214" t="str">
        <f t="shared" si="10"/>
        <v/>
      </c>
      <c r="G29" s="180"/>
      <c r="H29" s="181" t="str">
        <f t="shared" si="11"/>
        <v/>
      </c>
      <c r="I29" s="227"/>
      <c r="J29" s="227"/>
      <c r="K29" s="227"/>
      <c r="L29" s="227"/>
      <c r="M29" s="210" t="str">
        <f t="shared" si="16"/>
        <v/>
      </c>
      <c r="N29" s="210"/>
      <c r="O29" s="207"/>
      <c r="P29" s="182" t="str">
        <f t="shared" si="0"/>
        <v/>
      </c>
      <c r="Q29" s="183" t="str">
        <f t="shared" si="12"/>
        <v/>
      </c>
      <c r="R29" s="182" t="str">
        <f>IF(M29&lt;&gt;"",IF(#REF!*F29*10=0,"",#REF!*F29*10),"")</f>
        <v/>
      </c>
      <c r="S29" s="184" t="str">
        <f t="shared" si="13"/>
        <v/>
      </c>
      <c r="T29" s="185" t="str">
        <f t="shared" si="1"/>
        <v/>
      </c>
      <c r="U29" s="183" t="str">
        <f t="shared" si="14"/>
        <v/>
      </c>
      <c r="V29" s="186" t="str">
        <f t="shared" si="2"/>
        <v/>
      </c>
      <c r="W29" s="186" t="str">
        <f t="shared" si="3"/>
        <v/>
      </c>
      <c r="X29" s="187" t="str">
        <f t="shared" si="4"/>
        <v/>
      </c>
      <c r="Y29" s="182" t="str">
        <f t="shared" si="15"/>
        <v/>
      </c>
      <c r="Z29" s="209" t="str">
        <f t="shared" si="5"/>
        <v/>
      </c>
      <c r="AA29" s="209" t="str">
        <f t="shared" si="6"/>
        <v/>
      </c>
      <c r="AB29" s="200"/>
      <c r="AC29" s="192"/>
    </row>
    <row r="30" spans="1:29" ht="11.4">
      <c r="A30" s="211" t="str">
        <f t="shared" si="7"/>
        <v/>
      </c>
      <c r="B30" s="211"/>
      <c r="C30" s="215"/>
      <c r="D30" s="213" t="str">
        <f t="shared" si="8"/>
        <v/>
      </c>
      <c r="E30" s="213" t="str">
        <f t="shared" si="17"/>
        <v/>
      </c>
      <c r="F30" s="214" t="str">
        <f t="shared" si="10"/>
        <v/>
      </c>
      <c r="G30" s="180"/>
      <c r="H30" s="181" t="str">
        <f t="shared" si="11"/>
        <v/>
      </c>
      <c r="I30" s="227"/>
      <c r="J30" s="227"/>
      <c r="K30" s="227"/>
      <c r="L30" s="227"/>
      <c r="M30" s="210" t="str">
        <f t="shared" si="16"/>
        <v/>
      </c>
      <c r="N30" s="210"/>
      <c r="O30" s="207"/>
      <c r="P30" s="182" t="str">
        <f t="shared" si="0"/>
        <v/>
      </c>
      <c r="Q30" s="183" t="str">
        <f t="shared" si="12"/>
        <v/>
      </c>
      <c r="R30" s="182" t="str">
        <f>IF(M30&lt;&gt;"",IF(#REF!*F30*10=0,"",#REF!*F30*10),"")</f>
        <v/>
      </c>
      <c r="S30" s="184" t="str">
        <f t="shared" si="13"/>
        <v/>
      </c>
      <c r="T30" s="185" t="str">
        <f t="shared" si="1"/>
        <v/>
      </c>
      <c r="U30" s="183" t="str">
        <f t="shared" si="14"/>
        <v/>
      </c>
      <c r="V30" s="186" t="str">
        <f t="shared" si="2"/>
        <v/>
      </c>
      <c r="W30" s="186" t="str">
        <f t="shared" si="3"/>
        <v/>
      </c>
      <c r="X30" s="187" t="str">
        <f t="shared" si="4"/>
        <v/>
      </c>
      <c r="Y30" s="182" t="str">
        <f t="shared" si="15"/>
        <v/>
      </c>
      <c r="Z30" s="209" t="str">
        <f t="shared" si="5"/>
        <v/>
      </c>
      <c r="AA30" s="209" t="str">
        <f t="shared" si="6"/>
        <v/>
      </c>
      <c r="AB30" s="200"/>
      <c r="AC30" s="192"/>
    </row>
    <row r="31" spans="1:29" ht="11.4">
      <c r="A31" s="211" t="str">
        <f t="shared" si="7"/>
        <v/>
      </c>
      <c r="B31" s="211"/>
      <c r="C31" s="215"/>
      <c r="D31" s="213" t="str">
        <f t="shared" si="8"/>
        <v/>
      </c>
      <c r="E31" s="213" t="str">
        <f t="shared" si="17"/>
        <v/>
      </c>
      <c r="F31" s="214" t="str">
        <f t="shared" si="10"/>
        <v/>
      </c>
      <c r="G31" s="180"/>
      <c r="H31" s="181" t="str">
        <f t="shared" si="11"/>
        <v/>
      </c>
      <c r="I31" s="227"/>
      <c r="J31" s="227"/>
      <c r="K31" s="227"/>
      <c r="L31" s="227"/>
      <c r="M31" s="210" t="str">
        <f t="shared" si="16"/>
        <v/>
      </c>
      <c r="N31" s="210"/>
      <c r="O31" s="207"/>
      <c r="P31" s="182" t="str">
        <f t="shared" si="0"/>
        <v/>
      </c>
      <c r="Q31" s="183" t="str">
        <f t="shared" si="12"/>
        <v/>
      </c>
      <c r="R31" s="182" t="str">
        <f>IF(M31&lt;&gt;"",IF(#REF!*F31*10=0,"",#REF!*F31*10),"")</f>
        <v/>
      </c>
      <c r="S31" s="184" t="str">
        <f t="shared" si="13"/>
        <v/>
      </c>
      <c r="T31" s="185" t="str">
        <f t="shared" si="1"/>
        <v/>
      </c>
      <c r="U31" s="183" t="str">
        <f t="shared" si="14"/>
        <v/>
      </c>
      <c r="V31" s="186" t="str">
        <f t="shared" si="2"/>
        <v/>
      </c>
      <c r="W31" s="186" t="str">
        <f t="shared" si="3"/>
        <v/>
      </c>
      <c r="X31" s="187" t="str">
        <f t="shared" si="4"/>
        <v/>
      </c>
      <c r="Y31" s="182" t="str">
        <f t="shared" si="15"/>
        <v/>
      </c>
      <c r="Z31" s="209" t="str">
        <f t="shared" si="5"/>
        <v/>
      </c>
      <c r="AA31" s="209" t="str">
        <f t="shared" si="6"/>
        <v/>
      </c>
      <c r="AB31" s="200"/>
      <c r="AC31" s="192"/>
    </row>
    <row r="32" spans="1:29" ht="11.4">
      <c r="A32" s="211" t="str">
        <f t="shared" si="7"/>
        <v/>
      </c>
      <c r="B32" s="211"/>
      <c r="C32" s="215"/>
      <c r="D32" s="213" t="str">
        <f t="shared" si="8"/>
        <v/>
      </c>
      <c r="E32" s="213" t="str">
        <f t="shared" si="17"/>
        <v/>
      </c>
      <c r="F32" s="214" t="str">
        <f t="shared" si="10"/>
        <v/>
      </c>
      <c r="G32" s="180"/>
      <c r="H32" s="181" t="str">
        <f t="shared" si="11"/>
        <v/>
      </c>
      <c r="I32" s="227"/>
      <c r="J32" s="227"/>
      <c r="K32" s="227"/>
      <c r="L32" s="227"/>
      <c r="M32" s="210" t="str">
        <f t="shared" si="16"/>
        <v/>
      </c>
      <c r="N32" s="210"/>
      <c r="O32" s="207"/>
      <c r="P32" s="182" t="str">
        <f t="shared" si="0"/>
        <v/>
      </c>
      <c r="Q32" s="183" t="str">
        <f t="shared" si="12"/>
        <v/>
      </c>
      <c r="R32" s="182" t="str">
        <f>IF(M32&lt;&gt;"",IF(#REF!*F32*10=0,"",#REF!*F32*10),"")</f>
        <v/>
      </c>
      <c r="S32" s="184" t="str">
        <f t="shared" si="13"/>
        <v/>
      </c>
      <c r="T32" s="185" t="str">
        <f t="shared" si="1"/>
        <v/>
      </c>
      <c r="U32" s="183" t="str">
        <f t="shared" si="14"/>
        <v/>
      </c>
      <c r="V32" s="186" t="str">
        <f t="shared" si="2"/>
        <v/>
      </c>
      <c r="W32" s="186" t="str">
        <f t="shared" si="3"/>
        <v/>
      </c>
      <c r="X32" s="187" t="str">
        <f t="shared" si="4"/>
        <v/>
      </c>
      <c r="Y32" s="182" t="str">
        <f t="shared" si="15"/>
        <v/>
      </c>
      <c r="Z32" s="209" t="str">
        <f t="shared" si="5"/>
        <v/>
      </c>
      <c r="AA32" s="209" t="str">
        <f t="shared" si="6"/>
        <v/>
      </c>
      <c r="AB32" s="200"/>
      <c r="AC32" s="192"/>
    </row>
    <row r="33" spans="1:29" ht="11.4">
      <c r="A33" s="211" t="str">
        <f t="shared" si="7"/>
        <v/>
      </c>
      <c r="B33" s="211"/>
      <c r="C33" s="215"/>
      <c r="D33" s="213" t="str">
        <f t="shared" si="8"/>
        <v/>
      </c>
      <c r="E33" s="213" t="str">
        <f t="shared" si="17"/>
        <v/>
      </c>
      <c r="F33" s="214" t="str">
        <f t="shared" si="10"/>
        <v/>
      </c>
      <c r="G33" s="180"/>
      <c r="H33" s="181" t="str">
        <f t="shared" si="11"/>
        <v/>
      </c>
      <c r="I33" s="227"/>
      <c r="J33" s="227"/>
      <c r="K33" s="227"/>
      <c r="L33" s="227"/>
      <c r="M33" s="210" t="str">
        <f t="shared" si="16"/>
        <v/>
      </c>
      <c r="N33" s="210"/>
      <c r="O33" s="207"/>
      <c r="P33" s="182" t="str">
        <f t="shared" si="0"/>
        <v/>
      </c>
      <c r="Q33" s="183" t="str">
        <f t="shared" si="12"/>
        <v/>
      </c>
      <c r="R33" s="182" t="str">
        <f>IF(M33&lt;&gt;"",IF(#REF!*F33*10=0,"",#REF!*F33*10),"")</f>
        <v/>
      </c>
      <c r="S33" s="184" t="str">
        <f t="shared" si="13"/>
        <v/>
      </c>
      <c r="T33" s="185" t="str">
        <f t="shared" si="1"/>
        <v/>
      </c>
      <c r="U33" s="183" t="str">
        <f t="shared" si="14"/>
        <v/>
      </c>
      <c r="V33" s="186" t="str">
        <f t="shared" si="2"/>
        <v/>
      </c>
      <c r="W33" s="186" t="str">
        <f t="shared" si="3"/>
        <v/>
      </c>
      <c r="X33" s="187" t="str">
        <f t="shared" si="4"/>
        <v/>
      </c>
      <c r="Y33" s="182" t="str">
        <f t="shared" si="15"/>
        <v/>
      </c>
      <c r="Z33" s="209" t="str">
        <f t="shared" si="5"/>
        <v/>
      </c>
      <c r="AA33" s="209" t="str">
        <f t="shared" si="6"/>
        <v/>
      </c>
      <c r="AB33" s="200"/>
      <c r="AC33" s="192"/>
    </row>
    <row r="34" spans="1:29" ht="11.4">
      <c r="A34" s="211" t="str">
        <f t="shared" si="7"/>
        <v/>
      </c>
      <c r="B34" s="211"/>
      <c r="C34" s="215"/>
      <c r="D34" s="213" t="str">
        <f t="shared" si="8"/>
        <v/>
      </c>
      <c r="E34" s="213" t="str">
        <f t="shared" si="17"/>
        <v/>
      </c>
      <c r="F34" s="214" t="str">
        <f t="shared" si="10"/>
        <v/>
      </c>
      <c r="G34" s="180"/>
      <c r="H34" s="181" t="str">
        <f t="shared" si="11"/>
        <v/>
      </c>
      <c r="I34" s="227"/>
      <c r="J34" s="227"/>
      <c r="K34" s="227"/>
      <c r="L34" s="227"/>
      <c r="M34" s="210" t="str">
        <f t="shared" si="16"/>
        <v/>
      </c>
      <c r="N34" s="210"/>
      <c r="O34" s="207"/>
      <c r="P34" s="182" t="str">
        <f t="shared" si="0"/>
        <v/>
      </c>
      <c r="Q34" s="183" t="str">
        <f t="shared" si="12"/>
        <v/>
      </c>
      <c r="R34" s="182" t="str">
        <f>IF(M34&lt;&gt;"",IF(#REF!*F34*10=0,"",#REF!*F34*10),"")</f>
        <v/>
      </c>
      <c r="S34" s="184" t="str">
        <f t="shared" si="13"/>
        <v/>
      </c>
      <c r="T34" s="185" t="str">
        <f t="shared" si="1"/>
        <v/>
      </c>
      <c r="U34" s="183" t="str">
        <f t="shared" si="14"/>
        <v/>
      </c>
      <c r="V34" s="186" t="str">
        <f t="shared" si="2"/>
        <v/>
      </c>
      <c r="W34" s="186" t="str">
        <f t="shared" si="3"/>
        <v/>
      </c>
      <c r="X34" s="187" t="str">
        <f t="shared" si="4"/>
        <v/>
      </c>
      <c r="Y34" s="182" t="str">
        <f t="shared" si="15"/>
        <v/>
      </c>
      <c r="Z34" s="209" t="str">
        <f t="shared" si="5"/>
        <v/>
      </c>
      <c r="AA34" s="209" t="str">
        <f t="shared" si="6"/>
        <v/>
      </c>
      <c r="AB34" s="200"/>
      <c r="AC34" s="192"/>
    </row>
    <row r="35" spans="1:29" ht="11.4">
      <c r="A35" s="211" t="str">
        <f t="shared" si="7"/>
        <v/>
      </c>
      <c r="B35" s="211"/>
      <c r="C35" s="215"/>
      <c r="D35" s="213" t="str">
        <f t="shared" si="8"/>
        <v/>
      </c>
      <c r="E35" s="213" t="str">
        <f t="shared" si="17"/>
        <v/>
      </c>
      <c r="F35" s="214" t="str">
        <f t="shared" si="10"/>
        <v/>
      </c>
      <c r="G35" s="180"/>
      <c r="H35" s="181" t="str">
        <f t="shared" si="11"/>
        <v/>
      </c>
      <c r="I35" s="227"/>
      <c r="J35" s="227"/>
      <c r="K35" s="227"/>
      <c r="L35" s="227"/>
      <c r="M35" s="210" t="str">
        <f t="shared" si="16"/>
        <v/>
      </c>
      <c r="N35" s="210"/>
      <c r="O35" s="207"/>
      <c r="P35" s="182" t="str">
        <f t="shared" si="0"/>
        <v/>
      </c>
      <c r="Q35" s="183" t="str">
        <f t="shared" si="12"/>
        <v/>
      </c>
      <c r="R35" s="182" t="str">
        <f>IF(M35&lt;&gt;"",IF(#REF!*F35*10=0,"",#REF!*F35*10),"")</f>
        <v/>
      </c>
      <c r="S35" s="184" t="str">
        <f t="shared" si="13"/>
        <v/>
      </c>
      <c r="T35" s="185" t="str">
        <f t="shared" si="1"/>
        <v/>
      </c>
      <c r="U35" s="183" t="str">
        <f t="shared" si="14"/>
        <v/>
      </c>
      <c r="V35" s="186" t="str">
        <f t="shared" si="2"/>
        <v/>
      </c>
      <c r="W35" s="186" t="str">
        <f t="shared" si="3"/>
        <v/>
      </c>
      <c r="X35" s="187" t="str">
        <f t="shared" si="4"/>
        <v/>
      </c>
      <c r="Y35" s="182" t="str">
        <f t="shared" si="15"/>
        <v/>
      </c>
      <c r="Z35" s="209" t="str">
        <f t="shared" si="5"/>
        <v/>
      </c>
      <c r="AA35" s="209" t="str">
        <f t="shared" si="6"/>
        <v/>
      </c>
      <c r="AB35" s="200"/>
      <c r="AC35" s="192"/>
    </row>
    <row r="36" spans="1:29" ht="11.4">
      <c r="A36" s="211" t="str">
        <f t="shared" si="7"/>
        <v/>
      </c>
      <c r="B36" s="211"/>
      <c r="C36" s="215"/>
      <c r="D36" s="213" t="str">
        <f t="shared" si="8"/>
        <v/>
      </c>
      <c r="E36" s="213" t="str">
        <f t="shared" si="17"/>
        <v/>
      </c>
      <c r="F36" s="214" t="str">
        <f t="shared" si="10"/>
        <v/>
      </c>
      <c r="G36" s="180"/>
      <c r="H36" s="181" t="str">
        <f t="shared" si="11"/>
        <v/>
      </c>
      <c r="I36" s="227"/>
      <c r="J36" s="227"/>
      <c r="K36" s="227"/>
      <c r="L36" s="227"/>
      <c r="M36" s="210" t="str">
        <f t="shared" si="16"/>
        <v/>
      </c>
      <c r="N36" s="210"/>
      <c r="O36" s="207"/>
      <c r="P36" s="182" t="str">
        <f t="shared" si="0"/>
        <v/>
      </c>
      <c r="Q36" s="183" t="str">
        <f t="shared" si="12"/>
        <v/>
      </c>
      <c r="R36" s="182" t="str">
        <f>IF(M36&lt;&gt;"",IF(#REF!*F36*10=0,"",#REF!*F36*10),"")</f>
        <v/>
      </c>
      <c r="S36" s="184" t="str">
        <f t="shared" si="13"/>
        <v/>
      </c>
      <c r="T36" s="185" t="str">
        <f t="shared" si="1"/>
        <v/>
      </c>
      <c r="U36" s="183" t="str">
        <f t="shared" si="14"/>
        <v/>
      </c>
      <c r="V36" s="186" t="str">
        <f t="shared" si="2"/>
        <v/>
      </c>
      <c r="W36" s="186" t="str">
        <f t="shared" si="3"/>
        <v/>
      </c>
      <c r="X36" s="187" t="str">
        <f t="shared" si="4"/>
        <v/>
      </c>
      <c r="Y36" s="182" t="str">
        <f t="shared" si="15"/>
        <v/>
      </c>
      <c r="Z36" s="209" t="str">
        <f t="shared" si="5"/>
        <v/>
      </c>
      <c r="AA36" s="209" t="str">
        <f t="shared" si="6"/>
        <v/>
      </c>
      <c r="AB36" s="200"/>
      <c r="AC36" s="192"/>
    </row>
    <row r="37" spans="1:29" ht="11.4">
      <c r="A37" s="211" t="str">
        <f t="shared" si="7"/>
        <v/>
      </c>
      <c r="B37" s="211"/>
      <c r="C37" s="215"/>
      <c r="D37" s="213" t="str">
        <f t="shared" si="8"/>
        <v/>
      </c>
      <c r="E37" s="213" t="str">
        <f t="shared" si="17"/>
        <v/>
      </c>
      <c r="F37" s="214" t="str">
        <f t="shared" si="10"/>
        <v/>
      </c>
      <c r="G37" s="180"/>
      <c r="H37" s="181" t="str">
        <f t="shared" si="11"/>
        <v/>
      </c>
      <c r="I37" s="227"/>
      <c r="J37" s="227"/>
      <c r="K37" s="227"/>
      <c r="L37" s="227"/>
      <c r="M37" s="210" t="str">
        <f t="shared" si="16"/>
        <v/>
      </c>
      <c r="N37" s="210"/>
      <c r="O37" s="207"/>
      <c r="P37" s="182" t="str">
        <f t="shared" si="0"/>
        <v/>
      </c>
      <c r="Q37" s="183" t="str">
        <f t="shared" si="12"/>
        <v/>
      </c>
      <c r="R37" s="182" t="str">
        <f>IF(M37&lt;&gt;"",IF(#REF!*F37*10=0,"",#REF!*F37*10),"")</f>
        <v/>
      </c>
      <c r="S37" s="184" t="str">
        <f t="shared" si="13"/>
        <v/>
      </c>
      <c r="T37" s="185" t="str">
        <f t="shared" si="1"/>
        <v/>
      </c>
      <c r="U37" s="183" t="str">
        <f t="shared" si="14"/>
        <v/>
      </c>
      <c r="V37" s="186" t="str">
        <f t="shared" si="2"/>
        <v/>
      </c>
      <c r="W37" s="186" t="str">
        <f t="shared" si="3"/>
        <v/>
      </c>
      <c r="X37" s="187" t="str">
        <f t="shared" si="4"/>
        <v/>
      </c>
      <c r="Y37" s="182" t="str">
        <f t="shared" si="15"/>
        <v/>
      </c>
      <c r="Z37" s="209" t="str">
        <f t="shared" si="5"/>
        <v/>
      </c>
      <c r="AA37" s="209" t="str">
        <f t="shared" si="6"/>
        <v/>
      </c>
      <c r="AB37" s="200"/>
      <c r="AC37" s="192"/>
    </row>
    <row r="38" spans="1:29" ht="11.4">
      <c r="A38" s="211" t="str">
        <f t="shared" si="7"/>
        <v/>
      </c>
      <c r="B38" s="211"/>
      <c r="C38" s="215"/>
      <c r="D38" s="213" t="str">
        <f t="shared" si="8"/>
        <v/>
      </c>
      <c r="E38" s="213" t="str">
        <f t="shared" si="17"/>
        <v/>
      </c>
      <c r="F38" s="214" t="str">
        <f t="shared" si="10"/>
        <v/>
      </c>
      <c r="G38" s="180"/>
      <c r="H38" s="181" t="str">
        <f t="shared" si="11"/>
        <v/>
      </c>
      <c r="I38" s="227"/>
      <c r="J38" s="227"/>
      <c r="K38" s="227"/>
      <c r="L38" s="227"/>
      <c r="M38" s="210" t="str">
        <f t="shared" si="16"/>
        <v/>
      </c>
      <c r="N38" s="210"/>
      <c r="O38" s="207"/>
      <c r="P38" s="182" t="str">
        <f t="shared" si="0"/>
        <v/>
      </c>
      <c r="Q38" s="183" t="str">
        <f t="shared" si="12"/>
        <v/>
      </c>
      <c r="R38" s="182" t="str">
        <f>IF(M38&lt;&gt;"",IF(#REF!*F38*10=0,"",#REF!*F38*10),"")</f>
        <v/>
      </c>
      <c r="S38" s="184" t="str">
        <f t="shared" si="13"/>
        <v/>
      </c>
      <c r="T38" s="185" t="str">
        <f t="shared" si="1"/>
        <v/>
      </c>
      <c r="U38" s="183" t="str">
        <f t="shared" si="14"/>
        <v/>
      </c>
      <c r="V38" s="186" t="str">
        <f t="shared" si="2"/>
        <v/>
      </c>
      <c r="W38" s="186" t="str">
        <f t="shared" si="3"/>
        <v/>
      </c>
      <c r="X38" s="187" t="str">
        <f t="shared" si="4"/>
        <v/>
      </c>
      <c r="Y38" s="182" t="str">
        <f t="shared" si="15"/>
        <v/>
      </c>
      <c r="Z38" s="209" t="str">
        <f t="shared" si="5"/>
        <v/>
      </c>
      <c r="AA38" s="209" t="str">
        <f t="shared" si="6"/>
        <v/>
      </c>
      <c r="AB38" s="200"/>
      <c r="AC38" s="192"/>
    </row>
    <row r="39" spans="1:29" ht="11.4">
      <c r="A39" s="211" t="str">
        <f t="shared" si="7"/>
        <v/>
      </c>
      <c r="B39" s="211"/>
      <c r="C39" s="215"/>
      <c r="D39" s="213" t="str">
        <f t="shared" si="8"/>
        <v/>
      </c>
      <c r="E39" s="213" t="str">
        <f t="shared" si="17"/>
        <v/>
      </c>
      <c r="F39" s="214" t="str">
        <f t="shared" si="10"/>
        <v/>
      </c>
      <c r="G39" s="180"/>
      <c r="H39" s="181" t="str">
        <f t="shared" si="11"/>
        <v/>
      </c>
      <c r="I39" s="227"/>
      <c r="J39" s="227"/>
      <c r="K39" s="227"/>
      <c r="L39" s="227"/>
      <c r="M39" s="210" t="str">
        <f t="shared" si="16"/>
        <v/>
      </c>
      <c r="N39" s="210"/>
      <c r="O39" s="207"/>
      <c r="P39" s="182" t="str">
        <f t="shared" si="0"/>
        <v/>
      </c>
      <c r="Q39" s="183" t="str">
        <f t="shared" si="12"/>
        <v/>
      </c>
      <c r="R39" s="182" t="str">
        <f>IF(M39&lt;&gt;"",IF(#REF!*F39*10=0,"",#REF!*F39*10),"")</f>
        <v/>
      </c>
      <c r="S39" s="184" t="str">
        <f t="shared" si="13"/>
        <v/>
      </c>
      <c r="T39" s="185" t="str">
        <f t="shared" si="1"/>
        <v/>
      </c>
      <c r="U39" s="183" t="str">
        <f t="shared" si="14"/>
        <v/>
      </c>
      <c r="V39" s="186" t="str">
        <f t="shared" si="2"/>
        <v/>
      </c>
      <c r="W39" s="186" t="str">
        <f t="shared" si="3"/>
        <v/>
      </c>
      <c r="X39" s="187" t="str">
        <f t="shared" si="4"/>
        <v/>
      </c>
      <c r="Y39" s="182" t="str">
        <f t="shared" si="15"/>
        <v/>
      </c>
      <c r="Z39" s="209" t="str">
        <f t="shared" si="5"/>
        <v/>
      </c>
      <c r="AA39" s="209" t="str">
        <f t="shared" si="6"/>
        <v/>
      </c>
      <c r="AB39" s="200"/>
      <c r="AC39" s="192"/>
    </row>
    <row r="40" spans="1:29" ht="11.4">
      <c r="A40" s="211" t="str">
        <f t="shared" si="7"/>
        <v/>
      </c>
      <c r="B40" s="211"/>
      <c r="C40" s="215"/>
      <c r="D40" s="213" t="str">
        <f t="shared" si="8"/>
        <v/>
      </c>
      <c r="E40" s="213" t="str">
        <f t="shared" si="17"/>
        <v/>
      </c>
      <c r="F40" s="214" t="str">
        <f t="shared" si="10"/>
        <v/>
      </c>
      <c r="G40" s="180"/>
      <c r="H40" s="181" t="str">
        <f t="shared" si="11"/>
        <v/>
      </c>
      <c r="I40" s="227"/>
      <c r="J40" s="227"/>
      <c r="K40" s="227"/>
      <c r="L40" s="227"/>
      <c r="M40" s="210" t="str">
        <f t="shared" si="16"/>
        <v/>
      </c>
      <c r="N40" s="210"/>
      <c r="O40" s="207"/>
      <c r="P40" s="182" t="str">
        <f t="shared" si="0"/>
        <v/>
      </c>
      <c r="Q40" s="183" t="str">
        <f t="shared" si="12"/>
        <v/>
      </c>
      <c r="R40" s="182" t="str">
        <f>IF(M40&lt;&gt;"",IF(#REF!*F40*10=0,"",#REF!*F40*10),"")</f>
        <v/>
      </c>
      <c r="S40" s="184" t="str">
        <f t="shared" si="13"/>
        <v/>
      </c>
      <c r="T40" s="185" t="str">
        <f t="shared" si="1"/>
        <v/>
      </c>
      <c r="U40" s="183" t="str">
        <f t="shared" si="14"/>
        <v/>
      </c>
      <c r="V40" s="186" t="str">
        <f t="shared" si="2"/>
        <v/>
      </c>
      <c r="W40" s="186" t="str">
        <f t="shared" si="3"/>
        <v/>
      </c>
      <c r="X40" s="187" t="str">
        <f t="shared" si="4"/>
        <v/>
      </c>
      <c r="Y40" s="182" t="str">
        <f t="shared" si="15"/>
        <v/>
      </c>
      <c r="Z40" s="209" t="str">
        <f t="shared" si="5"/>
        <v/>
      </c>
      <c r="AA40" s="209" t="str">
        <f t="shared" si="6"/>
        <v/>
      </c>
      <c r="AB40" s="200"/>
      <c r="AC40" s="192"/>
    </row>
    <row r="41" spans="1:29" ht="11.4">
      <c r="A41" s="211" t="str">
        <f t="shared" si="7"/>
        <v/>
      </c>
      <c r="B41" s="211"/>
      <c r="C41" s="215"/>
      <c r="D41" s="213" t="str">
        <f t="shared" si="8"/>
        <v/>
      </c>
      <c r="E41" s="213" t="str">
        <f t="shared" si="17"/>
        <v/>
      </c>
      <c r="F41" s="214" t="str">
        <f t="shared" si="10"/>
        <v/>
      </c>
      <c r="G41" s="180"/>
      <c r="H41" s="181" t="str">
        <f t="shared" si="11"/>
        <v/>
      </c>
      <c r="I41" s="227"/>
      <c r="J41" s="227"/>
      <c r="K41" s="227"/>
      <c r="L41" s="227"/>
      <c r="M41" s="210" t="str">
        <f t="shared" si="16"/>
        <v/>
      </c>
      <c r="N41" s="210"/>
      <c r="O41" s="207"/>
      <c r="P41" s="182" t="str">
        <f t="shared" si="0"/>
        <v/>
      </c>
      <c r="Q41" s="183" t="str">
        <f t="shared" si="12"/>
        <v/>
      </c>
      <c r="R41" s="182" t="str">
        <f>IF(M41&lt;&gt;"",IF(#REF!*F41*10=0,"",#REF!*F41*10),"")</f>
        <v/>
      </c>
      <c r="S41" s="184" t="str">
        <f t="shared" si="13"/>
        <v/>
      </c>
      <c r="T41" s="185" t="str">
        <f t="shared" si="1"/>
        <v/>
      </c>
      <c r="U41" s="183" t="str">
        <f t="shared" si="14"/>
        <v/>
      </c>
      <c r="V41" s="186" t="str">
        <f t="shared" si="2"/>
        <v/>
      </c>
      <c r="W41" s="186" t="str">
        <f t="shared" si="3"/>
        <v/>
      </c>
      <c r="X41" s="187" t="str">
        <f t="shared" si="4"/>
        <v/>
      </c>
      <c r="Y41" s="182" t="str">
        <f t="shared" si="15"/>
        <v/>
      </c>
      <c r="Z41" s="209" t="str">
        <f t="shared" si="5"/>
        <v/>
      </c>
      <c r="AA41" s="209" t="str">
        <f t="shared" si="6"/>
        <v/>
      </c>
      <c r="AB41" s="200"/>
      <c r="AC41" s="192"/>
    </row>
    <row r="42" spans="1:29" ht="11.4">
      <c r="A42" s="211" t="str">
        <f t="shared" si="7"/>
        <v/>
      </c>
      <c r="B42" s="211"/>
      <c r="C42" s="215"/>
      <c r="D42" s="213" t="str">
        <f t="shared" si="8"/>
        <v/>
      </c>
      <c r="E42" s="213" t="str">
        <f t="shared" si="17"/>
        <v/>
      </c>
      <c r="F42" s="214" t="str">
        <f t="shared" si="10"/>
        <v/>
      </c>
      <c r="G42" s="180"/>
      <c r="H42" s="181" t="str">
        <f t="shared" si="11"/>
        <v/>
      </c>
      <c r="I42" s="227"/>
      <c r="J42" s="227"/>
      <c r="K42" s="227"/>
      <c r="L42" s="227"/>
      <c r="M42" s="210" t="str">
        <f t="shared" si="16"/>
        <v/>
      </c>
      <c r="N42" s="210"/>
      <c r="O42" s="207"/>
      <c r="P42" s="182" t="str">
        <f t="shared" si="0"/>
        <v/>
      </c>
      <c r="Q42" s="183" t="str">
        <f t="shared" si="12"/>
        <v/>
      </c>
      <c r="R42" s="182" t="str">
        <f>IF(M42&lt;&gt;"",IF(#REF!*F42*10=0,"",#REF!*F42*10),"")</f>
        <v/>
      </c>
      <c r="S42" s="184" t="str">
        <f t="shared" si="13"/>
        <v/>
      </c>
      <c r="T42" s="185" t="str">
        <f t="shared" si="1"/>
        <v/>
      </c>
      <c r="U42" s="183" t="str">
        <f t="shared" si="14"/>
        <v/>
      </c>
      <c r="V42" s="186" t="str">
        <f t="shared" si="2"/>
        <v/>
      </c>
      <c r="W42" s="186" t="str">
        <f t="shared" si="3"/>
        <v/>
      </c>
      <c r="X42" s="187" t="str">
        <f t="shared" si="4"/>
        <v/>
      </c>
      <c r="Y42" s="182" t="str">
        <f t="shared" si="15"/>
        <v/>
      </c>
      <c r="Z42" s="209" t="str">
        <f t="shared" si="5"/>
        <v/>
      </c>
      <c r="AA42" s="209" t="str">
        <f t="shared" si="6"/>
        <v/>
      </c>
      <c r="AB42" s="200"/>
      <c r="AC42" s="192"/>
    </row>
    <row r="43" spans="1:29" ht="11.4">
      <c r="A43" s="211" t="str">
        <f t="shared" si="7"/>
        <v/>
      </c>
      <c r="B43" s="211"/>
      <c r="C43" s="215"/>
      <c r="D43" s="213" t="str">
        <f t="shared" si="8"/>
        <v/>
      </c>
      <c r="E43" s="213" t="str">
        <f t="shared" si="17"/>
        <v/>
      </c>
      <c r="F43" s="214" t="str">
        <f t="shared" si="10"/>
        <v/>
      </c>
      <c r="G43" s="180"/>
      <c r="H43" s="181" t="str">
        <f t="shared" si="11"/>
        <v/>
      </c>
      <c r="I43" s="227"/>
      <c r="J43" s="227"/>
      <c r="K43" s="227"/>
      <c r="L43" s="227"/>
      <c r="M43" s="210" t="str">
        <f t="shared" si="16"/>
        <v/>
      </c>
      <c r="N43" s="210"/>
      <c r="O43" s="207"/>
      <c r="P43" s="182" t="str">
        <f t="shared" si="0"/>
        <v/>
      </c>
      <c r="Q43" s="183" t="str">
        <f t="shared" si="12"/>
        <v/>
      </c>
      <c r="R43" s="182" t="str">
        <f>IF(M43&lt;&gt;"",IF(#REF!*F43*10=0,"",#REF!*F43*10),"")</f>
        <v/>
      </c>
      <c r="S43" s="184" t="str">
        <f t="shared" si="13"/>
        <v/>
      </c>
      <c r="T43" s="185" t="str">
        <f t="shared" si="1"/>
        <v/>
      </c>
      <c r="U43" s="183" t="str">
        <f t="shared" si="14"/>
        <v/>
      </c>
      <c r="V43" s="186" t="str">
        <f t="shared" si="2"/>
        <v/>
      </c>
      <c r="W43" s="186" t="str">
        <f t="shared" si="3"/>
        <v/>
      </c>
      <c r="X43" s="187" t="str">
        <f t="shared" si="4"/>
        <v/>
      </c>
      <c r="Y43" s="182" t="str">
        <f t="shared" si="15"/>
        <v/>
      </c>
      <c r="Z43" s="209" t="str">
        <f t="shared" si="5"/>
        <v/>
      </c>
      <c r="AA43" s="209" t="str">
        <f t="shared" si="6"/>
        <v/>
      </c>
      <c r="AB43" s="200"/>
      <c r="AC43" s="192"/>
    </row>
    <row r="44" spans="1:29" ht="11.4">
      <c r="A44" s="211" t="str">
        <f t="shared" si="7"/>
        <v/>
      </c>
      <c r="B44" s="211"/>
      <c r="C44" s="215"/>
      <c r="D44" s="213" t="str">
        <f t="shared" si="8"/>
        <v/>
      </c>
      <c r="E44" s="213" t="str">
        <f t="shared" si="17"/>
        <v/>
      </c>
      <c r="F44" s="214" t="str">
        <f t="shared" si="10"/>
        <v/>
      </c>
      <c r="G44" s="180"/>
      <c r="H44" s="181" t="str">
        <f t="shared" si="11"/>
        <v/>
      </c>
      <c r="I44" s="227"/>
      <c r="J44" s="227"/>
      <c r="K44" s="227"/>
      <c r="L44" s="227"/>
      <c r="M44" s="210" t="str">
        <f t="shared" si="16"/>
        <v/>
      </c>
      <c r="N44" s="210"/>
      <c r="O44" s="207"/>
      <c r="P44" s="182" t="str">
        <f t="shared" si="0"/>
        <v/>
      </c>
      <c r="Q44" s="183" t="str">
        <f t="shared" si="12"/>
        <v/>
      </c>
      <c r="R44" s="182" t="str">
        <f>IF(M44&lt;&gt;"",IF(#REF!*F44*10=0,"",#REF!*F44*10),"")</f>
        <v/>
      </c>
      <c r="S44" s="184" t="str">
        <f t="shared" si="13"/>
        <v/>
      </c>
      <c r="T44" s="185" t="str">
        <f t="shared" si="1"/>
        <v/>
      </c>
      <c r="U44" s="183" t="str">
        <f t="shared" si="14"/>
        <v/>
      </c>
      <c r="V44" s="186" t="str">
        <f t="shared" si="2"/>
        <v/>
      </c>
      <c r="W44" s="186" t="str">
        <f t="shared" si="3"/>
        <v/>
      </c>
      <c r="X44" s="187" t="str">
        <f t="shared" si="4"/>
        <v/>
      </c>
      <c r="Y44" s="182" t="str">
        <f t="shared" si="15"/>
        <v/>
      </c>
      <c r="Z44" s="209" t="str">
        <f t="shared" si="5"/>
        <v/>
      </c>
      <c r="AA44" s="209" t="str">
        <f t="shared" si="6"/>
        <v/>
      </c>
      <c r="AB44" s="200"/>
      <c r="AC44" s="192"/>
    </row>
    <row r="45" spans="1:29" ht="11.4">
      <c r="A45" s="211" t="str">
        <f t="shared" si="7"/>
        <v/>
      </c>
      <c r="B45" s="211"/>
      <c r="C45" s="215"/>
      <c r="D45" s="213" t="str">
        <f t="shared" si="8"/>
        <v/>
      </c>
      <c r="E45" s="213" t="str">
        <f t="shared" si="17"/>
        <v/>
      </c>
      <c r="F45" s="214" t="str">
        <f t="shared" si="10"/>
        <v/>
      </c>
      <c r="G45" s="180"/>
      <c r="H45" s="181" t="str">
        <f t="shared" si="11"/>
        <v/>
      </c>
      <c r="I45" s="227"/>
      <c r="J45" s="227"/>
      <c r="K45" s="227"/>
      <c r="L45" s="227"/>
      <c r="M45" s="210" t="str">
        <f t="shared" si="16"/>
        <v/>
      </c>
      <c r="N45" s="210"/>
      <c r="O45" s="207"/>
      <c r="P45" s="182" t="str">
        <f t="shared" si="0"/>
        <v/>
      </c>
      <c r="Q45" s="183" t="str">
        <f t="shared" si="12"/>
        <v/>
      </c>
      <c r="R45" s="182" t="str">
        <f>IF(M45&lt;&gt;"",IF(#REF!*F45*10=0,"",#REF!*F45*10),"")</f>
        <v/>
      </c>
      <c r="S45" s="184" t="str">
        <f t="shared" si="13"/>
        <v/>
      </c>
      <c r="T45" s="185" t="str">
        <f t="shared" si="1"/>
        <v/>
      </c>
      <c r="U45" s="183" t="str">
        <f t="shared" si="14"/>
        <v/>
      </c>
      <c r="V45" s="186" t="str">
        <f t="shared" si="2"/>
        <v/>
      </c>
      <c r="W45" s="186" t="str">
        <f t="shared" si="3"/>
        <v/>
      </c>
      <c r="X45" s="187" t="str">
        <f t="shared" si="4"/>
        <v/>
      </c>
      <c r="Y45" s="182" t="str">
        <f t="shared" si="15"/>
        <v/>
      </c>
      <c r="Z45" s="209" t="str">
        <f t="shared" si="5"/>
        <v/>
      </c>
      <c r="AA45" s="209" t="str">
        <f t="shared" si="6"/>
        <v/>
      </c>
      <c r="AB45" s="200"/>
      <c r="AC45" s="192"/>
    </row>
    <row r="46" spans="1:29" ht="11.4">
      <c r="A46" s="211" t="str">
        <f t="shared" si="7"/>
        <v/>
      </c>
      <c r="B46" s="211"/>
      <c r="C46" s="215"/>
      <c r="D46" s="213" t="str">
        <f t="shared" si="8"/>
        <v/>
      </c>
      <c r="E46" s="213" t="str">
        <f t="shared" si="17"/>
        <v/>
      </c>
      <c r="F46" s="214" t="str">
        <f t="shared" si="10"/>
        <v/>
      </c>
      <c r="G46" s="180"/>
      <c r="H46" s="181" t="str">
        <f t="shared" si="11"/>
        <v/>
      </c>
      <c r="I46" s="227"/>
      <c r="J46" s="227"/>
      <c r="K46" s="227"/>
      <c r="L46" s="227"/>
      <c r="M46" s="210" t="str">
        <f t="shared" si="16"/>
        <v/>
      </c>
      <c r="N46" s="210"/>
      <c r="O46" s="207"/>
      <c r="P46" s="182" t="str">
        <f t="shared" si="0"/>
        <v/>
      </c>
      <c r="Q46" s="183" t="str">
        <f t="shared" si="12"/>
        <v/>
      </c>
      <c r="R46" s="182" t="str">
        <f>IF(M46&lt;&gt;"",IF(#REF!*F46*10=0,"",#REF!*F46*10),"")</f>
        <v/>
      </c>
      <c r="S46" s="184" t="str">
        <f t="shared" si="13"/>
        <v/>
      </c>
      <c r="T46" s="185" t="str">
        <f t="shared" si="1"/>
        <v/>
      </c>
      <c r="U46" s="183" t="str">
        <f t="shared" si="14"/>
        <v/>
      </c>
      <c r="V46" s="186" t="str">
        <f t="shared" si="2"/>
        <v/>
      </c>
      <c r="W46" s="186" t="str">
        <f t="shared" si="3"/>
        <v/>
      </c>
      <c r="X46" s="187" t="str">
        <f t="shared" si="4"/>
        <v/>
      </c>
      <c r="Y46" s="182" t="str">
        <f t="shared" si="15"/>
        <v/>
      </c>
      <c r="Z46" s="209" t="str">
        <f t="shared" si="5"/>
        <v/>
      </c>
      <c r="AA46" s="209" t="str">
        <f t="shared" si="6"/>
        <v/>
      </c>
      <c r="AB46" s="200"/>
      <c r="AC46" s="192"/>
    </row>
    <row r="47" spans="1:29" ht="11.4">
      <c r="A47" s="211" t="str">
        <f t="shared" si="7"/>
        <v/>
      </c>
      <c r="B47" s="211"/>
      <c r="C47" s="215"/>
      <c r="D47" s="213" t="str">
        <f t="shared" si="8"/>
        <v/>
      </c>
      <c r="E47" s="213" t="str">
        <f t="shared" si="17"/>
        <v/>
      </c>
      <c r="F47" s="214" t="str">
        <f t="shared" si="10"/>
        <v/>
      </c>
      <c r="G47" s="180"/>
      <c r="H47" s="181" t="str">
        <f t="shared" si="11"/>
        <v/>
      </c>
      <c r="I47" s="227"/>
      <c r="J47" s="227"/>
      <c r="K47" s="227"/>
      <c r="L47" s="227"/>
      <c r="M47" s="210" t="str">
        <f t="shared" si="16"/>
        <v/>
      </c>
      <c r="N47" s="210"/>
      <c r="O47" s="207"/>
      <c r="P47" s="182" t="str">
        <f t="shared" si="0"/>
        <v/>
      </c>
      <c r="Q47" s="183" t="str">
        <f t="shared" si="12"/>
        <v/>
      </c>
      <c r="R47" s="182" t="str">
        <f>IF(M47&lt;&gt;"",IF(#REF!*F47*10=0,"",#REF!*F47*10),"")</f>
        <v/>
      </c>
      <c r="S47" s="184" t="str">
        <f t="shared" si="13"/>
        <v/>
      </c>
      <c r="T47" s="185" t="str">
        <f t="shared" si="1"/>
        <v/>
      </c>
      <c r="U47" s="183" t="str">
        <f t="shared" si="14"/>
        <v/>
      </c>
      <c r="V47" s="186" t="str">
        <f t="shared" si="2"/>
        <v/>
      </c>
      <c r="W47" s="186" t="str">
        <f t="shared" si="3"/>
        <v/>
      </c>
      <c r="X47" s="187" t="str">
        <f t="shared" si="4"/>
        <v/>
      </c>
      <c r="Y47" s="182" t="str">
        <f t="shared" si="15"/>
        <v/>
      </c>
      <c r="Z47" s="209" t="str">
        <f t="shared" si="5"/>
        <v/>
      </c>
      <c r="AA47" s="209" t="str">
        <f t="shared" si="6"/>
        <v/>
      </c>
      <c r="AB47" s="200"/>
      <c r="AC47" s="192"/>
    </row>
    <row r="48" spans="1:29" ht="11.4">
      <c r="A48" s="211" t="str">
        <f t="shared" si="7"/>
        <v/>
      </c>
      <c r="B48" s="211"/>
      <c r="C48" s="215"/>
      <c r="D48" s="213" t="str">
        <f t="shared" si="8"/>
        <v/>
      </c>
      <c r="E48" s="213" t="str">
        <f t="shared" si="17"/>
        <v/>
      </c>
      <c r="F48" s="214" t="str">
        <f t="shared" si="10"/>
        <v/>
      </c>
      <c r="G48" s="180"/>
      <c r="H48" s="181" t="str">
        <f t="shared" si="11"/>
        <v/>
      </c>
      <c r="I48" s="227"/>
      <c r="J48" s="227"/>
      <c r="K48" s="227"/>
      <c r="L48" s="227"/>
      <c r="M48" s="210" t="str">
        <f t="shared" si="16"/>
        <v/>
      </c>
      <c r="N48" s="210"/>
      <c r="O48" s="207"/>
      <c r="P48" s="182" t="str">
        <f t="shared" si="0"/>
        <v/>
      </c>
      <c r="Q48" s="183" t="str">
        <f t="shared" si="12"/>
        <v/>
      </c>
      <c r="R48" s="182" t="str">
        <f>IF(M48&lt;&gt;"",IF(#REF!*F48*10=0,"",#REF!*F48*10),"")</f>
        <v/>
      </c>
      <c r="S48" s="184" t="str">
        <f t="shared" si="13"/>
        <v/>
      </c>
      <c r="T48" s="185" t="str">
        <f t="shared" si="1"/>
        <v/>
      </c>
      <c r="U48" s="183" t="str">
        <f t="shared" si="14"/>
        <v/>
      </c>
      <c r="V48" s="186" t="str">
        <f t="shared" si="2"/>
        <v/>
      </c>
      <c r="W48" s="186" t="str">
        <f t="shared" si="3"/>
        <v/>
      </c>
      <c r="X48" s="187" t="str">
        <f t="shared" si="4"/>
        <v/>
      </c>
      <c r="Y48" s="182" t="str">
        <f t="shared" si="15"/>
        <v/>
      </c>
      <c r="Z48" s="209" t="str">
        <f t="shared" si="5"/>
        <v/>
      </c>
      <c r="AA48" s="209" t="str">
        <f t="shared" si="6"/>
        <v/>
      </c>
      <c r="AB48" s="200"/>
      <c r="AC48" s="192"/>
    </row>
    <row r="49" spans="1:29" ht="11.4">
      <c r="A49" s="211" t="str">
        <f t="shared" si="7"/>
        <v/>
      </c>
      <c r="B49" s="211"/>
      <c r="C49" s="215"/>
      <c r="D49" s="213" t="str">
        <f t="shared" si="8"/>
        <v/>
      </c>
      <c r="E49" s="213" t="str">
        <f t="shared" si="17"/>
        <v/>
      </c>
      <c r="F49" s="214" t="str">
        <f t="shared" si="10"/>
        <v/>
      </c>
      <c r="G49" s="180"/>
      <c r="H49" s="181" t="str">
        <f t="shared" si="11"/>
        <v/>
      </c>
      <c r="I49" s="227"/>
      <c r="J49" s="227"/>
      <c r="K49" s="227"/>
      <c r="L49" s="227"/>
      <c r="M49" s="210" t="str">
        <f t="shared" si="16"/>
        <v/>
      </c>
      <c r="N49" s="210"/>
      <c r="O49" s="207"/>
      <c r="P49" s="182" t="str">
        <f t="shared" si="0"/>
        <v/>
      </c>
      <c r="Q49" s="183" t="str">
        <f t="shared" si="12"/>
        <v/>
      </c>
      <c r="R49" s="182" t="str">
        <f>IF(M49&lt;&gt;"",IF(#REF!*F49*10=0,"",#REF!*F49*10),"")</f>
        <v/>
      </c>
      <c r="S49" s="184" t="str">
        <f t="shared" si="13"/>
        <v/>
      </c>
      <c r="T49" s="185" t="str">
        <f t="shared" si="1"/>
        <v/>
      </c>
      <c r="U49" s="183" t="str">
        <f t="shared" si="14"/>
        <v/>
      </c>
      <c r="V49" s="186" t="str">
        <f t="shared" si="2"/>
        <v/>
      </c>
      <c r="W49" s="186" t="str">
        <f t="shared" si="3"/>
        <v/>
      </c>
      <c r="X49" s="187" t="str">
        <f t="shared" si="4"/>
        <v/>
      </c>
      <c r="Y49" s="182" t="str">
        <f t="shared" si="15"/>
        <v/>
      </c>
      <c r="Z49" s="209" t="str">
        <f t="shared" si="5"/>
        <v/>
      </c>
      <c r="AA49" s="209" t="str">
        <f t="shared" si="6"/>
        <v/>
      </c>
      <c r="AB49" s="200"/>
      <c r="AC49" s="192"/>
    </row>
    <row r="50" spans="1:29" ht="11.4">
      <c r="A50" s="211" t="str">
        <f t="shared" si="7"/>
        <v/>
      </c>
      <c r="B50" s="211"/>
      <c r="C50" s="215"/>
      <c r="D50" s="213" t="str">
        <f t="shared" si="8"/>
        <v/>
      </c>
      <c r="E50" s="213" t="str">
        <f t="shared" si="17"/>
        <v/>
      </c>
      <c r="F50" s="214" t="str">
        <f t="shared" si="10"/>
        <v/>
      </c>
      <c r="G50" s="180"/>
      <c r="H50" s="181" t="str">
        <f t="shared" si="11"/>
        <v/>
      </c>
      <c r="I50" s="227"/>
      <c r="J50" s="227"/>
      <c r="K50" s="227"/>
      <c r="L50" s="227"/>
      <c r="M50" s="210" t="str">
        <f t="shared" si="16"/>
        <v/>
      </c>
      <c r="N50" s="210"/>
      <c r="O50" s="207"/>
      <c r="P50" s="182" t="str">
        <f t="shared" si="0"/>
        <v/>
      </c>
      <c r="Q50" s="183" t="str">
        <f t="shared" si="12"/>
        <v/>
      </c>
      <c r="R50" s="182" t="str">
        <f>IF(M50&lt;&gt;"",IF(#REF!*F50*10=0,"",#REF!*F50*10),"")</f>
        <v/>
      </c>
      <c r="S50" s="184" t="str">
        <f t="shared" si="13"/>
        <v/>
      </c>
      <c r="T50" s="185" t="str">
        <f t="shared" si="1"/>
        <v/>
      </c>
      <c r="U50" s="183" t="str">
        <f t="shared" si="14"/>
        <v/>
      </c>
      <c r="V50" s="186" t="str">
        <f t="shared" si="2"/>
        <v/>
      </c>
      <c r="W50" s="186" t="str">
        <f t="shared" si="3"/>
        <v/>
      </c>
      <c r="X50" s="187" t="str">
        <f t="shared" si="4"/>
        <v/>
      </c>
      <c r="Y50" s="182" t="str">
        <f t="shared" si="15"/>
        <v/>
      </c>
      <c r="Z50" s="209" t="str">
        <f t="shared" si="5"/>
        <v/>
      </c>
      <c r="AA50" s="209" t="str">
        <f t="shared" si="6"/>
        <v/>
      </c>
      <c r="AB50" s="200"/>
      <c r="AC50" s="192"/>
    </row>
    <row r="51" spans="1:29" ht="11.4">
      <c r="A51" s="211" t="str">
        <f t="shared" si="7"/>
        <v/>
      </c>
      <c r="B51" s="211"/>
      <c r="C51" s="215"/>
      <c r="D51" s="213" t="str">
        <f t="shared" si="8"/>
        <v/>
      </c>
      <c r="E51" s="213" t="str">
        <f t="shared" si="17"/>
        <v/>
      </c>
      <c r="F51" s="214" t="str">
        <f t="shared" si="10"/>
        <v/>
      </c>
      <c r="G51" s="180"/>
      <c r="H51" s="181" t="str">
        <f t="shared" si="11"/>
        <v/>
      </c>
      <c r="I51" s="227"/>
      <c r="J51" s="227"/>
      <c r="K51" s="227"/>
      <c r="L51" s="227"/>
      <c r="M51" s="210" t="str">
        <f t="shared" si="16"/>
        <v/>
      </c>
      <c r="N51" s="210"/>
      <c r="O51" s="207"/>
      <c r="P51" s="182" t="str">
        <f t="shared" si="0"/>
        <v/>
      </c>
      <c r="Q51" s="183" t="str">
        <f t="shared" si="12"/>
        <v/>
      </c>
      <c r="R51" s="182" t="str">
        <f>IF(M51&lt;&gt;"",IF(#REF!*F51*10=0,"",#REF!*F51*10),"")</f>
        <v/>
      </c>
      <c r="S51" s="184" t="str">
        <f t="shared" si="13"/>
        <v/>
      </c>
      <c r="T51" s="185" t="str">
        <f t="shared" si="1"/>
        <v/>
      </c>
      <c r="U51" s="183" t="str">
        <f t="shared" si="14"/>
        <v/>
      </c>
      <c r="V51" s="186" t="str">
        <f t="shared" si="2"/>
        <v/>
      </c>
      <c r="W51" s="186" t="str">
        <f t="shared" si="3"/>
        <v/>
      </c>
      <c r="X51" s="187" t="str">
        <f t="shared" si="4"/>
        <v/>
      </c>
      <c r="Y51" s="182" t="str">
        <f t="shared" si="15"/>
        <v/>
      </c>
      <c r="Z51" s="209" t="str">
        <f t="shared" si="5"/>
        <v/>
      </c>
      <c r="AA51" s="209" t="str">
        <f t="shared" si="6"/>
        <v/>
      </c>
      <c r="AB51" s="200"/>
      <c r="AC51" s="192"/>
    </row>
    <row r="52" spans="1:29" ht="11.4">
      <c r="A52" s="211" t="str">
        <f t="shared" si="7"/>
        <v/>
      </c>
      <c r="B52" s="211"/>
      <c r="C52" s="215"/>
      <c r="D52" s="213" t="str">
        <f t="shared" si="8"/>
        <v/>
      </c>
      <c r="E52" s="213" t="str">
        <f t="shared" si="17"/>
        <v/>
      </c>
      <c r="F52" s="214" t="str">
        <f t="shared" si="10"/>
        <v/>
      </c>
      <c r="G52" s="180"/>
      <c r="H52" s="181" t="str">
        <f t="shared" si="11"/>
        <v/>
      </c>
      <c r="I52" s="227"/>
      <c r="J52" s="227"/>
      <c r="K52" s="227"/>
      <c r="L52" s="227"/>
      <c r="M52" s="210" t="str">
        <f t="shared" si="16"/>
        <v/>
      </c>
      <c r="N52" s="210"/>
      <c r="O52" s="207"/>
      <c r="P52" s="182" t="str">
        <f t="shared" si="0"/>
        <v/>
      </c>
      <c r="Q52" s="183" t="str">
        <f t="shared" si="12"/>
        <v/>
      </c>
      <c r="R52" s="182" t="str">
        <f>IF(M52&lt;&gt;"",IF(#REF!*F52*10=0,"",#REF!*F52*10),"")</f>
        <v/>
      </c>
      <c r="S52" s="184" t="str">
        <f t="shared" si="13"/>
        <v/>
      </c>
      <c r="T52" s="185" t="str">
        <f t="shared" si="1"/>
        <v/>
      </c>
      <c r="U52" s="183" t="str">
        <f t="shared" si="14"/>
        <v/>
      </c>
      <c r="V52" s="186" t="str">
        <f t="shared" si="2"/>
        <v/>
      </c>
      <c r="W52" s="186" t="str">
        <f t="shared" si="3"/>
        <v/>
      </c>
      <c r="X52" s="187" t="str">
        <f t="shared" si="4"/>
        <v/>
      </c>
      <c r="Y52" s="182" t="str">
        <f t="shared" si="15"/>
        <v/>
      </c>
      <c r="Z52" s="209" t="str">
        <f t="shared" si="5"/>
        <v/>
      </c>
      <c r="AA52" s="209" t="str">
        <f t="shared" si="6"/>
        <v/>
      </c>
      <c r="AB52" s="200"/>
      <c r="AC52" s="192"/>
    </row>
    <row r="53" spans="1:29" ht="11.4">
      <c r="A53" s="211" t="str">
        <f t="shared" si="7"/>
        <v/>
      </c>
      <c r="B53" s="211"/>
      <c r="C53" s="215"/>
      <c r="D53" s="213" t="str">
        <f t="shared" si="8"/>
        <v/>
      </c>
      <c r="E53" s="213" t="str">
        <f t="shared" si="17"/>
        <v/>
      </c>
      <c r="F53" s="214" t="str">
        <f t="shared" si="10"/>
        <v/>
      </c>
      <c r="G53" s="180"/>
      <c r="H53" s="181" t="str">
        <f t="shared" si="11"/>
        <v/>
      </c>
      <c r="I53" s="227"/>
      <c r="J53" s="227"/>
      <c r="K53" s="227"/>
      <c r="L53" s="227"/>
      <c r="M53" s="210" t="str">
        <f t="shared" si="16"/>
        <v/>
      </c>
      <c r="N53" s="210"/>
      <c r="O53" s="207"/>
      <c r="P53" s="182" t="str">
        <f t="shared" si="0"/>
        <v/>
      </c>
      <c r="Q53" s="183" t="str">
        <f t="shared" si="12"/>
        <v/>
      </c>
      <c r="R53" s="182" t="str">
        <f>IF(M53&lt;&gt;"",IF(#REF!*F53*10=0,"",#REF!*F53*10),"")</f>
        <v/>
      </c>
      <c r="S53" s="184" t="str">
        <f t="shared" si="13"/>
        <v/>
      </c>
      <c r="T53" s="185" t="str">
        <f t="shared" si="1"/>
        <v/>
      </c>
      <c r="U53" s="183" t="str">
        <f t="shared" si="14"/>
        <v/>
      </c>
      <c r="V53" s="186" t="str">
        <f t="shared" si="2"/>
        <v/>
      </c>
      <c r="W53" s="186" t="str">
        <f t="shared" si="3"/>
        <v/>
      </c>
      <c r="X53" s="187" t="str">
        <f t="shared" si="4"/>
        <v/>
      </c>
      <c r="Y53" s="182" t="str">
        <f t="shared" si="15"/>
        <v/>
      </c>
      <c r="Z53" s="209" t="str">
        <f t="shared" si="5"/>
        <v/>
      </c>
      <c r="AA53" s="209" t="str">
        <f t="shared" si="6"/>
        <v/>
      </c>
      <c r="AB53" s="200"/>
      <c r="AC53" s="192"/>
    </row>
    <row r="54" spans="1:29" ht="11.4">
      <c r="A54" s="211" t="str">
        <f t="shared" si="7"/>
        <v/>
      </c>
      <c r="B54" s="211"/>
      <c r="C54" s="215"/>
      <c r="D54" s="213" t="str">
        <f t="shared" si="8"/>
        <v/>
      </c>
      <c r="E54" s="213" t="str">
        <f t="shared" si="17"/>
        <v/>
      </c>
      <c r="F54" s="214" t="str">
        <f t="shared" si="10"/>
        <v/>
      </c>
      <c r="G54" s="180"/>
      <c r="H54" s="181" t="str">
        <f t="shared" si="11"/>
        <v/>
      </c>
      <c r="I54" s="227"/>
      <c r="J54" s="227"/>
      <c r="K54" s="227"/>
      <c r="L54" s="227"/>
      <c r="M54" s="210" t="str">
        <f t="shared" si="16"/>
        <v/>
      </c>
      <c r="N54" s="210"/>
      <c r="O54" s="207"/>
      <c r="P54" s="182" t="str">
        <f t="shared" si="0"/>
        <v/>
      </c>
      <c r="Q54" s="183" t="str">
        <f t="shared" si="12"/>
        <v/>
      </c>
      <c r="R54" s="182" t="str">
        <f>IF(M54&lt;&gt;"",IF(#REF!*F54*10=0,"",#REF!*F54*10),"")</f>
        <v/>
      </c>
      <c r="S54" s="184" t="str">
        <f t="shared" si="13"/>
        <v/>
      </c>
      <c r="T54" s="185" t="str">
        <f t="shared" si="1"/>
        <v/>
      </c>
      <c r="U54" s="183" t="str">
        <f t="shared" si="14"/>
        <v/>
      </c>
      <c r="V54" s="186" t="str">
        <f t="shared" si="2"/>
        <v/>
      </c>
      <c r="W54" s="186" t="str">
        <f t="shared" si="3"/>
        <v/>
      </c>
      <c r="X54" s="187" t="str">
        <f t="shared" si="4"/>
        <v/>
      </c>
      <c r="Y54" s="182" t="str">
        <f t="shared" si="15"/>
        <v/>
      </c>
      <c r="Z54" s="209" t="str">
        <f t="shared" si="5"/>
        <v/>
      </c>
      <c r="AA54" s="209" t="str">
        <f t="shared" si="6"/>
        <v/>
      </c>
      <c r="AB54" s="200"/>
      <c r="AC54" s="192"/>
    </row>
    <row r="55" spans="1:29" ht="11.4">
      <c r="A55" s="211" t="str">
        <f t="shared" si="7"/>
        <v/>
      </c>
      <c r="B55" s="211"/>
      <c r="C55" s="215"/>
      <c r="D55" s="213" t="str">
        <f t="shared" si="8"/>
        <v/>
      </c>
      <c r="E55" s="213" t="str">
        <f t="shared" si="17"/>
        <v/>
      </c>
      <c r="F55" s="214" t="str">
        <f t="shared" si="10"/>
        <v/>
      </c>
      <c r="G55" s="180"/>
      <c r="H55" s="181" t="str">
        <f t="shared" si="11"/>
        <v/>
      </c>
      <c r="I55" s="227"/>
      <c r="J55" s="227"/>
      <c r="K55" s="227"/>
      <c r="L55" s="227"/>
      <c r="M55" s="210" t="str">
        <f t="shared" si="16"/>
        <v/>
      </c>
      <c r="N55" s="210"/>
      <c r="O55" s="207"/>
      <c r="P55" s="182" t="str">
        <f t="shared" si="0"/>
        <v/>
      </c>
      <c r="Q55" s="183" t="str">
        <f t="shared" si="12"/>
        <v/>
      </c>
      <c r="R55" s="182" t="str">
        <f>IF(M55&lt;&gt;"",IF(#REF!*F55*10=0,"",#REF!*F55*10),"")</f>
        <v/>
      </c>
      <c r="S55" s="184" t="str">
        <f t="shared" si="13"/>
        <v/>
      </c>
      <c r="T55" s="185" t="str">
        <f t="shared" si="1"/>
        <v/>
      </c>
      <c r="U55" s="183" t="str">
        <f t="shared" si="14"/>
        <v/>
      </c>
      <c r="V55" s="186" t="str">
        <f t="shared" si="2"/>
        <v/>
      </c>
      <c r="W55" s="186" t="str">
        <f t="shared" si="3"/>
        <v/>
      </c>
      <c r="X55" s="187" t="str">
        <f t="shared" si="4"/>
        <v/>
      </c>
      <c r="Y55" s="182" t="str">
        <f t="shared" si="15"/>
        <v/>
      </c>
      <c r="Z55" s="209" t="str">
        <f t="shared" si="5"/>
        <v/>
      </c>
      <c r="AA55" s="209" t="str">
        <f t="shared" si="6"/>
        <v/>
      </c>
      <c r="AB55" s="200"/>
      <c r="AC55" s="192"/>
    </row>
    <row r="56" spans="1:29" ht="11.4">
      <c r="A56" s="211" t="str">
        <f t="shared" si="7"/>
        <v/>
      </c>
      <c r="B56" s="211"/>
      <c r="C56" s="215"/>
      <c r="D56" s="213" t="str">
        <f t="shared" si="8"/>
        <v/>
      </c>
      <c r="E56" s="213" t="str">
        <f t="shared" si="17"/>
        <v/>
      </c>
      <c r="F56" s="214" t="str">
        <f t="shared" si="10"/>
        <v/>
      </c>
      <c r="G56" s="180"/>
      <c r="H56" s="181" t="str">
        <f t="shared" si="11"/>
        <v/>
      </c>
      <c r="I56" s="227"/>
      <c r="J56" s="227"/>
      <c r="K56" s="227"/>
      <c r="L56" s="227"/>
      <c r="M56" s="210" t="str">
        <f t="shared" si="16"/>
        <v/>
      </c>
      <c r="N56" s="210"/>
      <c r="O56" s="207"/>
      <c r="P56" s="182" t="str">
        <f t="shared" si="0"/>
        <v/>
      </c>
      <c r="Q56" s="183" t="str">
        <f t="shared" si="12"/>
        <v/>
      </c>
      <c r="R56" s="182" t="str">
        <f>IF(M56&lt;&gt;"",IF(#REF!*F56*10=0,"",#REF!*F56*10),"")</f>
        <v/>
      </c>
      <c r="S56" s="184" t="str">
        <f t="shared" si="13"/>
        <v/>
      </c>
      <c r="T56" s="185" t="str">
        <f t="shared" si="1"/>
        <v/>
      </c>
      <c r="U56" s="183" t="str">
        <f t="shared" si="14"/>
        <v/>
      </c>
      <c r="V56" s="186" t="str">
        <f t="shared" si="2"/>
        <v/>
      </c>
      <c r="W56" s="186" t="str">
        <f t="shared" si="3"/>
        <v/>
      </c>
      <c r="X56" s="187" t="str">
        <f t="shared" si="4"/>
        <v/>
      </c>
      <c r="Y56" s="182" t="str">
        <f t="shared" si="15"/>
        <v/>
      </c>
      <c r="Z56" s="209" t="str">
        <f t="shared" si="5"/>
        <v/>
      </c>
      <c r="AA56" s="209" t="str">
        <f t="shared" si="6"/>
        <v/>
      </c>
      <c r="AB56" s="200"/>
      <c r="AC56" s="192"/>
    </row>
    <row r="57" spans="1:29" ht="11.4">
      <c r="A57" s="211" t="str">
        <f t="shared" si="7"/>
        <v/>
      </c>
      <c r="B57" s="211"/>
      <c r="C57" s="215"/>
      <c r="D57" s="213" t="str">
        <f t="shared" si="8"/>
        <v/>
      </c>
      <c r="E57" s="213" t="str">
        <f t="shared" si="17"/>
        <v/>
      </c>
      <c r="F57" s="214" t="str">
        <f t="shared" si="10"/>
        <v/>
      </c>
      <c r="G57" s="180"/>
      <c r="H57" s="181" t="str">
        <f t="shared" si="11"/>
        <v/>
      </c>
      <c r="I57" s="227"/>
      <c r="J57" s="227"/>
      <c r="K57" s="227"/>
      <c r="L57" s="227"/>
      <c r="M57" s="210" t="str">
        <f t="shared" si="16"/>
        <v/>
      </c>
      <c r="N57" s="210"/>
      <c r="O57" s="207"/>
      <c r="P57" s="182" t="str">
        <f t="shared" si="0"/>
        <v/>
      </c>
      <c r="Q57" s="183" t="str">
        <f t="shared" si="12"/>
        <v/>
      </c>
      <c r="R57" s="182" t="str">
        <f>IF(M57&lt;&gt;"",IF(#REF!*F57*10=0,"",#REF!*F57*10),"")</f>
        <v/>
      </c>
      <c r="S57" s="184" t="str">
        <f t="shared" si="13"/>
        <v/>
      </c>
      <c r="T57" s="185" t="str">
        <f t="shared" si="1"/>
        <v/>
      </c>
      <c r="U57" s="183" t="str">
        <f t="shared" si="14"/>
        <v/>
      </c>
      <c r="V57" s="186" t="str">
        <f t="shared" si="2"/>
        <v/>
      </c>
      <c r="W57" s="186" t="str">
        <f t="shared" si="3"/>
        <v/>
      </c>
      <c r="X57" s="187" t="str">
        <f t="shared" si="4"/>
        <v/>
      </c>
      <c r="Y57" s="182" t="str">
        <f t="shared" si="15"/>
        <v/>
      </c>
      <c r="Z57" s="209" t="str">
        <f t="shared" si="5"/>
        <v/>
      </c>
      <c r="AA57" s="209" t="str">
        <f t="shared" si="6"/>
        <v/>
      </c>
      <c r="AB57" s="200"/>
      <c r="AC57" s="192"/>
    </row>
    <row r="58" spans="1:29" ht="11.4">
      <c r="A58" s="211" t="str">
        <f t="shared" si="7"/>
        <v/>
      </c>
      <c r="B58" s="211"/>
      <c r="C58" s="215"/>
      <c r="D58" s="213" t="str">
        <f t="shared" si="8"/>
        <v/>
      </c>
      <c r="E58" s="213" t="str">
        <f t="shared" si="17"/>
        <v/>
      </c>
      <c r="F58" s="214" t="str">
        <f t="shared" si="10"/>
        <v/>
      </c>
      <c r="G58" s="180"/>
      <c r="H58" s="181" t="str">
        <f t="shared" si="11"/>
        <v/>
      </c>
      <c r="I58" s="227"/>
      <c r="J58" s="227"/>
      <c r="K58" s="227"/>
      <c r="L58" s="227"/>
      <c r="M58" s="210" t="str">
        <f t="shared" si="16"/>
        <v/>
      </c>
      <c r="N58" s="210"/>
      <c r="O58" s="207"/>
      <c r="P58" s="182" t="str">
        <f t="shared" si="0"/>
        <v/>
      </c>
      <c r="Q58" s="183" t="str">
        <f t="shared" si="12"/>
        <v/>
      </c>
      <c r="R58" s="182" t="str">
        <f>IF(M58&lt;&gt;"",IF(#REF!*F58*10=0,"",#REF!*F58*10),"")</f>
        <v/>
      </c>
      <c r="S58" s="184" t="str">
        <f t="shared" si="13"/>
        <v/>
      </c>
      <c r="T58" s="185" t="str">
        <f t="shared" si="1"/>
        <v/>
      </c>
      <c r="U58" s="183" t="str">
        <f t="shared" si="14"/>
        <v/>
      </c>
      <c r="V58" s="186" t="str">
        <f t="shared" si="2"/>
        <v/>
      </c>
      <c r="W58" s="186" t="str">
        <f t="shared" si="3"/>
        <v/>
      </c>
      <c r="X58" s="187" t="str">
        <f t="shared" si="4"/>
        <v/>
      </c>
      <c r="Y58" s="182" t="str">
        <f t="shared" si="15"/>
        <v/>
      </c>
      <c r="Z58" s="209" t="str">
        <f t="shared" si="5"/>
        <v/>
      </c>
      <c r="AA58" s="209" t="str">
        <f t="shared" si="6"/>
        <v/>
      </c>
      <c r="AB58" s="200"/>
      <c r="AC58" s="192"/>
    </row>
    <row r="59" spans="1:29" ht="11.4">
      <c r="A59" s="211" t="str">
        <f t="shared" si="7"/>
        <v/>
      </c>
      <c r="B59" s="211"/>
      <c r="C59" s="215"/>
      <c r="D59" s="213" t="str">
        <f t="shared" si="8"/>
        <v/>
      </c>
      <c r="E59" s="213" t="str">
        <f t="shared" si="17"/>
        <v/>
      </c>
      <c r="F59" s="214" t="str">
        <f t="shared" si="10"/>
        <v/>
      </c>
      <c r="G59" s="180"/>
      <c r="H59" s="181" t="str">
        <f t="shared" si="11"/>
        <v/>
      </c>
      <c r="I59" s="227"/>
      <c r="J59" s="227"/>
      <c r="K59" s="227"/>
      <c r="L59" s="227"/>
      <c r="M59" s="210" t="str">
        <f t="shared" si="16"/>
        <v/>
      </c>
      <c r="N59" s="210"/>
      <c r="O59" s="207"/>
      <c r="P59" s="182" t="str">
        <f t="shared" si="0"/>
        <v/>
      </c>
      <c r="Q59" s="183" t="str">
        <f t="shared" si="12"/>
        <v/>
      </c>
      <c r="R59" s="182" t="str">
        <f>IF(M59&lt;&gt;"",IF(#REF!*F59*10=0,"",#REF!*F59*10),"")</f>
        <v/>
      </c>
      <c r="S59" s="184" t="str">
        <f t="shared" si="13"/>
        <v/>
      </c>
      <c r="T59" s="185" t="str">
        <f t="shared" si="1"/>
        <v/>
      </c>
      <c r="U59" s="183" t="str">
        <f t="shared" si="14"/>
        <v/>
      </c>
      <c r="V59" s="186" t="str">
        <f t="shared" si="2"/>
        <v/>
      </c>
      <c r="W59" s="186" t="str">
        <f t="shared" si="3"/>
        <v/>
      </c>
      <c r="X59" s="187" t="str">
        <f t="shared" si="4"/>
        <v/>
      </c>
      <c r="Y59" s="182" t="str">
        <f t="shared" si="15"/>
        <v/>
      </c>
      <c r="Z59" s="209" t="str">
        <f t="shared" si="5"/>
        <v/>
      </c>
      <c r="AA59" s="209" t="str">
        <f t="shared" si="6"/>
        <v/>
      </c>
      <c r="AB59" s="200"/>
      <c r="AC59" s="192"/>
    </row>
    <row r="60" spans="1:29" ht="11.4">
      <c r="A60" s="211" t="str">
        <f t="shared" si="7"/>
        <v/>
      </c>
      <c r="B60" s="211"/>
      <c r="C60" s="215"/>
      <c r="D60" s="213" t="str">
        <f t="shared" si="8"/>
        <v/>
      </c>
      <c r="E60" s="213" t="str">
        <f t="shared" si="17"/>
        <v/>
      </c>
      <c r="F60" s="214" t="str">
        <f t="shared" si="10"/>
        <v/>
      </c>
      <c r="G60" s="180"/>
      <c r="H60" s="181" t="str">
        <f t="shared" si="11"/>
        <v/>
      </c>
      <c r="I60" s="227"/>
      <c r="J60" s="227"/>
      <c r="K60" s="227"/>
      <c r="L60" s="227"/>
      <c r="M60" s="210" t="str">
        <f t="shared" si="16"/>
        <v/>
      </c>
      <c r="N60" s="210"/>
      <c r="O60" s="207"/>
      <c r="P60" s="182" t="str">
        <f t="shared" si="0"/>
        <v/>
      </c>
      <c r="Q60" s="183" t="str">
        <f t="shared" si="12"/>
        <v/>
      </c>
      <c r="R60" s="182" t="str">
        <f>IF(M60&lt;&gt;"",IF(#REF!*F60*10=0,"",#REF!*F60*10),"")</f>
        <v/>
      </c>
      <c r="S60" s="184" t="str">
        <f t="shared" si="13"/>
        <v/>
      </c>
      <c r="T60" s="185" t="str">
        <f t="shared" si="1"/>
        <v/>
      </c>
      <c r="U60" s="183" t="str">
        <f t="shared" si="14"/>
        <v/>
      </c>
      <c r="V60" s="186" t="str">
        <f t="shared" si="2"/>
        <v/>
      </c>
      <c r="W60" s="186" t="str">
        <f t="shared" si="3"/>
        <v/>
      </c>
      <c r="X60" s="187" t="str">
        <f t="shared" si="4"/>
        <v/>
      </c>
      <c r="Y60" s="182" t="str">
        <f t="shared" si="15"/>
        <v/>
      </c>
      <c r="Z60" s="209" t="str">
        <f t="shared" si="5"/>
        <v/>
      </c>
      <c r="AA60" s="209" t="str">
        <f t="shared" si="6"/>
        <v/>
      </c>
      <c r="AB60" s="200"/>
      <c r="AC60" s="192"/>
    </row>
    <row r="61" spans="1:29" ht="11.4">
      <c r="A61" s="211" t="str">
        <f t="shared" si="7"/>
        <v/>
      </c>
      <c r="B61" s="211"/>
      <c r="C61" s="215"/>
      <c r="D61" s="213" t="str">
        <f t="shared" si="8"/>
        <v/>
      </c>
      <c r="E61" s="213" t="str">
        <f t="shared" si="17"/>
        <v/>
      </c>
      <c r="F61" s="214" t="str">
        <f t="shared" si="10"/>
        <v/>
      </c>
      <c r="G61" s="180"/>
      <c r="H61" s="181" t="str">
        <f t="shared" si="11"/>
        <v/>
      </c>
      <c r="I61" s="227"/>
      <c r="J61" s="227"/>
      <c r="K61" s="227"/>
      <c r="L61" s="227"/>
      <c r="M61" s="210" t="str">
        <f t="shared" si="16"/>
        <v/>
      </c>
      <c r="N61" s="210"/>
      <c r="O61" s="207"/>
      <c r="P61" s="182" t="str">
        <f t="shared" si="0"/>
        <v/>
      </c>
      <c r="Q61" s="183" t="str">
        <f t="shared" si="12"/>
        <v/>
      </c>
      <c r="R61" s="182" t="str">
        <f>IF(M61&lt;&gt;"",IF(#REF!*F61*10=0,"",#REF!*F61*10),"")</f>
        <v/>
      </c>
      <c r="S61" s="184" t="str">
        <f t="shared" si="13"/>
        <v/>
      </c>
      <c r="T61" s="185" t="str">
        <f t="shared" si="1"/>
        <v/>
      </c>
      <c r="U61" s="183" t="str">
        <f t="shared" si="14"/>
        <v/>
      </c>
      <c r="V61" s="186" t="str">
        <f t="shared" si="2"/>
        <v/>
      </c>
      <c r="W61" s="186" t="str">
        <f t="shared" si="3"/>
        <v/>
      </c>
      <c r="X61" s="187" t="str">
        <f t="shared" si="4"/>
        <v/>
      </c>
      <c r="Y61" s="182" t="str">
        <f t="shared" si="15"/>
        <v/>
      </c>
      <c r="Z61" s="209" t="str">
        <f t="shared" si="5"/>
        <v/>
      </c>
      <c r="AA61" s="209" t="str">
        <f t="shared" si="6"/>
        <v/>
      </c>
      <c r="AB61" s="200"/>
      <c r="AC61" s="192"/>
    </row>
    <row r="62" spans="1:29" ht="11.4">
      <c r="A62" s="211" t="str">
        <f t="shared" si="7"/>
        <v/>
      </c>
      <c r="B62" s="211"/>
      <c r="C62" s="215"/>
      <c r="D62" s="213" t="str">
        <f t="shared" si="8"/>
        <v/>
      </c>
      <c r="E62" s="213" t="str">
        <f t="shared" si="17"/>
        <v/>
      </c>
      <c r="F62" s="214" t="str">
        <f t="shared" si="10"/>
        <v/>
      </c>
      <c r="G62" s="180"/>
      <c r="H62" s="181" t="str">
        <f t="shared" si="11"/>
        <v/>
      </c>
      <c r="I62" s="227"/>
      <c r="J62" s="227"/>
      <c r="K62" s="227"/>
      <c r="L62" s="227"/>
      <c r="M62" s="210" t="str">
        <f t="shared" si="16"/>
        <v/>
      </c>
      <c r="N62" s="210"/>
      <c r="O62" s="207"/>
      <c r="P62" s="182" t="str">
        <f t="shared" si="0"/>
        <v/>
      </c>
      <c r="Q62" s="183" t="str">
        <f t="shared" si="12"/>
        <v/>
      </c>
      <c r="R62" s="182" t="str">
        <f>IF(M62&lt;&gt;"",IF(#REF!*F62*10=0,"",#REF!*F62*10),"")</f>
        <v/>
      </c>
      <c r="S62" s="184" t="str">
        <f t="shared" si="13"/>
        <v/>
      </c>
      <c r="T62" s="185" t="str">
        <f t="shared" si="1"/>
        <v/>
      </c>
      <c r="U62" s="183" t="str">
        <f t="shared" si="14"/>
        <v/>
      </c>
      <c r="V62" s="186" t="str">
        <f t="shared" si="2"/>
        <v/>
      </c>
      <c r="W62" s="186" t="str">
        <f t="shared" si="3"/>
        <v/>
      </c>
      <c r="X62" s="187" t="str">
        <f t="shared" si="4"/>
        <v/>
      </c>
      <c r="Y62" s="182" t="str">
        <f t="shared" si="15"/>
        <v/>
      </c>
      <c r="Z62" s="209" t="str">
        <f t="shared" si="5"/>
        <v/>
      </c>
      <c r="AA62" s="209" t="str">
        <f t="shared" si="6"/>
        <v/>
      </c>
      <c r="AB62" s="200"/>
      <c r="AC62" s="192"/>
    </row>
    <row r="63" spans="1:29" ht="11.4">
      <c r="A63" s="211" t="str">
        <f t="shared" si="7"/>
        <v/>
      </c>
      <c r="B63" s="211"/>
      <c r="C63" s="215"/>
      <c r="D63" s="213" t="str">
        <f t="shared" si="8"/>
        <v/>
      </c>
      <c r="E63" s="213" t="str">
        <f t="shared" si="17"/>
        <v/>
      </c>
      <c r="F63" s="214" t="str">
        <f t="shared" si="10"/>
        <v/>
      </c>
      <c r="G63" s="180"/>
      <c r="H63" s="181" t="str">
        <f t="shared" si="11"/>
        <v/>
      </c>
      <c r="I63" s="227"/>
      <c r="J63" s="227"/>
      <c r="K63" s="227"/>
      <c r="L63" s="227"/>
      <c r="M63" s="210" t="str">
        <f t="shared" si="16"/>
        <v/>
      </c>
      <c r="N63" s="210"/>
      <c r="O63" s="207"/>
      <c r="P63" s="182" t="str">
        <f t="shared" si="0"/>
        <v/>
      </c>
      <c r="Q63" s="183" t="str">
        <f t="shared" si="12"/>
        <v/>
      </c>
      <c r="R63" s="182" t="str">
        <f>IF(M63&lt;&gt;"",IF(#REF!*F63*10=0,"",#REF!*F63*10),"")</f>
        <v/>
      </c>
      <c r="S63" s="184" t="str">
        <f t="shared" si="13"/>
        <v/>
      </c>
      <c r="T63" s="185" t="str">
        <f t="shared" si="1"/>
        <v/>
      </c>
      <c r="U63" s="183" t="str">
        <f t="shared" si="14"/>
        <v/>
      </c>
      <c r="V63" s="186" t="str">
        <f t="shared" si="2"/>
        <v/>
      </c>
      <c r="W63" s="186" t="str">
        <f t="shared" si="3"/>
        <v/>
      </c>
      <c r="X63" s="187" t="str">
        <f t="shared" si="4"/>
        <v/>
      </c>
      <c r="Y63" s="182" t="str">
        <f t="shared" si="15"/>
        <v/>
      </c>
      <c r="Z63" s="209" t="str">
        <f t="shared" si="5"/>
        <v/>
      </c>
      <c r="AA63" s="209" t="str">
        <f t="shared" si="6"/>
        <v/>
      </c>
      <c r="AB63" s="200"/>
      <c r="AC63" s="192"/>
    </row>
    <row r="64" spans="1:29" ht="11.4">
      <c r="A64" s="211" t="str">
        <f t="shared" si="7"/>
        <v/>
      </c>
      <c r="B64" s="211"/>
      <c r="C64" s="215"/>
      <c r="D64" s="213" t="str">
        <f t="shared" si="8"/>
        <v/>
      </c>
      <c r="E64" s="213" t="str">
        <f t="shared" si="17"/>
        <v/>
      </c>
      <c r="F64" s="214" t="str">
        <f t="shared" si="10"/>
        <v/>
      </c>
      <c r="G64" s="180"/>
      <c r="H64" s="181" t="str">
        <f t="shared" si="11"/>
        <v/>
      </c>
      <c r="I64" s="227"/>
      <c r="J64" s="227"/>
      <c r="K64" s="227"/>
      <c r="L64" s="227"/>
      <c r="M64" s="210" t="str">
        <f t="shared" si="16"/>
        <v/>
      </c>
      <c r="N64" s="210"/>
      <c r="O64" s="207"/>
      <c r="P64" s="182" t="str">
        <f t="shared" si="0"/>
        <v/>
      </c>
      <c r="Q64" s="183" t="str">
        <f t="shared" si="12"/>
        <v/>
      </c>
      <c r="R64" s="182" t="str">
        <f>IF(M64&lt;&gt;"",IF(#REF!*F64*10=0,"",#REF!*F64*10),"")</f>
        <v/>
      </c>
      <c r="S64" s="184" t="str">
        <f t="shared" si="13"/>
        <v/>
      </c>
      <c r="T64" s="185" t="str">
        <f t="shared" si="1"/>
        <v/>
      </c>
      <c r="U64" s="183" t="str">
        <f t="shared" si="14"/>
        <v/>
      </c>
      <c r="V64" s="186" t="str">
        <f t="shared" si="2"/>
        <v/>
      </c>
      <c r="W64" s="186" t="str">
        <f t="shared" si="3"/>
        <v/>
      </c>
      <c r="X64" s="187" t="str">
        <f t="shared" si="4"/>
        <v/>
      </c>
      <c r="Y64" s="182" t="str">
        <f t="shared" si="15"/>
        <v/>
      </c>
      <c r="Z64" s="209" t="str">
        <f t="shared" si="5"/>
        <v/>
      </c>
      <c r="AA64" s="209" t="str">
        <f t="shared" si="6"/>
        <v/>
      </c>
      <c r="AB64" s="200"/>
      <c r="AC64" s="192"/>
    </row>
    <row r="65" spans="1:29" ht="11.4">
      <c r="A65" s="211" t="str">
        <f t="shared" si="7"/>
        <v/>
      </c>
      <c r="B65" s="211"/>
      <c r="C65" s="215"/>
      <c r="D65" s="213" t="str">
        <f t="shared" si="8"/>
        <v/>
      </c>
      <c r="E65" s="213" t="str">
        <f t="shared" si="17"/>
        <v/>
      </c>
      <c r="F65" s="214" t="str">
        <f t="shared" si="10"/>
        <v/>
      </c>
      <c r="G65" s="180"/>
      <c r="H65" s="181" t="str">
        <f t="shared" si="11"/>
        <v/>
      </c>
      <c r="I65" s="227"/>
      <c r="J65" s="227"/>
      <c r="K65" s="227"/>
      <c r="L65" s="227"/>
      <c r="M65" s="210" t="str">
        <f t="shared" si="16"/>
        <v/>
      </c>
      <c r="N65" s="210"/>
      <c r="O65" s="207"/>
      <c r="P65" s="182" t="str">
        <f t="shared" si="0"/>
        <v/>
      </c>
      <c r="Q65" s="183" t="str">
        <f t="shared" si="12"/>
        <v/>
      </c>
      <c r="R65" s="182" t="str">
        <f>IF(M65&lt;&gt;"",IF(#REF!*F65*10=0,"",#REF!*F65*10),"")</f>
        <v/>
      </c>
      <c r="S65" s="184" t="str">
        <f t="shared" si="13"/>
        <v/>
      </c>
      <c r="T65" s="185" t="str">
        <f t="shared" si="1"/>
        <v/>
      </c>
      <c r="U65" s="183" t="str">
        <f t="shared" si="14"/>
        <v/>
      </c>
      <c r="V65" s="186" t="str">
        <f t="shared" si="2"/>
        <v/>
      </c>
      <c r="W65" s="186" t="str">
        <f t="shared" si="3"/>
        <v/>
      </c>
      <c r="X65" s="187" t="str">
        <f t="shared" si="4"/>
        <v/>
      </c>
      <c r="Y65" s="182" t="str">
        <f t="shared" si="15"/>
        <v/>
      </c>
      <c r="Z65" s="209" t="str">
        <f t="shared" si="5"/>
        <v/>
      </c>
      <c r="AA65" s="209" t="str">
        <f t="shared" si="6"/>
        <v/>
      </c>
      <c r="AB65" s="200"/>
      <c r="AC65" s="192"/>
    </row>
    <row r="66" spans="1:29" ht="11.4">
      <c r="A66" s="211" t="str">
        <f t="shared" si="7"/>
        <v/>
      </c>
      <c r="B66" s="211"/>
      <c r="C66" s="215"/>
      <c r="D66" s="213" t="str">
        <f t="shared" si="8"/>
        <v/>
      </c>
      <c r="E66" s="213" t="str">
        <f t="shared" si="17"/>
        <v/>
      </c>
      <c r="F66" s="214" t="str">
        <f t="shared" si="10"/>
        <v/>
      </c>
      <c r="G66" s="180"/>
      <c r="H66" s="181" t="str">
        <f t="shared" si="11"/>
        <v/>
      </c>
      <c r="I66" s="227"/>
      <c r="J66" s="227"/>
      <c r="K66" s="227"/>
      <c r="L66" s="227"/>
      <c r="M66" s="210" t="str">
        <f t="shared" si="16"/>
        <v/>
      </c>
      <c r="N66" s="210"/>
      <c r="O66" s="207"/>
      <c r="P66" s="182" t="str">
        <f t="shared" si="0"/>
        <v/>
      </c>
      <c r="Q66" s="183" t="str">
        <f t="shared" si="12"/>
        <v/>
      </c>
      <c r="R66" s="182" t="str">
        <f>IF(M66&lt;&gt;"",IF(#REF!*F66*10=0,"",#REF!*F66*10),"")</f>
        <v/>
      </c>
      <c r="S66" s="184" t="str">
        <f t="shared" si="13"/>
        <v/>
      </c>
      <c r="T66" s="185" t="str">
        <f t="shared" si="1"/>
        <v/>
      </c>
      <c r="U66" s="183" t="str">
        <f t="shared" si="14"/>
        <v/>
      </c>
      <c r="V66" s="186" t="str">
        <f t="shared" si="2"/>
        <v/>
      </c>
      <c r="W66" s="186" t="str">
        <f t="shared" si="3"/>
        <v/>
      </c>
      <c r="X66" s="187" t="str">
        <f t="shared" si="4"/>
        <v/>
      </c>
      <c r="Y66" s="182" t="str">
        <f t="shared" si="15"/>
        <v/>
      </c>
      <c r="Z66" s="209" t="str">
        <f t="shared" si="5"/>
        <v/>
      </c>
      <c r="AA66" s="209" t="str">
        <f t="shared" si="6"/>
        <v/>
      </c>
      <c r="AB66" s="200"/>
      <c r="AC66" s="192"/>
    </row>
    <row r="67" spans="1:29" ht="11.4">
      <c r="A67" s="211" t="str">
        <f t="shared" si="7"/>
        <v/>
      </c>
      <c r="B67" s="211"/>
      <c r="C67" s="215"/>
      <c r="D67" s="213" t="str">
        <f t="shared" si="8"/>
        <v/>
      </c>
      <c r="E67" s="213" t="str">
        <f t="shared" si="17"/>
        <v/>
      </c>
      <c r="F67" s="214" t="str">
        <f t="shared" si="10"/>
        <v/>
      </c>
      <c r="G67" s="180"/>
      <c r="H67" s="181" t="str">
        <f t="shared" si="11"/>
        <v/>
      </c>
      <c r="I67" s="227"/>
      <c r="J67" s="227"/>
      <c r="K67" s="227"/>
      <c r="L67" s="227"/>
      <c r="M67" s="210" t="str">
        <f t="shared" si="16"/>
        <v/>
      </c>
      <c r="N67" s="210"/>
      <c r="O67" s="207"/>
      <c r="P67" s="182" t="str">
        <f t="shared" si="0"/>
        <v/>
      </c>
      <c r="Q67" s="183" t="str">
        <f t="shared" si="12"/>
        <v/>
      </c>
      <c r="R67" s="182" t="str">
        <f>IF(M67&lt;&gt;"",IF(#REF!*F67*10=0,"",#REF!*F67*10),"")</f>
        <v/>
      </c>
      <c r="S67" s="184" t="str">
        <f t="shared" si="13"/>
        <v/>
      </c>
      <c r="T67" s="185" t="str">
        <f t="shared" si="1"/>
        <v/>
      </c>
      <c r="U67" s="183" t="str">
        <f t="shared" si="14"/>
        <v/>
      </c>
      <c r="V67" s="186" t="str">
        <f t="shared" si="2"/>
        <v/>
      </c>
      <c r="W67" s="186" t="str">
        <f t="shared" si="3"/>
        <v/>
      </c>
      <c r="X67" s="187" t="str">
        <f t="shared" si="4"/>
        <v/>
      </c>
      <c r="Y67" s="182" t="str">
        <f t="shared" si="15"/>
        <v/>
      </c>
      <c r="Z67" s="209" t="str">
        <f t="shared" si="5"/>
        <v/>
      </c>
      <c r="AA67" s="209" t="str">
        <f t="shared" si="6"/>
        <v/>
      </c>
      <c r="AB67" s="200"/>
      <c r="AC67" s="192"/>
    </row>
    <row r="68" spans="1:29" ht="11.4">
      <c r="A68" s="211" t="str">
        <f t="shared" si="7"/>
        <v/>
      </c>
      <c r="B68" s="211"/>
      <c r="C68" s="215"/>
      <c r="D68" s="213" t="str">
        <f t="shared" si="8"/>
        <v/>
      </c>
      <c r="E68" s="213" t="str">
        <f t="shared" si="17"/>
        <v/>
      </c>
      <c r="F68" s="214" t="str">
        <f t="shared" si="10"/>
        <v/>
      </c>
      <c r="G68" s="180"/>
      <c r="H68" s="181" t="str">
        <f t="shared" si="11"/>
        <v/>
      </c>
      <c r="I68" s="227"/>
      <c r="J68" s="227"/>
      <c r="K68" s="227"/>
      <c r="L68" s="227"/>
      <c r="M68" s="210" t="str">
        <f t="shared" si="16"/>
        <v/>
      </c>
      <c r="N68" s="210"/>
      <c r="O68" s="207"/>
      <c r="P68" s="182" t="str">
        <f t="shared" si="0"/>
        <v/>
      </c>
      <c r="Q68" s="183" t="str">
        <f t="shared" si="12"/>
        <v/>
      </c>
      <c r="R68" s="182" t="str">
        <f>IF(M68&lt;&gt;"",IF(#REF!*F68*10=0,"",#REF!*F68*10),"")</f>
        <v/>
      </c>
      <c r="S68" s="184" t="str">
        <f t="shared" si="13"/>
        <v/>
      </c>
      <c r="T68" s="185" t="str">
        <f t="shared" si="1"/>
        <v/>
      </c>
      <c r="U68" s="183" t="str">
        <f t="shared" si="14"/>
        <v/>
      </c>
      <c r="V68" s="186" t="str">
        <f t="shared" si="2"/>
        <v/>
      </c>
      <c r="W68" s="186" t="str">
        <f t="shared" si="3"/>
        <v/>
      </c>
      <c r="X68" s="187" t="str">
        <f t="shared" si="4"/>
        <v/>
      </c>
      <c r="Y68" s="182" t="str">
        <f t="shared" si="15"/>
        <v/>
      </c>
      <c r="Z68" s="209" t="str">
        <f t="shared" si="5"/>
        <v/>
      </c>
      <c r="AA68" s="209" t="str">
        <f t="shared" si="6"/>
        <v/>
      </c>
      <c r="AB68" s="200"/>
      <c r="AC68" s="192"/>
    </row>
    <row r="69" spans="1:29" ht="11.4">
      <c r="A69" s="211" t="str">
        <f t="shared" si="7"/>
        <v/>
      </c>
      <c r="B69" s="211"/>
      <c r="C69" s="215"/>
      <c r="D69" s="213" t="str">
        <f t="shared" si="8"/>
        <v/>
      </c>
      <c r="E69" s="213" t="str">
        <f t="shared" si="17"/>
        <v/>
      </c>
      <c r="F69" s="214" t="str">
        <f t="shared" si="10"/>
        <v/>
      </c>
      <c r="G69" s="180"/>
      <c r="H69" s="181" t="str">
        <f t="shared" si="11"/>
        <v/>
      </c>
      <c r="I69" s="227"/>
      <c r="J69" s="227"/>
      <c r="K69" s="227"/>
      <c r="L69" s="227"/>
      <c r="M69" s="210" t="str">
        <f t="shared" si="16"/>
        <v/>
      </c>
      <c r="N69" s="210"/>
      <c r="O69" s="207"/>
      <c r="P69" s="182" t="str">
        <f t="shared" si="0"/>
        <v/>
      </c>
      <c r="Q69" s="183" t="str">
        <f t="shared" si="12"/>
        <v/>
      </c>
      <c r="R69" s="182" t="str">
        <f>IF(M69&lt;&gt;"",IF(#REF!*F69*10=0,"",#REF!*F69*10),"")</f>
        <v/>
      </c>
      <c r="S69" s="184" t="str">
        <f t="shared" si="13"/>
        <v/>
      </c>
      <c r="T69" s="185" t="str">
        <f t="shared" si="1"/>
        <v/>
      </c>
      <c r="U69" s="183" t="str">
        <f t="shared" si="14"/>
        <v/>
      </c>
      <c r="V69" s="186" t="str">
        <f t="shared" si="2"/>
        <v/>
      </c>
      <c r="W69" s="186" t="str">
        <f t="shared" si="3"/>
        <v/>
      </c>
      <c r="X69" s="187" t="str">
        <f t="shared" si="4"/>
        <v/>
      </c>
      <c r="Y69" s="182" t="str">
        <f t="shared" si="15"/>
        <v/>
      </c>
      <c r="Z69" s="209" t="str">
        <f t="shared" si="5"/>
        <v/>
      </c>
      <c r="AA69" s="209" t="str">
        <f t="shared" si="6"/>
        <v/>
      </c>
      <c r="AB69" s="200"/>
      <c r="AC69" s="192"/>
    </row>
    <row r="70" spans="1:29" ht="11.4">
      <c r="A70" s="211" t="str">
        <f t="shared" si="7"/>
        <v/>
      </c>
      <c r="B70" s="211"/>
      <c r="C70" s="215"/>
      <c r="D70" s="213" t="str">
        <f t="shared" si="8"/>
        <v/>
      </c>
      <c r="E70" s="213" t="str">
        <f t="shared" si="17"/>
        <v/>
      </c>
      <c r="F70" s="214" t="str">
        <f t="shared" si="10"/>
        <v/>
      </c>
      <c r="G70" s="180"/>
      <c r="H70" s="181" t="str">
        <f t="shared" si="11"/>
        <v/>
      </c>
      <c r="I70" s="227"/>
      <c r="J70" s="227"/>
      <c r="K70" s="227"/>
      <c r="L70" s="227"/>
      <c r="M70" s="210" t="str">
        <f t="shared" si="16"/>
        <v/>
      </c>
      <c r="N70" s="210"/>
      <c r="O70" s="207"/>
      <c r="P70" s="182" t="str">
        <f t="shared" si="0"/>
        <v/>
      </c>
      <c r="Q70" s="183" t="str">
        <f t="shared" si="12"/>
        <v/>
      </c>
      <c r="R70" s="182" t="str">
        <f>IF(M70&lt;&gt;"",IF(#REF!*F70*10=0,"",#REF!*F70*10),"")</f>
        <v/>
      </c>
      <c r="S70" s="184" t="str">
        <f t="shared" si="13"/>
        <v/>
      </c>
      <c r="T70" s="185" t="str">
        <f t="shared" si="1"/>
        <v/>
      </c>
      <c r="U70" s="183" t="str">
        <f t="shared" si="14"/>
        <v/>
      </c>
      <c r="V70" s="186" t="str">
        <f t="shared" si="2"/>
        <v/>
      </c>
      <c r="W70" s="186" t="str">
        <f t="shared" si="3"/>
        <v/>
      </c>
      <c r="X70" s="187" t="str">
        <f t="shared" si="4"/>
        <v/>
      </c>
      <c r="Y70" s="182" t="str">
        <f t="shared" si="15"/>
        <v/>
      </c>
      <c r="Z70" s="209" t="str">
        <f t="shared" si="5"/>
        <v/>
      </c>
      <c r="AA70" s="209" t="str">
        <f t="shared" si="6"/>
        <v/>
      </c>
      <c r="AB70" s="200"/>
      <c r="AC70" s="192"/>
    </row>
    <row r="71" spans="1:29" ht="11.4">
      <c r="A71" s="211" t="str">
        <f t="shared" si="7"/>
        <v/>
      </c>
      <c r="B71" s="211"/>
      <c r="C71" s="215"/>
      <c r="D71" s="213" t="str">
        <f t="shared" si="8"/>
        <v/>
      </c>
      <c r="E71" s="213" t="str">
        <f t="shared" si="17"/>
        <v/>
      </c>
      <c r="F71" s="214" t="str">
        <f t="shared" si="10"/>
        <v/>
      </c>
      <c r="G71" s="180"/>
      <c r="H71" s="181" t="str">
        <f t="shared" si="11"/>
        <v/>
      </c>
      <c r="I71" s="227"/>
      <c r="J71" s="227"/>
      <c r="K71" s="227"/>
      <c r="L71" s="227"/>
      <c r="M71" s="210" t="str">
        <f t="shared" si="16"/>
        <v/>
      </c>
      <c r="N71" s="210"/>
      <c r="O71" s="207"/>
      <c r="P71" s="182" t="str">
        <f t="shared" si="0"/>
        <v/>
      </c>
      <c r="Q71" s="183" t="str">
        <f t="shared" si="12"/>
        <v/>
      </c>
      <c r="R71" s="182" t="str">
        <f>IF(M71&lt;&gt;"",IF(#REF!*F71*10=0,"",#REF!*F71*10),"")</f>
        <v/>
      </c>
      <c r="S71" s="184" t="str">
        <f t="shared" si="13"/>
        <v/>
      </c>
      <c r="T71" s="185" t="str">
        <f t="shared" si="1"/>
        <v/>
      </c>
      <c r="U71" s="183" t="str">
        <f t="shared" si="14"/>
        <v/>
      </c>
      <c r="V71" s="186" t="str">
        <f t="shared" si="2"/>
        <v/>
      </c>
      <c r="W71" s="186" t="str">
        <f t="shared" si="3"/>
        <v/>
      </c>
      <c r="X71" s="187" t="str">
        <f t="shared" si="4"/>
        <v/>
      </c>
      <c r="Y71" s="182" t="str">
        <f t="shared" si="15"/>
        <v/>
      </c>
      <c r="Z71" s="209" t="str">
        <f t="shared" si="5"/>
        <v/>
      </c>
      <c r="AA71" s="209" t="str">
        <f t="shared" si="6"/>
        <v/>
      </c>
      <c r="AB71" s="200"/>
      <c r="AC71" s="192"/>
    </row>
    <row r="72" spans="1:29" ht="11.4">
      <c r="A72" s="211" t="str">
        <f t="shared" si="7"/>
        <v/>
      </c>
      <c r="B72" s="211"/>
      <c r="C72" s="215"/>
      <c r="D72" s="213" t="str">
        <f t="shared" si="8"/>
        <v/>
      </c>
      <c r="E72" s="213" t="str">
        <f t="shared" si="17"/>
        <v/>
      </c>
      <c r="F72" s="214" t="str">
        <f t="shared" si="10"/>
        <v/>
      </c>
      <c r="G72" s="180"/>
      <c r="H72" s="181" t="str">
        <f t="shared" si="11"/>
        <v/>
      </c>
      <c r="I72" s="227"/>
      <c r="J72" s="227"/>
      <c r="K72" s="227"/>
      <c r="L72" s="227"/>
      <c r="M72" s="210" t="str">
        <f t="shared" si="16"/>
        <v/>
      </c>
      <c r="N72" s="210"/>
      <c r="O72" s="207"/>
      <c r="P72" s="182" t="str">
        <f t="shared" si="0"/>
        <v/>
      </c>
      <c r="Q72" s="183" t="str">
        <f t="shared" si="12"/>
        <v/>
      </c>
      <c r="R72" s="182" t="str">
        <f>IF(M72&lt;&gt;"",IF(#REF!*F72*10=0,"",#REF!*F72*10),"")</f>
        <v/>
      </c>
      <c r="S72" s="184" t="str">
        <f t="shared" si="13"/>
        <v/>
      </c>
      <c r="T72" s="185" t="str">
        <f t="shared" si="1"/>
        <v/>
      </c>
      <c r="U72" s="183" t="str">
        <f t="shared" si="14"/>
        <v/>
      </c>
      <c r="V72" s="186" t="str">
        <f t="shared" si="2"/>
        <v/>
      </c>
      <c r="W72" s="186" t="str">
        <f t="shared" si="3"/>
        <v/>
      </c>
      <c r="X72" s="187" t="str">
        <f t="shared" si="4"/>
        <v/>
      </c>
      <c r="Y72" s="182" t="str">
        <f t="shared" si="15"/>
        <v/>
      </c>
      <c r="Z72" s="209" t="str">
        <f t="shared" si="5"/>
        <v/>
      </c>
      <c r="AA72" s="209" t="str">
        <f t="shared" si="6"/>
        <v/>
      </c>
      <c r="AB72" s="200"/>
      <c r="AC72" s="192"/>
    </row>
    <row r="73" spans="1:29" ht="11.4">
      <c r="A73" s="211" t="str">
        <f t="shared" si="7"/>
        <v/>
      </c>
      <c r="B73" s="211"/>
      <c r="C73" s="215"/>
      <c r="D73" s="213" t="str">
        <f t="shared" si="8"/>
        <v/>
      </c>
      <c r="E73" s="213" t="str">
        <f t="shared" si="17"/>
        <v/>
      </c>
      <c r="F73" s="214" t="str">
        <f t="shared" si="10"/>
        <v/>
      </c>
      <c r="G73" s="180"/>
      <c r="H73" s="181" t="str">
        <f t="shared" si="11"/>
        <v/>
      </c>
      <c r="I73" s="227"/>
      <c r="J73" s="227"/>
      <c r="K73" s="227"/>
      <c r="L73" s="227"/>
      <c r="M73" s="210" t="str">
        <f t="shared" si="16"/>
        <v/>
      </c>
      <c r="N73" s="210"/>
      <c r="O73" s="207"/>
      <c r="P73" s="182" t="str">
        <f t="shared" si="0"/>
        <v/>
      </c>
      <c r="Q73" s="183" t="str">
        <f t="shared" si="12"/>
        <v/>
      </c>
      <c r="R73" s="182" t="str">
        <f>IF(M73&lt;&gt;"",IF(#REF!*F73*10=0,"",#REF!*F73*10),"")</f>
        <v/>
      </c>
      <c r="S73" s="184" t="str">
        <f t="shared" si="13"/>
        <v/>
      </c>
      <c r="T73" s="185" t="str">
        <f t="shared" si="1"/>
        <v/>
      </c>
      <c r="U73" s="183" t="str">
        <f t="shared" si="14"/>
        <v/>
      </c>
      <c r="V73" s="186" t="str">
        <f t="shared" si="2"/>
        <v/>
      </c>
      <c r="W73" s="186" t="str">
        <f t="shared" si="3"/>
        <v/>
      </c>
      <c r="X73" s="187" t="str">
        <f t="shared" si="4"/>
        <v/>
      </c>
      <c r="Y73" s="182" t="str">
        <f t="shared" si="15"/>
        <v/>
      </c>
      <c r="Z73" s="209" t="str">
        <f t="shared" si="5"/>
        <v/>
      </c>
      <c r="AA73" s="209" t="str">
        <f t="shared" si="6"/>
        <v/>
      </c>
      <c r="AB73" s="200"/>
      <c r="AC73" s="192"/>
    </row>
    <row r="74" spans="1:29" ht="11.4">
      <c r="A74" s="211" t="str">
        <f t="shared" si="7"/>
        <v/>
      </c>
      <c r="B74" s="211"/>
      <c r="C74" s="215"/>
      <c r="D74" s="213" t="str">
        <f t="shared" si="8"/>
        <v/>
      </c>
      <c r="E74" s="213" t="str">
        <f t="shared" si="17"/>
        <v/>
      </c>
      <c r="F74" s="214" t="str">
        <f t="shared" si="10"/>
        <v/>
      </c>
      <c r="G74" s="180"/>
      <c r="H74" s="181" t="str">
        <f t="shared" si="11"/>
        <v/>
      </c>
      <c r="I74" s="227"/>
      <c r="J74" s="227"/>
      <c r="K74" s="227"/>
      <c r="L74" s="227"/>
      <c r="M74" s="210" t="str">
        <f t="shared" si="16"/>
        <v/>
      </c>
      <c r="N74" s="210"/>
      <c r="O74" s="207"/>
      <c r="P74" s="182" t="str">
        <f t="shared" si="0"/>
        <v/>
      </c>
      <c r="Q74" s="183" t="str">
        <f t="shared" si="12"/>
        <v/>
      </c>
      <c r="R74" s="182" t="str">
        <f>IF(M74&lt;&gt;"",IF(#REF!*F74*10=0,"",#REF!*F74*10),"")</f>
        <v/>
      </c>
      <c r="S74" s="184" t="str">
        <f t="shared" si="13"/>
        <v/>
      </c>
      <c r="T74" s="185" t="str">
        <f t="shared" si="1"/>
        <v/>
      </c>
      <c r="U74" s="183" t="str">
        <f t="shared" si="14"/>
        <v/>
      </c>
      <c r="V74" s="186" t="str">
        <f t="shared" si="2"/>
        <v/>
      </c>
      <c r="W74" s="186" t="str">
        <f t="shared" si="3"/>
        <v/>
      </c>
      <c r="X74" s="187" t="str">
        <f t="shared" si="4"/>
        <v/>
      </c>
      <c r="Y74" s="182" t="str">
        <f t="shared" si="15"/>
        <v/>
      </c>
      <c r="Z74" s="209" t="str">
        <f t="shared" si="5"/>
        <v/>
      </c>
      <c r="AA74" s="209" t="str">
        <f t="shared" si="6"/>
        <v/>
      </c>
      <c r="AB74" s="200"/>
      <c r="AC74" s="192"/>
    </row>
    <row r="75" spans="1:29" ht="11.4">
      <c r="A75" s="211" t="str">
        <f t="shared" si="7"/>
        <v/>
      </c>
      <c r="B75" s="211"/>
      <c r="C75" s="215"/>
      <c r="D75" s="213" t="str">
        <f t="shared" si="8"/>
        <v/>
      </c>
      <c r="E75" s="213" t="str">
        <f t="shared" si="17"/>
        <v/>
      </c>
      <c r="F75" s="214" t="str">
        <f t="shared" si="10"/>
        <v/>
      </c>
      <c r="G75" s="180"/>
      <c r="H75" s="181" t="str">
        <f t="shared" si="11"/>
        <v/>
      </c>
      <c r="I75" s="227"/>
      <c r="J75" s="227"/>
      <c r="K75" s="227"/>
      <c r="L75" s="227"/>
      <c r="M75" s="210" t="str">
        <f t="shared" si="16"/>
        <v/>
      </c>
      <c r="N75" s="210"/>
      <c r="O75" s="207"/>
      <c r="P75" s="182" t="str">
        <f t="shared" si="0"/>
        <v/>
      </c>
      <c r="Q75" s="183" t="str">
        <f t="shared" si="12"/>
        <v/>
      </c>
      <c r="R75" s="182" t="str">
        <f>IF(M75&lt;&gt;"",IF(#REF!*F75*10=0,"",#REF!*F75*10),"")</f>
        <v/>
      </c>
      <c r="S75" s="184" t="str">
        <f t="shared" si="13"/>
        <v/>
      </c>
      <c r="T75" s="185" t="str">
        <f t="shared" si="1"/>
        <v/>
      </c>
      <c r="U75" s="183" t="str">
        <f t="shared" si="14"/>
        <v/>
      </c>
      <c r="V75" s="186" t="str">
        <f t="shared" si="2"/>
        <v/>
      </c>
      <c r="W75" s="186" t="str">
        <f t="shared" si="3"/>
        <v/>
      </c>
      <c r="X75" s="187" t="str">
        <f t="shared" si="4"/>
        <v/>
      </c>
      <c r="Y75" s="182" t="str">
        <f t="shared" si="15"/>
        <v/>
      </c>
      <c r="Z75" s="209" t="str">
        <f t="shared" si="5"/>
        <v/>
      </c>
      <c r="AA75" s="209" t="str">
        <f t="shared" si="6"/>
        <v/>
      </c>
      <c r="AB75" s="200"/>
      <c r="AC75" s="192"/>
    </row>
    <row r="76" spans="1:29" ht="11.4">
      <c r="A76" s="211" t="str">
        <f t="shared" si="7"/>
        <v/>
      </c>
      <c r="B76" s="211"/>
      <c r="C76" s="215"/>
      <c r="D76" s="213" t="str">
        <f t="shared" si="8"/>
        <v/>
      </c>
      <c r="E76" s="213" t="str">
        <f t="shared" si="17"/>
        <v/>
      </c>
      <c r="F76" s="214" t="str">
        <f t="shared" si="10"/>
        <v/>
      </c>
      <c r="G76" s="180"/>
      <c r="H76" s="181" t="str">
        <f t="shared" si="11"/>
        <v/>
      </c>
      <c r="I76" s="227"/>
      <c r="J76" s="227"/>
      <c r="K76" s="227"/>
      <c r="L76" s="227"/>
      <c r="M76" s="210" t="str">
        <f t="shared" si="16"/>
        <v/>
      </c>
      <c r="N76" s="210"/>
      <c r="O76" s="207"/>
      <c r="P76" s="182" t="str">
        <f t="shared" ref="P76:P139" si="18">IF(M76="","",IF(L76*F76*$D$3=0,0,L76*F76*$D$3))</f>
        <v/>
      </c>
      <c r="Q76" s="183" t="str">
        <f t="shared" si="12"/>
        <v/>
      </c>
      <c r="R76" s="182" t="str">
        <f>IF(M76&lt;&gt;"",IF(#REF!*F76*10=0,"",#REF!*F76*10),"")</f>
        <v/>
      </c>
      <c r="S76" s="184" t="str">
        <f t="shared" si="13"/>
        <v/>
      </c>
      <c r="T76" s="185" t="str">
        <f t="shared" ref="T76:T139" si="19">IF(X76="","",X76*F76*$D$3)</f>
        <v/>
      </c>
      <c r="U76" s="183" t="str">
        <f t="shared" si="14"/>
        <v/>
      </c>
      <c r="V76" s="186" t="str">
        <f t="shared" ref="V76:V139" si="20">IF(M76="","",IF(AND(M76&gt;I76,H76="L"),1, IF(AND(I76&gt;M76,H76="S"),1,0)))</f>
        <v/>
      </c>
      <c r="W76" s="186" t="str">
        <f t="shared" ref="W76:W139" si="21">IF(M76="","",IF(AND(M76&lt;I76,H76="L"),1, IF(AND(I76&lt;M76,H76="S"),1,0)))</f>
        <v/>
      </c>
      <c r="X76" s="187" t="str">
        <f t="shared" ref="X76:X139" si="22">IF((M76=""),"",IF(H76="Buy",1,-1)*(M76-I76)*IF(LEN(RIGHT(I76,LEN(I76)-FIND(".",I76)))&gt;3,10000,100))</f>
        <v/>
      </c>
      <c r="Y76" s="182" t="str">
        <f t="shared" si="15"/>
        <v/>
      </c>
      <c r="Z76" s="209" t="str">
        <f t="shared" ref="Z76:Z139" si="23">IF(C76="","",MONTH(LEFT(C76,8)))</f>
        <v/>
      </c>
      <c r="AA76" s="209" t="str">
        <f t="shared" ref="AA76:AA139" si="24">IF(C76="","",YEAR(LEFT(C76,8)))</f>
        <v/>
      </c>
      <c r="AB76" s="200"/>
      <c r="AC76" s="192"/>
    </row>
    <row r="77" spans="1:29" ht="11.4">
      <c r="A77" s="211" t="str">
        <f t="shared" ref="A77:A140" si="25">IF(D77="","",1)</f>
        <v/>
      </c>
      <c r="B77" s="211"/>
      <c r="C77" s="215"/>
      <c r="D77" s="213" t="str">
        <f t="shared" ref="D77:D140" si="26">IF(G77="","","SUGAR")</f>
        <v/>
      </c>
      <c r="E77" s="213" t="str">
        <f t="shared" si="17"/>
        <v/>
      </c>
      <c r="F77" s="214" t="str">
        <f t="shared" ref="F77:F140" si="27">IF(G77="","",0.01)</f>
        <v/>
      </c>
      <c r="G77" s="180"/>
      <c r="H77" s="181" t="str">
        <f t="shared" ref="H77:H140" si="28">IF(G77="","",IF(OR(G77="第二类买点",G77="第三类买点"),"Buy","Sell"))</f>
        <v/>
      </c>
      <c r="I77" s="227"/>
      <c r="J77" s="227"/>
      <c r="K77" s="227"/>
      <c r="L77" s="227"/>
      <c r="M77" s="210" t="str">
        <f t="shared" si="16"/>
        <v/>
      </c>
      <c r="N77" s="210"/>
      <c r="O77" s="207"/>
      <c r="P77" s="182" t="str">
        <f t="shared" si="18"/>
        <v/>
      </c>
      <c r="Q77" s="183" t="str">
        <f t="shared" ref="Q77:Q140" si="29">IF(P77="","",IF(P77=0,0,P77/$I$4))</f>
        <v/>
      </c>
      <c r="R77" s="182" t="str">
        <f>IF(M77&lt;&gt;"",IF(#REF!*F77*10=0,"",#REF!*F77*10),"")</f>
        <v/>
      </c>
      <c r="S77" s="184" t="str">
        <f t="shared" ref="S77:S140" si="30">IF(P77="","",IF(P77=0,0,R77/P77))</f>
        <v/>
      </c>
      <c r="T77" s="185" t="str">
        <f t="shared" si="19"/>
        <v/>
      </c>
      <c r="U77" s="183" t="str">
        <f t="shared" ref="U77:U140" si="31">IF(T77="","",IF($I$4="","",T77/$I$4))</f>
        <v/>
      </c>
      <c r="V77" s="186" t="str">
        <f t="shared" si="20"/>
        <v/>
      </c>
      <c r="W77" s="186" t="str">
        <f t="shared" si="21"/>
        <v/>
      </c>
      <c r="X77" s="187" t="str">
        <f t="shared" si="22"/>
        <v/>
      </c>
      <c r="Y77" s="182" t="str">
        <f t="shared" si="15"/>
        <v/>
      </c>
      <c r="Z77" s="209" t="str">
        <f t="shared" si="23"/>
        <v/>
      </c>
      <c r="AA77" s="209" t="str">
        <f t="shared" si="24"/>
        <v/>
      </c>
      <c r="AB77" s="200"/>
      <c r="AC77" s="192"/>
    </row>
    <row r="78" spans="1:29" ht="11.4">
      <c r="A78" s="211" t="str">
        <f t="shared" si="25"/>
        <v/>
      </c>
      <c r="B78" s="211"/>
      <c r="C78" s="215"/>
      <c r="D78" s="213" t="str">
        <f t="shared" si="26"/>
        <v/>
      </c>
      <c r="E78" s="213" t="str">
        <f t="shared" si="17"/>
        <v/>
      </c>
      <c r="F78" s="214" t="str">
        <f t="shared" si="27"/>
        <v/>
      </c>
      <c r="G78" s="180"/>
      <c r="H78" s="181" t="str">
        <f t="shared" si="28"/>
        <v/>
      </c>
      <c r="I78" s="227"/>
      <c r="J78" s="227"/>
      <c r="K78" s="227"/>
      <c r="L78" s="227"/>
      <c r="M78" s="210" t="str">
        <f t="shared" si="16"/>
        <v/>
      </c>
      <c r="N78" s="210"/>
      <c r="O78" s="207"/>
      <c r="P78" s="182" t="str">
        <f t="shared" si="18"/>
        <v/>
      </c>
      <c r="Q78" s="183" t="str">
        <f t="shared" si="29"/>
        <v/>
      </c>
      <c r="R78" s="182" t="str">
        <f>IF(M78&lt;&gt;"",IF(#REF!*F78*10=0,"",#REF!*F78*10),"")</f>
        <v/>
      </c>
      <c r="S78" s="184" t="str">
        <f t="shared" si="30"/>
        <v/>
      </c>
      <c r="T78" s="185" t="str">
        <f t="shared" si="19"/>
        <v/>
      </c>
      <c r="U78" s="183" t="str">
        <f t="shared" si="31"/>
        <v/>
      </c>
      <c r="V78" s="186" t="str">
        <f t="shared" si="20"/>
        <v/>
      </c>
      <c r="W78" s="186" t="str">
        <f t="shared" si="21"/>
        <v/>
      </c>
      <c r="X78" s="187" t="str">
        <f t="shared" si="22"/>
        <v/>
      </c>
      <c r="Y78" s="182" t="str">
        <f t="shared" ref="Y78:Y141" si="32">IF(Y77="","",IF(T78="","",Y77+T78))</f>
        <v/>
      </c>
      <c r="Z78" s="209" t="str">
        <f t="shared" si="23"/>
        <v/>
      </c>
      <c r="AA78" s="209" t="str">
        <f t="shared" si="24"/>
        <v/>
      </c>
      <c r="AB78" s="200"/>
      <c r="AC78" s="192"/>
    </row>
    <row r="79" spans="1:29" ht="11.4">
      <c r="A79" s="211" t="str">
        <f t="shared" si="25"/>
        <v/>
      </c>
      <c r="B79" s="211"/>
      <c r="C79" s="215"/>
      <c r="D79" s="213" t="str">
        <f t="shared" si="26"/>
        <v/>
      </c>
      <c r="E79" s="213" t="str">
        <f t="shared" si="17"/>
        <v/>
      </c>
      <c r="F79" s="214" t="str">
        <f t="shared" si="27"/>
        <v/>
      </c>
      <c r="G79" s="180"/>
      <c r="H79" s="181" t="str">
        <f t="shared" si="28"/>
        <v/>
      </c>
      <c r="I79" s="227"/>
      <c r="J79" s="227"/>
      <c r="K79" s="227"/>
      <c r="L79" s="227"/>
      <c r="M79" s="210" t="str">
        <f t="shared" ref="M79:M142" si="33">IF(J79="","",J79)</f>
        <v/>
      </c>
      <c r="N79" s="210"/>
      <c r="O79" s="207"/>
      <c r="P79" s="182" t="str">
        <f t="shared" si="18"/>
        <v/>
      </c>
      <c r="Q79" s="183" t="str">
        <f t="shared" si="29"/>
        <v/>
      </c>
      <c r="R79" s="182" t="str">
        <f>IF(M79&lt;&gt;"",IF(#REF!*F79*10=0,"",#REF!*F79*10),"")</f>
        <v/>
      </c>
      <c r="S79" s="184" t="str">
        <f t="shared" si="30"/>
        <v/>
      </c>
      <c r="T79" s="185" t="str">
        <f t="shared" si="19"/>
        <v/>
      </c>
      <c r="U79" s="183" t="str">
        <f t="shared" si="31"/>
        <v/>
      </c>
      <c r="V79" s="186" t="str">
        <f t="shared" si="20"/>
        <v/>
      </c>
      <c r="W79" s="186" t="str">
        <f t="shared" si="21"/>
        <v/>
      </c>
      <c r="X79" s="187" t="str">
        <f t="shared" si="22"/>
        <v/>
      </c>
      <c r="Y79" s="182" t="str">
        <f t="shared" si="32"/>
        <v/>
      </c>
      <c r="Z79" s="209" t="str">
        <f t="shared" si="23"/>
        <v/>
      </c>
      <c r="AA79" s="209" t="str">
        <f t="shared" si="24"/>
        <v/>
      </c>
      <c r="AB79" s="200"/>
      <c r="AC79" s="192"/>
    </row>
    <row r="80" spans="1:29" ht="11.4">
      <c r="A80" s="211" t="str">
        <f t="shared" si="25"/>
        <v/>
      </c>
      <c r="B80" s="211"/>
      <c r="C80" s="215"/>
      <c r="D80" s="213" t="str">
        <f t="shared" si="26"/>
        <v/>
      </c>
      <c r="E80" s="213" t="str">
        <f t="shared" ref="E80:E143" si="34">IF(G80="","","M30")</f>
        <v/>
      </c>
      <c r="F80" s="214" t="str">
        <f t="shared" si="27"/>
        <v/>
      </c>
      <c r="G80" s="180"/>
      <c r="H80" s="181" t="str">
        <f t="shared" si="28"/>
        <v/>
      </c>
      <c r="I80" s="227"/>
      <c r="J80" s="227"/>
      <c r="K80" s="227"/>
      <c r="L80" s="227"/>
      <c r="M80" s="210" t="str">
        <f t="shared" si="33"/>
        <v/>
      </c>
      <c r="N80" s="210"/>
      <c r="O80" s="207"/>
      <c r="P80" s="182" t="str">
        <f t="shared" si="18"/>
        <v/>
      </c>
      <c r="Q80" s="183" t="str">
        <f t="shared" si="29"/>
        <v/>
      </c>
      <c r="R80" s="182" t="str">
        <f>IF(M80&lt;&gt;"",IF(#REF!*F80*10=0,"",#REF!*F80*10),"")</f>
        <v/>
      </c>
      <c r="S80" s="184" t="str">
        <f t="shared" si="30"/>
        <v/>
      </c>
      <c r="T80" s="185" t="str">
        <f t="shared" si="19"/>
        <v/>
      </c>
      <c r="U80" s="183" t="str">
        <f t="shared" si="31"/>
        <v/>
      </c>
      <c r="V80" s="186" t="str">
        <f t="shared" si="20"/>
        <v/>
      </c>
      <c r="W80" s="186" t="str">
        <f t="shared" si="21"/>
        <v/>
      </c>
      <c r="X80" s="187" t="str">
        <f t="shared" si="22"/>
        <v/>
      </c>
      <c r="Y80" s="182" t="str">
        <f t="shared" si="32"/>
        <v/>
      </c>
      <c r="Z80" s="209" t="str">
        <f t="shared" si="23"/>
        <v/>
      </c>
      <c r="AA80" s="209" t="str">
        <f t="shared" si="24"/>
        <v/>
      </c>
      <c r="AB80" s="200"/>
      <c r="AC80" s="192"/>
    </row>
    <row r="81" spans="1:29" ht="11.4">
      <c r="A81" s="211" t="str">
        <f t="shared" si="25"/>
        <v/>
      </c>
      <c r="B81" s="211"/>
      <c r="C81" s="215"/>
      <c r="D81" s="213" t="str">
        <f t="shared" si="26"/>
        <v/>
      </c>
      <c r="E81" s="213" t="str">
        <f t="shared" si="34"/>
        <v/>
      </c>
      <c r="F81" s="214" t="str">
        <f t="shared" si="27"/>
        <v/>
      </c>
      <c r="G81" s="180"/>
      <c r="H81" s="181" t="str">
        <f t="shared" si="28"/>
        <v/>
      </c>
      <c r="I81" s="227"/>
      <c r="J81" s="227"/>
      <c r="K81" s="227"/>
      <c r="L81" s="227"/>
      <c r="M81" s="210" t="str">
        <f t="shared" si="33"/>
        <v/>
      </c>
      <c r="N81" s="210"/>
      <c r="O81" s="207"/>
      <c r="P81" s="182" t="str">
        <f t="shared" si="18"/>
        <v/>
      </c>
      <c r="Q81" s="183" t="str">
        <f t="shared" si="29"/>
        <v/>
      </c>
      <c r="R81" s="182" t="str">
        <f>IF(M81&lt;&gt;"",IF(#REF!*F81*10=0,"",#REF!*F81*10),"")</f>
        <v/>
      </c>
      <c r="S81" s="184" t="str">
        <f t="shared" si="30"/>
        <v/>
      </c>
      <c r="T81" s="185" t="str">
        <f t="shared" si="19"/>
        <v/>
      </c>
      <c r="U81" s="183" t="str">
        <f t="shared" si="31"/>
        <v/>
      </c>
      <c r="V81" s="186" t="str">
        <f t="shared" si="20"/>
        <v/>
      </c>
      <c r="W81" s="186" t="str">
        <f t="shared" si="21"/>
        <v/>
      </c>
      <c r="X81" s="187" t="str">
        <f t="shared" si="22"/>
        <v/>
      </c>
      <c r="Y81" s="182" t="str">
        <f t="shared" si="32"/>
        <v/>
      </c>
      <c r="Z81" s="209" t="str">
        <f t="shared" si="23"/>
        <v/>
      </c>
      <c r="AA81" s="209" t="str">
        <f t="shared" si="24"/>
        <v/>
      </c>
      <c r="AB81" s="200"/>
      <c r="AC81" s="192"/>
    </row>
    <row r="82" spans="1:29" ht="11.4">
      <c r="A82" s="211" t="str">
        <f t="shared" si="25"/>
        <v/>
      </c>
      <c r="B82" s="211"/>
      <c r="C82" s="215"/>
      <c r="D82" s="213" t="str">
        <f t="shared" si="26"/>
        <v/>
      </c>
      <c r="E82" s="213" t="str">
        <f t="shared" si="34"/>
        <v/>
      </c>
      <c r="F82" s="214" t="str">
        <f t="shared" si="27"/>
        <v/>
      </c>
      <c r="G82" s="180"/>
      <c r="H82" s="181" t="str">
        <f t="shared" si="28"/>
        <v/>
      </c>
      <c r="I82" s="227"/>
      <c r="J82" s="227"/>
      <c r="K82" s="227"/>
      <c r="L82" s="227"/>
      <c r="M82" s="210" t="str">
        <f t="shared" si="33"/>
        <v/>
      </c>
      <c r="N82" s="210"/>
      <c r="O82" s="207"/>
      <c r="P82" s="182" t="str">
        <f t="shared" si="18"/>
        <v/>
      </c>
      <c r="Q82" s="183" t="str">
        <f t="shared" si="29"/>
        <v/>
      </c>
      <c r="R82" s="182" t="str">
        <f>IF(M82&lt;&gt;"",IF(#REF!*F82*10=0,"",#REF!*F82*10),"")</f>
        <v/>
      </c>
      <c r="S82" s="184" t="str">
        <f t="shared" si="30"/>
        <v/>
      </c>
      <c r="T82" s="185" t="str">
        <f t="shared" si="19"/>
        <v/>
      </c>
      <c r="U82" s="183" t="str">
        <f t="shared" si="31"/>
        <v/>
      </c>
      <c r="V82" s="186" t="str">
        <f t="shared" si="20"/>
        <v/>
      </c>
      <c r="W82" s="186" t="str">
        <f t="shared" si="21"/>
        <v/>
      </c>
      <c r="X82" s="187" t="str">
        <f t="shared" si="22"/>
        <v/>
      </c>
      <c r="Y82" s="182" t="str">
        <f t="shared" si="32"/>
        <v/>
      </c>
      <c r="Z82" s="209" t="str">
        <f t="shared" si="23"/>
        <v/>
      </c>
      <c r="AA82" s="209" t="str">
        <f t="shared" si="24"/>
        <v/>
      </c>
      <c r="AB82" s="200"/>
      <c r="AC82" s="192"/>
    </row>
    <row r="83" spans="1:29" ht="11.4">
      <c r="A83" s="211" t="str">
        <f t="shared" si="25"/>
        <v/>
      </c>
      <c r="B83" s="211"/>
      <c r="C83" s="215"/>
      <c r="D83" s="213" t="str">
        <f t="shared" si="26"/>
        <v/>
      </c>
      <c r="E83" s="213" t="str">
        <f t="shared" si="34"/>
        <v/>
      </c>
      <c r="F83" s="214" t="str">
        <f t="shared" si="27"/>
        <v/>
      </c>
      <c r="G83" s="180"/>
      <c r="H83" s="181" t="str">
        <f t="shared" si="28"/>
        <v/>
      </c>
      <c r="I83" s="227"/>
      <c r="J83" s="227"/>
      <c r="K83" s="227"/>
      <c r="L83" s="227"/>
      <c r="M83" s="210" t="str">
        <f t="shared" si="33"/>
        <v/>
      </c>
      <c r="N83" s="210"/>
      <c r="O83" s="207"/>
      <c r="P83" s="182" t="str">
        <f t="shared" si="18"/>
        <v/>
      </c>
      <c r="Q83" s="183" t="str">
        <f t="shared" si="29"/>
        <v/>
      </c>
      <c r="R83" s="182" t="str">
        <f>IF(M83&lt;&gt;"",IF(#REF!*F83*10=0,"",#REF!*F83*10),"")</f>
        <v/>
      </c>
      <c r="S83" s="184" t="str">
        <f t="shared" si="30"/>
        <v/>
      </c>
      <c r="T83" s="185" t="str">
        <f t="shared" si="19"/>
        <v/>
      </c>
      <c r="U83" s="183" t="str">
        <f t="shared" si="31"/>
        <v/>
      </c>
      <c r="V83" s="186" t="str">
        <f t="shared" si="20"/>
        <v/>
      </c>
      <c r="W83" s="186" t="str">
        <f t="shared" si="21"/>
        <v/>
      </c>
      <c r="X83" s="187" t="str">
        <f t="shared" si="22"/>
        <v/>
      </c>
      <c r="Y83" s="182" t="str">
        <f t="shared" si="32"/>
        <v/>
      </c>
      <c r="Z83" s="209" t="str">
        <f t="shared" si="23"/>
        <v/>
      </c>
      <c r="AA83" s="209" t="str">
        <f t="shared" si="24"/>
        <v/>
      </c>
      <c r="AB83" s="200"/>
      <c r="AC83" s="192"/>
    </row>
    <row r="84" spans="1:29" ht="11.4">
      <c r="A84" s="211" t="str">
        <f t="shared" si="25"/>
        <v/>
      </c>
      <c r="B84" s="211"/>
      <c r="C84" s="215"/>
      <c r="D84" s="213" t="str">
        <f t="shared" si="26"/>
        <v/>
      </c>
      <c r="E84" s="213" t="str">
        <f t="shared" si="34"/>
        <v/>
      </c>
      <c r="F84" s="214" t="str">
        <f t="shared" si="27"/>
        <v/>
      </c>
      <c r="G84" s="180"/>
      <c r="H84" s="181" t="str">
        <f t="shared" si="28"/>
        <v/>
      </c>
      <c r="I84" s="227"/>
      <c r="J84" s="227"/>
      <c r="K84" s="227"/>
      <c r="L84" s="227"/>
      <c r="M84" s="210" t="str">
        <f t="shared" si="33"/>
        <v/>
      </c>
      <c r="N84" s="210"/>
      <c r="O84" s="207"/>
      <c r="P84" s="182" t="str">
        <f t="shared" si="18"/>
        <v/>
      </c>
      <c r="Q84" s="183" t="str">
        <f t="shared" si="29"/>
        <v/>
      </c>
      <c r="R84" s="182" t="str">
        <f>IF(M84&lt;&gt;"",IF(#REF!*F84*10=0,"",#REF!*F84*10),"")</f>
        <v/>
      </c>
      <c r="S84" s="184" t="str">
        <f t="shared" si="30"/>
        <v/>
      </c>
      <c r="T84" s="185" t="str">
        <f t="shared" si="19"/>
        <v/>
      </c>
      <c r="U84" s="183" t="str">
        <f t="shared" si="31"/>
        <v/>
      </c>
      <c r="V84" s="186" t="str">
        <f t="shared" si="20"/>
        <v/>
      </c>
      <c r="W84" s="186" t="str">
        <f t="shared" si="21"/>
        <v/>
      </c>
      <c r="X84" s="187" t="str">
        <f t="shared" si="22"/>
        <v/>
      </c>
      <c r="Y84" s="182" t="str">
        <f t="shared" si="32"/>
        <v/>
      </c>
      <c r="Z84" s="209" t="str">
        <f t="shared" si="23"/>
        <v/>
      </c>
      <c r="AA84" s="209" t="str">
        <f t="shared" si="24"/>
        <v/>
      </c>
      <c r="AB84" s="200"/>
      <c r="AC84" s="192"/>
    </row>
    <row r="85" spans="1:29" ht="11.4">
      <c r="A85" s="211" t="str">
        <f t="shared" si="25"/>
        <v/>
      </c>
      <c r="B85" s="211"/>
      <c r="C85" s="215"/>
      <c r="D85" s="213" t="str">
        <f t="shared" si="26"/>
        <v/>
      </c>
      <c r="E85" s="213" t="str">
        <f t="shared" si="34"/>
        <v/>
      </c>
      <c r="F85" s="214" t="str">
        <f t="shared" si="27"/>
        <v/>
      </c>
      <c r="G85" s="180"/>
      <c r="H85" s="181" t="str">
        <f t="shared" si="28"/>
        <v/>
      </c>
      <c r="I85" s="227"/>
      <c r="J85" s="227"/>
      <c r="K85" s="227"/>
      <c r="L85" s="227"/>
      <c r="M85" s="210" t="str">
        <f t="shared" si="33"/>
        <v/>
      </c>
      <c r="N85" s="210"/>
      <c r="O85" s="207"/>
      <c r="P85" s="182" t="str">
        <f t="shared" si="18"/>
        <v/>
      </c>
      <c r="Q85" s="183" t="str">
        <f t="shared" si="29"/>
        <v/>
      </c>
      <c r="R85" s="182" t="str">
        <f>IF(M85&lt;&gt;"",IF(#REF!*F85*10=0,"",#REF!*F85*10),"")</f>
        <v/>
      </c>
      <c r="S85" s="184" t="str">
        <f t="shared" si="30"/>
        <v/>
      </c>
      <c r="T85" s="185" t="str">
        <f t="shared" si="19"/>
        <v/>
      </c>
      <c r="U85" s="183" t="str">
        <f t="shared" si="31"/>
        <v/>
      </c>
      <c r="V85" s="186" t="str">
        <f t="shared" si="20"/>
        <v/>
      </c>
      <c r="W85" s="186" t="str">
        <f t="shared" si="21"/>
        <v/>
      </c>
      <c r="X85" s="187" t="str">
        <f t="shared" si="22"/>
        <v/>
      </c>
      <c r="Y85" s="182" t="str">
        <f t="shared" si="32"/>
        <v/>
      </c>
      <c r="Z85" s="209" t="str">
        <f t="shared" si="23"/>
        <v/>
      </c>
      <c r="AA85" s="209" t="str">
        <f t="shared" si="24"/>
        <v/>
      </c>
      <c r="AB85" s="200"/>
      <c r="AC85" s="192"/>
    </row>
    <row r="86" spans="1:29" ht="11.4">
      <c r="A86" s="211" t="str">
        <f t="shared" si="25"/>
        <v/>
      </c>
      <c r="B86" s="211"/>
      <c r="C86" s="215"/>
      <c r="D86" s="213" t="str">
        <f t="shared" si="26"/>
        <v/>
      </c>
      <c r="E86" s="213" t="str">
        <f t="shared" si="34"/>
        <v/>
      </c>
      <c r="F86" s="214" t="str">
        <f t="shared" si="27"/>
        <v/>
      </c>
      <c r="G86" s="180"/>
      <c r="H86" s="181" t="str">
        <f t="shared" si="28"/>
        <v/>
      </c>
      <c r="I86" s="227"/>
      <c r="J86" s="227"/>
      <c r="K86" s="227"/>
      <c r="L86" s="227"/>
      <c r="M86" s="210" t="str">
        <f t="shared" si="33"/>
        <v/>
      </c>
      <c r="N86" s="210"/>
      <c r="O86" s="207"/>
      <c r="P86" s="182" t="str">
        <f t="shared" si="18"/>
        <v/>
      </c>
      <c r="Q86" s="183" t="str">
        <f t="shared" si="29"/>
        <v/>
      </c>
      <c r="R86" s="182" t="str">
        <f>IF(M86&lt;&gt;"",IF(#REF!*F86*10=0,"",#REF!*F86*10),"")</f>
        <v/>
      </c>
      <c r="S86" s="184" t="str">
        <f t="shared" si="30"/>
        <v/>
      </c>
      <c r="T86" s="185" t="str">
        <f t="shared" si="19"/>
        <v/>
      </c>
      <c r="U86" s="183" t="str">
        <f t="shared" si="31"/>
        <v/>
      </c>
      <c r="V86" s="186" t="str">
        <f t="shared" si="20"/>
        <v/>
      </c>
      <c r="W86" s="186" t="str">
        <f t="shared" si="21"/>
        <v/>
      </c>
      <c r="X86" s="187" t="str">
        <f t="shared" si="22"/>
        <v/>
      </c>
      <c r="Y86" s="182" t="str">
        <f t="shared" si="32"/>
        <v/>
      </c>
      <c r="Z86" s="209" t="str">
        <f t="shared" si="23"/>
        <v/>
      </c>
      <c r="AA86" s="209" t="str">
        <f t="shared" si="24"/>
        <v/>
      </c>
      <c r="AB86" s="200"/>
      <c r="AC86" s="192"/>
    </row>
    <row r="87" spans="1:29" ht="11.4">
      <c r="A87" s="211" t="str">
        <f t="shared" si="25"/>
        <v/>
      </c>
      <c r="B87" s="211"/>
      <c r="C87" s="215"/>
      <c r="D87" s="213" t="str">
        <f t="shared" si="26"/>
        <v/>
      </c>
      <c r="E87" s="213" t="str">
        <f t="shared" si="34"/>
        <v/>
      </c>
      <c r="F87" s="214" t="str">
        <f t="shared" si="27"/>
        <v/>
      </c>
      <c r="G87" s="180"/>
      <c r="H87" s="181" t="str">
        <f t="shared" si="28"/>
        <v/>
      </c>
      <c r="I87" s="227"/>
      <c r="J87" s="227"/>
      <c r="K87" s="227"/>
      <c r="L87" s="227"/>
      <c r="M87" s="210" t="str">
        <f t="shared" si="33"/>
        <v/>
      </c>
      <c r="N87" s="210"/>
      <c r="O87" s="207"/>
      <c r="P87" s="182" t="str">
        <f t="shared" si="18"/>
        <v/>
      </c>
      <c r="Q87" s="183" t="str">
        <f t="shared" si="29"/>
        <v/>
      </c>
      <c r="R87" s="182" t="str">
        <f>IF(M87&lt;&gt;"",IF(#REF!*F87*10=0,"",#REF!*F87*10),"")</f>
        <v/>
      </c>
      <c r="S87" s="184" t="str">
        <f t="shared" si="30"/>
        <v/>
      </c>
      <c r="T87" s="185" t="str">
        <f t="shared" si="19"/>
        <v/>
      </c>
      <c r="U87" s="183" t="str">
        <f t="shared" si="31"/>
        <v/>
      </c>
      <c r="V87" s="186" t="str">
        <f t="shared" si="20"/>
        <v/>
      </c>
      <c r="W87" s="186" t="str">
        <f t="shared" si="21"/>
        <v/>
      </c>
      <c r="X87" s="187" t="str">
        <f t="shared" si="22"/>
        <v/>
      </c>
      <c r="Y87" s="182" t="str">
        <f t="shared" si="32"/>
        <v/>
      </c>
      <c r="Z87" s="209" t="str">
        <f t="shared" si="23"/>
        <v/>
      </c>
      <c r="AA87" s="209" t="str">
        <f t="shared" si="24"/>
        <v/>
      </c>
      <c r="AB87" s="200"/>
      <c r="AC87" s="192"/>
    </row>
    <row r="88" spans="1:29" ht="11.4">
      <c r="A88" s="211" t="str">
        <f t="shared" si="25"/>
        <v/>
      </c>
      <c r="B88" s="211"/>
      <c r="C88" s="215"/>
      <c r="D88" s="213" t="str">
        <f t="shared" si="26"/>
        <v/>
      </c>
      <c r="E88" s="213" t="str">
        <f t="shared" si="34"/>
        <v/>
      </c>
      <c r="F88" s="214" t="str">
        <f t="shared" si="27"/>
        <v/>
      </c>
      <c r="G88" s="180"/>
      <c r="H88" s="181" t="str">
        <f t="shared" si="28"/>
        <v/>
      </c>
      <c r="I88" s="227"/>
      <c r="J88" s="227"/>
      <c r="K88" s="227"/>
      <c r="L88" s="227"/>
      <c r="M88" s="210" t="str">
        <f t="shared" si="33"/>
        <v/>
      </c>
      <c r="N88" s="210"/>
      <c r="O88" s="207"/>
      <c r="P88" s="182" t="str">
        <f t="shared" si="18"/>
        <v/>
      </c>
      <c r="Q88" s="183" t="str">
        <f t="shared" si="29"/>
        <v/>
      </c>
      <c r="R88" s="182" t="str">
        <f>IF(M88&lt;&gt;"",IF(#REF!*F88*10=0,"",#REF!*F88*10),"")</f>
        <v/>
      </c>
      <c r="S88" s="184" t="str">
        <f t="shared" si="30"/>
        <v/>
      </c>
      <c r="T88" s="185" t="str">
        <f t="shared" si="19"/>
        <v/>
      </c>
      <c r="U88" s="183" t="str">
        <f t="shared" si="31"/>
        <v/>
      </c>
      <c r="V88" s="186" t="str">
        <f t="shared" si="20"/>
        <v/>
      </c>
      <c r="W88" s="186" t="str">
        <f t="shared" si="21"/>
        <v/>
      </c>
      <c r="X88" s="187" t="str">
        <f t="shared" si="22"/>
        <v/>
      </c>
      <c r="Y88" s="182" t="str">
        <f t="shared" si="32"/>
        <v/>
      </c>
      <c r="Z88" s="209" t="str">
        <f t="shared" si="23"/>
        <v/>
      </c>
      <c r="AA88" s="209" t="str">
        <f t="shared" si="24"/>
        <v/>
      </c>
      <c r="AB88" s="200"/>
      <c r="AC88" s="192"/>
    </row>
    <row r="89" spans="1:29" ht="11.4">
      <c r="A89" s="211" t="str">
        <f t="shared" si="25"/>
        <v/>
      </c>
      <c r="B89" s="211"/>
      <c r="C89" s="215"/>
      <c r="D89" s="213" t="str">
        <f t="shared" si="26"/>
        <v/>
      </c>
      <c r="E89" s="213" t="str">
        <f t="shared" si="34"/>
        <v/>
      </c>
      <c r="F89" s="214" t="str">
        <f t="shared" si="27"/>
        <v/>
      </c>
      <c r="G89" s="180"/>
      <c r="H89" s="181" t="str">
        <f t="shared" si="28"/>
        <v/>
      </c>
      <c r="I89" s="227"/>
      <c r="J89" s="227"/>
      <c r="K89" s="227"/>
      <c r="L89" s="227"/>
      <c r="M89" s="210" t="str">
        <f t="shared" si="33"/>
        <v/>
      </c>
      <c r="N89" s="210"/>
      <c r="O89" s="207"/>
      <c r="P89" s="182" t="str">
        <f t="shared" si="18"/>
        <v/>
      </c>
      <c r="Q89" s="183" t="str">
        <f t="shared" si="29"/>
        <v/>
      </c>
      <c r="R89" s="182" t="str">
        <f>IF(M89&lt;&gt;"",IF(#REF!*F89*10=0,"",#REF!*F89*10),"")</f>
        <v/>
      </c>
      <c r="S89" s="184" t="str">
        <f t="shared" si="30"/>
        <v/>
      </c>
      <c r="T89" s="185" t="str">
        <f t="shared" si="19"/>
        <v/>
      </c>
      <c r="U89" s="183" t="str">
        <f t="shared" si="31"/>
        <v/>
      </c>
      <c r="V89" s="186" t="str">
        <f t="shared" si="20"/>
        <v/>
      </c>
      <c r="W89" s="186" t="str">
        <f t="shared" si="21"/>
        <v/>
      </c>
      <c r="X89" s="187" t="str">
        <f t="shared" si="22"/>
        <v/>
      </c>
      <c r="Y89" s="182" t="str">
        <f t="shared" si="32"/>
        <v/>
      </c>
      <c r="Z89" s="209" t="str">
        <f t="shared" si="23"/>
        <v/>
      </c>
      <c r="AA89" s="209" t="str">
        <f t="shared" si="24"/>
        <v/>
      </c>
      <c r="AB89" s="200"/>
      <c r="AC89" s="192"/>
    </row>
    <row r="90" spans="1:29" ht="11.4">
      <c r="A90" s="211" t="str">
        <f t="shared" si="25"/>
        <v/>
      </c>
      <c r="B90" s="211"/>
      <c r="C90" s="215"/>
      <c r="D90" s="213" t="str">
        <f t="shared" si="26"/>
        <v/>
      </c>
      <c r="E90" s="213" t="str">
        <f t="shared" si="34"/>
        <v/>
      </c>
      <c r="F90" s="214" t="str">
        <f t="shared" si="27"/>
        <v/>
      </c>
      <c r="G90" s="180"/>
      <c r="H90" s="181" t="str">
        <f t="shared" si="28"/>
        <v/>
      </c>
      <c r="I90" s="227"/>
      <c r="J90" s="227"/>
      <c r="K90" s="227"/>
      <c r="L90" s="227"/>
      <c r="M90" s="210" t="str">
        <f t="shared" si="33"/>
        <v/>
      </c>
      <c r="N90" s="210"/>
      <c r="O90" s="207"/>
      <c r="P90" s="182" t="str">
        <f t="shared" si="18"/>
        <v/>
      </c>
      <c r="Q90" s="183" t="str">
        <f t="shared" si="29"/>
        <v/>
      </c>
      <c r="R90" s="182" t="str">
        <f>IF(M90&lt;&gt;"",IF(#REF!*F90*10=0,"",#REF!*F90*10),"")</f>
        <v/>
      </c>
      <c r="S90" s="184" t="str">
        <f t="shared" si="30"/>
        <v/>
      </c>
      <c r="T90" s="185" t="str">
        <f t="shared" si="19"/>
        <v/>
      </c>
      <c r="U90" s="183" t="str">
        <f t="shared" si="31"/>
        <v/>
      </c>
      <c r="V90" s="186" t="str">
        <f t="shared" si="20"/>
        <v/>
      </c>
      <c r="W90" s="186" t="str">
        <f t="shared" si="21"/>
        <v/>
      </c>
      <c r="X90" s="187" t="str">
        <f t="shared" si="22"/>
        <v/>
      </c>
      <c r="Y90" s="182" t="str">
        <f t="shared" si="32"/>
        <v/>
      </c>
      <c r="Z90" s="209" t="str">
        <f t="shared" si="23"/>
        <v/>
      </c>
      <c r="AA90" s="209" t="str">
        <f t="shared" si="24"/>
        <v/>
      </c>
      <c r="AB90" s="200"/>
      <c r="AC90" s="192"/>
    </row>
    <row r="91" spans="1:29" ht="11.4">
      <c r="A91" s="211" t="str">
        <f t="shared" si="25"/>
        <v/>
      </c>
      <c r="B91" s="211"/>
      <c r="C91" s="215"/>
      <c r="D91" s="213" t="str">
        <f t="shared" si="26"/>
        <v/>
      </c>
      <c r="E91" s="213" t="str">
        <f t="shared" si="34"/>
        <v/>
      </c>
      <c r="F91" s="214" t="str">
        <f t="shared" si="27"/>
        <v/>
      </c>
      <c r="G91" s="180"/>
      <c r="H91" s="181" t="str">
        <f t="shared" si="28"/>
        <v/>
      </c>
      <c r="I91" s="227"/>
      <c r="J91" s="227"/>
      <c r="K91" s="227"/>
      <c r="L91" s="227"/>
      <c r="M91" s="210" t="str">
        <f t="shared" si="33"/>
        <v/>
      </c>
      <c r="N91" s="210"/>
      <c r="O91" s="207"/>
      <c r="P91" s="182" t="str">
        <f t="shared" si="18"/>
        <v/>
      </c>
      <c r="Q91" s="183" t="str">
        <f t="shared" si="29"/>
        <v/>
      </c>
      <c r="R91" s="182" t="str">
        <f>IF(M91&lt;&gt;"",IF(#REF!*F91*10=0,"",#REF!*F91*10),"")</f>
        <v/>
      </c>
      <c r="S91" s="184" t="str">
        <f t="shared" si="30"/>
        <v/>
      </c>
      <c r="T91" s="185" t="str">
        <f t="shared" si="19"/>
        <v/>
      </c>
      <c r="U91" s="183" t="str">
        <f t="shared" si="31"/>
        <v/>
      </c>
      <c r="V91" s="186" t="str">
        <f t="shared" si="20"/>
        <v/>
      </c>
      <c r="W91" s="186" t="str">
        <f t="shared" si="21"/>
        <v/>
      </c>
      <c r="X91" s="187" t="str">
        <f t="shared" si="22"/>
        <v/>
      </c>
      <c r="Y91" s="182" t="str">
        <f t="shared" si="32"/>
        <v/>
      </c>
      <c r="Z91" s="209" t="str">
        <f t="shared" si="23"/>
        <v/>
      </c>
      <c r="AA91" s="209" t="str">
        <f t="shared" si="24"/>
        <v/>
      </c>
      <c r="AB91" s="200"/>
      <c r="AC91" s="192"/>
    </row>
    <row r="92" spans="1:29" ht="11.4">
      <c r="A92" s="211" t="str">
        <f t="shared" si="25"/>
        <v/>
      </c>
      <c r="B92" s="211"/>
      <c r="C92" s="215"/>
      <c r="D92" s="213" t="str">
        <f t="shared" si="26"/>
        <v/>
      </c>
      <c r="E92" s="213" t="str">
        <f t="shared" si="34"/>
        <v/>
      </c>
      <c r="F92" s="214" t="str">
        <f t="shared" si="27"/>
        <v/>
      </c>
      <c r="G92" s="180"/>
      <c r="H92" s="181" t="str">
        <f t="shared" si="28"/>
        <v/>
      </c>
      <c r="I92" s="227"/>
      <c r="J92" s="227"/>
      <c r="K92" s="227"/>
      <c r="L92" s="227"/>
      <c r="M92" s="210" t="str">
        <f t="shared" si="33"/>
        <v/>
      </c>
      <c r="N92" s="210"/>
      <c r="O92" s="207"/>
      <c r="P92" s="182" t="str">
        <f t="shared" si="18"/>
        <v/>
      </c>
      <c r="Q92" s="183" t="str">
        <f t="shared" si="29"/>
        <v/>
      </c>
      <c r="R92" s="182" t="str">
        <f>IF(M92&lt;&gt;"",IF(#REF!*F92*10=0,"",#REF!*F92*10),"")</f>
        <v/>
      </c>
      <c r="S92" s="184" t="str">
        <f t="shared" si="30"/>
        <v/>
      </c>
      <c r="T92" s="185" t="str">
        <f t="shared" si="19"/>
        <v/>
      </c>
      <c r="U92" s="183" t="str">
        <f t="shared" si="31"/>
        <v/>
      </c>
      <c r="V92" s="186" t="str">
        <f t="shared" si="20"/>
        <v/>
      </c>
      <c r="W92" s="186" t="str">
        <f t="shared" si="21"/>
        <v/>
      </c>
      <c r="X92" s="187" t="str">
        <f t="shared" si="22"/>
        <v/>
      </c>
      <c r="Y92" s="182" t="str">
        <f t="shared" si="32"/>
        <v/>
      </c>
      <c r="Z92" s="209" t="str">
        <f t="shared" si="23"/>
        <v/>
      </c>
      <c r="AA92" s="209" t="str">
        <f t="shared" si="24"/>
        <v/>
      </c>
      <c r="AB92" s="200"/>
      <c r="AC92" s="192"/>
    </row>
    <row r="93" spans="1:29" ht="11.4">
      <c r="A93" s="211" t="str">
        <f t="shared" si="25"/>
        <v/>
      </c>
      <c r="B93" s="211"/>
      <c r="C93" s="215"/>
      <c r="D93" s="213" t="str">
        <f t="shared" si="26"/>
        <v/>
      </c>
      <c r="E93" s="213" t="str">
        <f t="shared" si="34"/>
        <v/>
      </c>
      <c r="F93" s="214" t="str">
        <f t="shared" si="27"/>
        <v/>
      </c>
      <c r="G93" s="180"/>
      <c r="H93" s="181" t="str">
        <f t="shared" si="28"/>
        <v/>
      </c>
      <c r="I93" s="227"/>
      <c r="J93" s="227"/>
      <c r="K93" s="227"/>
      <c r="L93" s="227"/>
      <c r="M93" s="210" t="str">
        <f t="shared" si="33"/>
        <v/>
      </c>
      <c r="N93" s="210"/>
      <c r="O93" s="207"/>
      <c r="P93" s="182" t="str">
        <f t="shared" si="18"/>
        <v/>
      </c>
      <c r="Q93" s="183" t="str">
        <f t="shared" si="29"/>
        <v/>
      </c>
      <c r="R93" s="182" t="str">
        <f>IF(M93&lt;&gt;"",IF(#REF!*F93*10=0,"",#REF!*F93*10),"")</f>
        <v/>
      </c>
      <c r="S93" s="184" t="str">
        <f t="shared" si="30"/>
        <v/>
      </c>
      <c r="T93" s="185" t="str">
        <f t="shared" si="19"/>
        <v/>
      </c>
      <c r="U93" s="183" t="str">
        <f t="shared" si="31"/>
        <v/>
      </c>
      <c r="V93" s="186" t="str">
        <f t="shared" si="20"/>
        <v/>
      </c>
      <c r="W93" s="186" t="str">
        <f t="shared" si="21"/>
        <v/>
      </c>
      <c r="X93" s="187" t="str">
        <f t="shared" si="22"/>
        <v/>
      </c>
      <c r="Y93" s="182" t="str">
        <f t="shared" si="32"/>
        <v/>
      </c>
      <c r="Z93" s="209" t="str">
        <f t="shared" si="23"/>
        <v/>
      </c>
      <c r="AA93" s="209" t="str">
        <f t="shared" si="24"/>
        <v/>
      </c>
      <c r="AB93" s="200"/>
      <c r="AC93" s="192"/>
    </row>
    <row r="94" spans="1:29" ht="11.4">
      <c r="A94" s="211" t="str">
        <f t="shared" si="25"/>
        <v/>
      </c>
      <c r="B94" s="211"/>
      <c r="C94" s="215"/>
      <c r="D94" s="213" t="str">
        <f t="shared" si="26"/>
        <v/>
      </c>
      <c r="E94" s="213" t="str">
        <f t="shared" si="34"/>
        <v/>
      </c>
      <c r="F94" s="214" t="str">
        <f t="shared" si="27"/>
        <v/>
      </c>
      <c r="G94" s="180"/>
      <c r="H94" s="181" t="str">
        <f t="shared" si="28"/>
        <v/>
      </c>
      <c r="I94" s="227"/>
      <c r="J94" s="227"/>
      <c r="K94" s="227"/>
      <c r="L94" s="227"/>
      <c r="M94" s="210" t="str">
        <f t="shared" si="33"/>
        <v/>
      </c>
      <c r="N94" s="210"/>
      <c r="O94" s="207"/>
      <c r="P94" s="182" t="str">
        <f t="shared" si="18"/>
        <v/>
      </c>
      <c r="Q94" s="183" t="str">
        <f t="shared" si="29"/>
        <v/>
      </c>
      <c r="R94" s="182" t="str">
        <f>IF(M94&lt;&gt;"",IF(#REF!*F94*10=0,"",#REF!*F94*10),"")</f>
        <v/>
      </c>
      <c r="S94" s="184" t="str">
        <f t="shared" si="30"/>
        <v/>
      </c>
      <c r="T94" s="185" t="str">
        <f t="shared" si="19"/>
        <v/>
      </c>
      <c r="U94" s="183" t="str">
        <f t="shared" si="31"/>
        <v/>
      </c>
      <c r="V94" s="186" t="str">
        <f t="shared" si="20"/>
        <v/>
      </c>
      <c r="W94" s="186" t="str">
        <f t="shared" si="21"/>
        <v/>
      </c>
      <c r="X94" s="187" t="str">
        <f t="shared" si="22"/>
        <v/>
      </c>
      <c r="Y94" s="182" t="str">
        <f t="shared" si="32"/>
        <v/>
      </c>
      <c r="Z94" s="209" t="str">
        <f t="shared" si="23"/>
        <v/>
      </c>
      <c r="AA94" s="209" t="str">
        <f t="shared" si="24"/>
        <v/>
      </c>
      <c r="AB94" s="200"/>
      <c r="AC94" s="192"/>
    </row>
    <row r="95" spans="1:29" ht="11.4">
      <c r="A95" s="211" t="str">
        <f t="shared" si="25"/>
        <v/>
      </c>
      <c r="B95" s="211"/>
      <c r="C95" s="215"/>
      <c r="D95" s="213" t="str">
        <f t="shared" si="26"/>
        <v/>
      </c>
      <c r="E95" s="213" t="str">
        <f t="shared" si="34"/>
        <v/>
      </c>
      <c r="F95" s="214" t="str">
        <f t="shared" si="27"/>
        <v/>
      </c>
      <c r="G95" s="180"/>
      <c r="H95" s="181" t="str">
        <f t="shared" si="28"/>
        <v/>
      </c>
      <c r="I95" s="227"/>
      <c r="J95" s="227"/>
      <c r="K95" s="227"/>
      <c r="L95" s="227"/>
      <c r="M95" s="210" t="str">
        <f t="shared" si="33"/>
        <v/>
      </c>
      <c r="N95" s="210"/>
      <c r="O95" s="207"/>
      <c r="P95" s="182" t="str">
        <f t="shared" si="18"/>
        <v/>
      </c>
      <c r="Q95" s="183" t="str">
        <f t="shared" si="29"/>
        <v/>
      </c>
      <c r="R95" s="182" t="str">
        <f>IF(M95&lt;&gt;"",IF(#REF!*F95*10=0,"",#REF!*F95*10),"")</f>
        <v/>
      </c>
      <c r="S95" s="184" t="str">
        <f t="shared" si="30"/>
        <v/>
      </c>
      <c r="T95" s="185" t="str">
        <f t="shared" si="19"/>
        <v/>
      </c>
      <c r="U95" s="183" t="str">
        <f t="shared" si="31"/>
        <v/>
      </c>
      <c r="V95" s="186" t="str">
        <f t="shared" si="20"/>
        <v/>
      </c>
      <c r="W95" s="186" t="str">
        <f t="shared" si="21"/>
        <v/>
      </c>
      <c r="X95" s="187" t="str">
        <f t="shared" si="22"/>
        <v/>
      </c>
      <c r="Y95" s="182" t="str">
        <f t="shared" si="32"/>
        <v/>
      </c>
      <c r="Z95" s="209" t="str">
        <f t="shared" si="23"/>
        <v/>
      </c>
      <c r="AA95" s="209" t="str">
        <f t="shared" si="24"/>
        <v/>
      </c>
      <c r="AB95" s="200"/>
      <c r="AC95" s="192"/>
    </row>
    <row r="96" spans="1:29" ht="11.4">
      <c r="A96" s="211" t="str">
        <f t="shared" si="25"/>
        <v/>
      </c>
      <c r="B96" s="211"/>
      <c r="C96" s="215"/>
      <c r="D96" s="213" t="str">
        <f t="shared" si="26"/>
        <v/>
      </c>
      <c r="E96" s="213" t="str">
        <f t="shared" si="34"/>
        <v/>
      </c>
      <c r="F96" s="214" t="str">
        <f t="shared" si="27"/>
        <v/>
      </c>
      <c r="G96" s="180"/>
      <c r="H96" s="181" t="str">
        <f t="shared" si="28"/>
        <v/>
      </c>
      <c r="I96" s="227"/>
      <c r="J96" s="227"/>
      <c r="K96" s="227"/>
      <c r="L96" s="227"/>
      <c r="M96" s="210" t="str">
        <f t="shared" si="33"/>
        <v/>
      </c>
      <c r="N96" s="210"/>
      <c r="O96" s="207"/>
      <c r="P96" s="182" t="str">
        <f t="shared" si="18"/>
        <v/>
      </c>
      <c r="Q96" s="183" t="str">
        <f t="shared" si="29"/>
        <v/>
      </c>
      <c r="R96" s="182" t="str">
        <f>IF(M96&lt;&gt;"",IF(#REF!*F96*10=0,"",#REF!*F96*10),"")</f>
        <v/>
      </c>
      <c r="S96" s="184" t="str">
        <f t="shared" si="30"/>
        <v/>
      </c>
      <c r="T96" s="185" t="str">
        <f t="shared" si="19"/>
        <v/>
      </c>
      <c r="U96" s="183" t="str">
        <f t="shared" si="31"/>
        <v/>
      </c>
      <c r="V96" s="186" t="str">
        <f t="shared" si="20"/>
        <v/>
      </c>
      <c r="W96" s="186" t="str">
        <f t="shared" si="21"/>
        <v/>
      </c>
      <c r="X96" s="187" t="str">
        <f t="shared" si="22"/>
        <v/>
      </c>
      <c r="Y96" s="182" t="str">
        <f t="shared" si="32"/>
        <v/>
      </c>
      <c r="Z96" s="209" t="str">
        <f t="shared" si="23"/>
        <v/>
      </c>
      <c r="AA96" s="209" t="str">
        <f t="shared" si="24"/>
        <v/>
      </c>
      <c r="AB96" s="200"/>
      <c r="AC96" s="192"/>
    </row>
    <row r="97" spans="1:29" ht="11.4">
      <c r="A97" s="211" t="str">
        <f t="shared" si="25"/>
        <v/>
      </c>
      <c r="B97" s="211"/>
      <c r="C97" s="215"/>
      <c r="D97" s="213" t="str">
        <f t="shared" si="26"/>
        <v/>
      </c>
      <c r="E97" s="213" t="str">
        <f t="shared" si="34"/>
        <v/>
      </c>
      <c r="F97" s="214" t="str">
        <f t="shared" si="27"/>
        <v/>
      </c>
      <c r="G97" s="180"/>
      <c r="H97" s="181" t="str">
        <f t="shared" si="28"/>
        <v/>
      </c>
      <c r="I97" s="227"/>
      <c r="J97" s="227"/>
      <c r="K97" s="227"/>
      <c r="L97" s="227"/>
      <c r="M97" s="210" t="str">
        <f t="shared" si="33"/>
        <v/>
      </c>
      <c r="N97" s="210"/>
      <c r="O97" s="207"/>
      <c r="P97" s="182" t="str">
        <f t="shared" si="18"/>
        <v/>
      </c>
      <c r="Q97" s="183" t="str">
        <f t="shared" si="29"/>
        <v/>
      </c>
      <c r="R97" s="182" t="str">
        <f>IF(M97&lt;&gt;"",IF(#REF!*F97*10=0,"",#REF!*F97*10),"")</f>
        <v/>
      </c>
      <c r="S97" s="184" t="str">
        <f t="shared" si="30"/>
        <v/>
      </c>
      <c r="T97" s="185" t="str">
        <f t="shared" si="19"/>
        <v/>
      </c>
      <c r="U97" s="183" t="str">
        <f t="shared" si="31"/>
        <v/>
      </c>
      <c r="V97" s="186" t="str">
        <f t="shared" si="20"/>
        <v/>
      </c>
      <c r="W97" s="186" t="str">
        <f t="shared" si="21"/>
        <v/>
      </c>
      <c r="X97" s="187" t="str">
        <f t="shared" si="22"/>
        <v/>
      </c>
      <c r="Y97" s="182" t="str">
        <f t="shared" si="32"/>
        <v/>
      </c>
      <c r="Z97" s="209" t="str">
        <f t="shared" si="23"/>
        <v/>
      </c>
      <c r="AA97" s="209" t="str">
        <f t="shared" si="24"/>
        <v/>
      </c>
      <c r="AB97" s="200"/>
      <c r="AC97" s="192"/>
    </row>
    <row r="98" spans="1:29" ht="11.4">
      <c r="A98" s="211" t="str">
        <f t="shared" si="25"/>
        <v/>
      </c>
      <c r="B98" s="211"/>
      <c r="C98" s="215"/>
      <c r="D98" s="213" t="str">
        <f t="shared" si="26"/>
        <v/>
      </c>
      <c r="E98" s="213" t="str">
        <f t="shared" si="34"/>
        <v/>
      </c>
      <c r="F98" s="214" t="str">
        <f t="shared" si="27"/>
        <v/>
      </c>
      <c r="G98" s="180"/>
      <c r="H98" s="181" t="str">
        <f t="shared" si="28"/>
        <v/>
      </c>
      <c r="I98" s="227"/>
      <c r="J98" s="227"/>
      <c r="K98" s="227"/>
      <c r="L98" s="227"/>
      <c r="M98" s="210" t="str">
        <f t="shared" si="33"/>
        <v/>
      </c>
      <c r="N98" s="210"/>
      <c r="O98" s="207"/>
      <c r="P98" s="182" t="str">
        <f t="shared" si="18"/>
        <v/>
      </c>
      <c r="Q98" s="183" t="str">
        <f t="shared" si="29"/>
        <v/>
      </c>
      <c r="R98" s="182" t="str">
        <f>IF(M98&lt;&gt;"",IF(#REF!*F98*10=0,"",#REF!*F98*10),"")</f>
        <v/>
      </c>
      <c r="S98" s="184" t="str">
        <f t="shared" si="30"/>
        <v/>
      </c>
      <c r="T98" s="185" t="str">
        <f t="shared" si="19"/>
        <v/>
      </c>
      <c r="U98" s="183" t="str">
        <f t="shared" si="31"/>
        <v/>
      </c>
      <c r="V98" s="186" t="str">
        <f t="shared" si="20"/>
        <v/>
      </c>
      <c r="W98" s="186" t="str">
        <f t="shared" si="21"/>
        <v/>
      </c>
      <c r="X98" s="187" t="str">
        <f t="shared" si="22"/>
        <v/>
      </c>
      <c r="Y98" s="182" t="str">
        <f t="shared" si="32"/>
        <v/>
      </c>
      <c r="Z98" s="209" t="str">
        <f t="shared" si="23"/>
        <v/>
      </c>
      <c r="AA98" s="209" t="str">
        <f t="shared" si="24"/>
        <v/>
      </c>
      <c r="AB98" s="200"/>
      <c r="AC98" s="192"/>
    </row>
    <row r="99" spans="1:29" ht="11.4">
      <c r="A99" s="211" t="str">
        <f t="shared" si="25"/>
        <v/>
      </c>
      <c r="B99" s="211"/>
      <c r="C99" s="215"/>
      <c r="D99" s="213" t="str">
        <f t="shared" si="26"/>
        <v/>
      </c>
      <c r="E99" s="213" t="str">
        <f t="shared" si="34"/>
        <v/>
      </c>
      <c r="F99" s="214" t="str">
        <f t="shared" si="27"/>
        <v/>
      </c>
      <c r="G99" s="180"/>
      <c r="H99" s="181" t="str">
        <f t="shared" si="28"/>
        <v/>
      </c>
      <c r="I99" s="227"/>
      <c r="J99" s="227"/>
      <c r="K99" s="227"/>
      <c r="L99" s="227"/>
      <c r="M99" s="210" t="str">
        <f t="shared" si="33"/>
        <v/>
      </c>
      <c r="N99" s="210"/>
      <c r="O99" s="207"/>
      <c r="P99" s="182" t="str">
        <f t="shared" si="18"/>
        <v/>
      </c>
      <c r="Q99" s="183" t="str">
        <f t="shared" si="29"/>
        <v/>
      </c>
      <c r="R99" s="182" t="str">
        <f>IF(M99&lt;&gt;"",IF(#REF!*F99*10=0,"",#REF!*F99*10),"")</f>
        <v/>
      </c>
      <c r="S99" s="184" t="str">
        <f t="shared" si="30"/>
        <v/>
      </c>
      <c r="T99" s="185" t="str">
        <f t="shared" si="19"/>
        <v/>
      </c>
      <c r="U99" s="183" t="str">
        <f t="shared" si="31"/>
        <v/>
      </c>
      <c r="V99" s="186" t="str">
        <f t="shared" si="20"/>
        <v/>
      </c>
      <c r="W99" s="186" t="str">
        <f t="shared" si="21"/>
        <v/>
      </c>
      <c r="X99" s="187" t="str">
        <f t="shared" si="22"/>
        <v/>
      </c>
      <c r="Y99" s="182" t="str">
        <f t="shared" si="32"/>
        <v/>
      </c>
      <c r="Z99" s="209" t="str">
        <f t="shared" si="23"/>
        <v/>
      </c>
      <c r="AA99" s="209" t="str">
        <f t="shared" si="24"/>
        <v/>
      </c>
      <c r="AB99" s="200"/>
      <c r="AC99" s="192"/>
    </row>
    <row r="100" spans="1:29" ht="11.4">
      <c r="A100" s="211" t="str">
        <f t="shared" si="25"/>
        <v/>
      </c>
      <c r="B100" s="211"/>
      <c r="C100" s="215"/>
      <c r="D100" s="213" t="str">
        <f t="shared" si="26"/>
        <v/>
      </c>
      <c r="E100" s="213" t="str">
        <f t="shared" si="34"/>
        <v/>
      </c>
      <c r="F100" s="214" t="str">
        <f t="shared" si="27"/>
        <v/>
      </c>
      <c r="G100" s="180"/>
      <c r="H100" s="181" t="str">
        <f t="shared" si="28"/>
        <v/>
      </c>
      <c r="I100" s="227"/>
      <c r="J100" s="227"/>
      <c r="K100" s="227"/>
      <c r="L100" s="227"/>
      <c r="M100" s="210" t="str">
        <f t="shared" si="33"/>
        <v/>
      </c>
      <c r="N100" s="210"/>
      <c r="O100" s="207"/>
      <c r="P100" s="182" t="str">
        <f t="shared" si="18"/>
        <v/>
      </c>
      <c r="Q100" s="183" t="str">
        <f t="shared" si="29"/>
        <v/>
      </c>
      <c r="R100" s="182" t="str">
        <f>IF(M100&lt;&gt;"",IF(#REF!*F100*10=0,"",#REF!*F100*10),"")</f>
        <v/>
      </c>
      <c r="S100" s="184" t="str">
        <f t="shared" si="30"/>
        <v/>
      </c>
      <c r="T100" s="185" t="str">
        <f t="shared" si="19"/>
        <v/>
      </c>
      <c r="U100" s="183" t="str">
        <f t="shared" si="31"/>
        <v/>
      </c>
      <c r="V100" s="186" t="str">
        <f t="shared" si="20"/>
        <v/>
      </c>
      <c r="W100" s="186" t="str">
        <f t="shared" si="21"/>
        <v/>
      </c>
      <c r="X100" s="187" t="str">
        <f t="shared" si="22"/>
        <v/>
      </c>
      <c r="Y100" s="182" t="str">
        <f t="shared" si="32"/>
        <v/>
      </c>
      <c r="Z100" s="209" t="str">
        <f t="shared" si="23"/>
        <v/>
      </c>
      <c r="AA100" s="209" t="str">
        <f t="shared" si="24"/>
        <v/>
      </c>
      <c r="AB100" s="200"/>
      <c r="AC100" s="192"/>
    </row>
    <row r="101" spans="1:29" ht="11.4">
      <c r="A101" s="211" t="str">
        <f t="shared" si="25"/>
        <v/>
      </c>
      <c r="B101" s="211"/>
      <c r="C101" s="215"/>
      <c r="D101" s="213" t="str">
        <f t="shared" si="26"/>
        <v/>
      </c>
      <c r="E101" s="213" t="str">
        <f t="shared" si="34"/>
        <v/>
      </c>
      <c r="F101" s="214" t="str">
        <f t="shared" si="27"/>
        <v/>
      </c>
      <c r="G101" s="180"/>
      <c r="H101" s="181" t="str">
        <f t="shared" si="28"/>
        <v/>
      </c>
      <c r="I101" s="227"/>
      <c r="J101" s="227"/>
      <c r="K101" s="227"/>
      <c r="L101" s="227"/>
      <c r="M101" s="210" t="str">
        <f t="shared" si="33"/>
        <v/>
      </c>
      <c r="N101" s="210"/>
      <c r="O101" s="207"/>
      <c r="P101" s="182" t="str">
        <f t="shared" si="18"/>
        <v/>
      </c>
      <c r="Q101" s="183" t="str">
        <f t="shared" si="29"/>
        <v/>
      </c>
      <c r="R101" s="182" t="str">
        <f>IF(M101&lt;&gt;"",IF(#REF!*F101*10=0,"",#REF!*F101*10),"")</f>
        <v/>
      </c>
      <c r="S101" s="184" t="str">
        <f t="shared" si="30"/>
        <v/>
      </c>
      <c r="T101" s="185" t="str">
        <f t="shared" si="19"/>
        <v/>
      </c>
      <c r="U101" s="183" t="str">
        <f t="shared" si="31"/>
        <v/>
      </c>
      <c r="V101" s="186" t="str">
        <f t="shared" si="20"/>
        <v/>
      </c>
      <c r="W101" s="186" t="str">
        <f t="shared" si="21"/>
        <v/>
      </c>
      <c r="X101" s="187" t="str">
        <f t="shared" si="22"/>
        <v/>
      </c>
      <c r="Y101" s="182" t="str">
        <f t="shared" si="32"/>
        <v/>
      </c>
      <c r="Z101" s="209" t="str">
        <f t="shared" si="23"/>
        <v/>
      </c>
      <c r="AA101" s="209" t="str">
        <f t="shared" si="24"/>
        <v/>
      </c>
      <c r="AB101" s="200"/>
      <c r="AC101" s="192"/>
    </row>
    <row r="102" spans="1:29" ht="11.4">
      <c r="A102" s="211" t="str">
        <f t="shared" si="25"/>
        <v/>
      </c>
      <c r="B102" s="211"/>
      <c r="C102" s="215"/>
      <c r="D102" s="213" t="str">
        <f t="shared" si="26"/>
        <v/>
      </c>
      <c r="E102" s="213" t="str">
        <f t="shared" si="34"/>
        <v/>
      </c>
      <c r="F102" s="214" t="str">
        <f t="shared" si="27"/>
        <v/>
      </c>
      <c r="G102" s="180"/>
      <c r="H102" s="181" t="str">
        <f t="shared" si="28"/>
        <v/>
      </c>
      <c r="I102" s="227"/>
      <c r="J102" s="227"/>
      <c r="K102" s="227"/>
      <c r="L102" s="227"/>
      <c r="M102" s="210" t="str">
        <f t="shared" si="33"/>
        <v/>
      </c>
      <c r="N102" s="210"/>
      <c r="O102" s="207"/>
      <c r="P102" s="182" t="str">
        <f t="shared" si="18"/>
        <v/>
      </c>
      <c r="Q102" s="183" t="str">
        <f t="shared" si="29"/>
        <v/>
      </c>
      <c r="R102" s="182" t="str">
        <f>IF(M102&lt;&gt;"",IF(#REF!*F102*10=0,"",#REF!*F102*10),"")</f>
        <v/>
      </c>
      <c r="S102" s="184" t="str">
        <f t="shared" si="30"/>
        <v/>
      </c>
      <c r="T102" s="185" t="str">
        <f t="shared" si="19"/>
        <v/>
      </c>
      <c r="U102" s="183" t="str">
        <f t="shared" si="31"/>
        <v/>
      </c>
      <c r="V102" s="186" t="str">
        <f t="shared" si="20"/>
        <v/>
      </c>
      <c r="W102" s="186" t="str">
        <f t="shared" si="21"/>
        <v/>
      </c>
      <c r="X102" s="187" t="str">
        <f t="shared" si="22"/>
        <v/>
      </c>
      <c r="Y102" s="182" t="str">
        <f t="shared" si="32"/>
        <v/>
      </c>
      <c r="Z102" s="209" t="str">
        <f t="shared" si="23"/>
        <v/>
      </c>
      <c r="AA102" s="209" t="str">
        <f t="shared" si="24"/>
        <v/>
      </c>
      <c r="AB102" s="200"/>
      <c r="AC102" s="192"/>
    </row>
    <row r="103" spans="1:29" ht="11.4">
      <c r="A103" s="211" t="str">
        <f t="shared" si="25"/>
        <v/>
      </c>
      <c r="B103" s="211"/>
      <c r="C103" s="215"/>
      <c r="D103" s="213" t="str">
        <f t="shared" si="26"/>
        <v/>
      </c>
      <c r="E103" s="213" t="str">
        <f t="shared" si="34"/>
        <v/>
      </c>
      <c r="F103" s="214" t="str">
        <f t="shared" si="27"/>
        <v/>
      </c>
      <c r="G103" s="180"/>
      <c r="H103" s="181" t="str">
        <f t="shared" si="28"/>
        <v/>
      </c>
      <c r="I103" s="227"/>
      <c r="J103" s="227"/>
      <c r="K103" s="227"/>
      <c r="L103" s="227"/>
      <c r="M103" s="210" t="str">
        <f t="shared" si="33"/>
        <v/>
      </c>
      <c r="N103" s="210"/>
      <c r="O103" s="207"/>
      <c r="P103" s="182" t="str">
        <f t="shared" si="18"/>
        <v/>
      </c>
      <c r="Q103" s="183" t="str">
        <f t="shared" si="29"/>
        <v/>
      </c>
      <c r="R103" s="182" t="str">
        <f>IF(M103&lt;&gt;"",IF(#REF!*F103*10=0,"",#REF!*F103*10),"")</f>
        <v/>
      </c>
      <c r="S103" s="184" t="str">
        <f t="shared" si="30"/>
        <v/>
      </c>
      <c r="T103" s="185" t="str">
        <f t="shared" si="19"/>
        <v/>
      </c>
      <c r="U103" s="183" t="str">
        <f t="shared" si="31"/>
        <v/>
      </c>
      <c r="V103" s="186" t="str">
        <f t="shared" si="20"/>
        <v/>
      </c>
      <c r="W103" s="186" t="str">
        <f t="shared" si="21"/>
        <v/>
      </c>
      <c r="X103" s="187" t="str">
        <f t="shared" si="22"/>
        <v/>
      </c>
      <c r="Y103" s="182" t="str">
        <f t="shared" si="32"/>
        <v/>
      </c>
      <c r="Z103" s="209" t="str">
        <f t="shared" si="23"/>
        <v/>
      </c>
      <c r="AA103" s="209" t="str">
        <f t="shared" si="24"/>
        <v/>
      </c>
      <c r="AB103" s="200"/>
      <c r="AC103" s="192"/>
    </row>
    <row r="104" spans="1:29" ht="11.4">
      <c r="A104" s="211" t="str">
        <f t="shared" si="25"/>
        <v/>
      </c>
      <c r="B104" s="211"/>
      <c r="C104" s="215"/>
      <c r="D104" s="213" t="str">
        <f t="shared" si="26"/>
        <v/>
      </c>
      <c r="E104" s="213" t="str">
        <f t="shared" si="34"/>
        <v/>
      </c>
      <c r="F104" s="214" t="str">
        <f t="shared" si="27"/>
        <v/>
      </c>
      <c r="G104" s="180"/>
      <c r="H104" s="181" t="str">
        <f t="shared" si="28"/>
        <v/>
      </c>
      <c r="I104" s="227"/>
      <c r="J104" s="227"/>
      <c r="K104" s="227"/>
      <c r="L104" s="227"/>
      <c r="M104" s="210" t="str">
        <f t="shared" si="33"/>
        <v/>
      </c>
      <c r="N104" s="210"/>
      <c r="O104" s="207"/>
      <c r="P104" s="182" t="str">
        <f t="shared" si="18"/>
        <v/>
      </c>
      <c r="Q104" s="183" t="str">
        <f t="shared" si="29"/>
        <v/>
      </c>
      <c r="R104" s="182" t="str">
        <f>IF(M104&lt;&gt;"",IF(#REF!*F104*10=0,"",#REF!*F104*10),"")</f>
        <v/>
      </c>
      <c r="S104" s="184" t="str">
        <f t="shared" si="30"/>
        <v/>
      </c>
      <c r="T104" s="185" t="str">
        <f t="shared" si="19"/>
        <v/>
      </c>
      <c r="U104" s="183" t="str">
        <f t="shared" si="31"/>
        <v/>
      </c>
      <c r="V104" s="186" t="str">
        <f t="shared" si="20"/>
        <v/>
      </c>
      <c r="W104" s="186" t="str">
        <f t="shared" si="21"/>
        <v/>
      </c>
      <c r="X104" s="187" t="str">
        <f t="shared" si="22"/>
        <v/>
      </c>
      <c r="Y104" s="182" t="str">
        <f t="shared" si="32"/>
        <v/>
      </c>
      <c r="Z104" s="209" t="str">
        <f t="shared" si="23"/>
        <v/>
      </c>
      <c r="AA104" s="209" t="str">
        <f t="shared" si="24"/>
        <v/>
      </c>
      <c r="AB104" s="200"/>
      <c r="AC104" s="192"/>
    </row>
    <row r="105" spans="1:29" ht="11.4">
      <c r="A105" s="211" t="str">
        <f t="shared" si="25"/>
        <v/>
      </c>
      <c r="B105" s="211"/>
      <c r="C105" s="215"/>
      <c r="D105" s="213" t="str">
        <f t="shared" si="26"/>
        <v/>
      </c>
      <c r="E105" s="213" t="str">
        <f t="shared" si="34"/>
        <v/>
      </c>
      <c r="F105" s="214" t="str">
        <f t="shared" si="27"/>
        <v/>
      </c>
      <c r="G105" s="180"/>
      <c r="H105" s="181" t="str">
        <f t="shared" si="28"/>
        <v/>
      </c>
      <c r="I105" s="227"/>
      <c r="J105" s="227"/>
      <c r="K105" s="227"/>
      <c r="L105" s="227"/>
      <c r="M105" s="210" t="str">
        <f t="shared" si="33"/>
        <v/>
      </c>
      <c r="N105" s="210"/>
      <c r="O105" s="207"/>
      <c r="P105" s="182" t="str">
        <f t="shared" si="18"/>
        <v/>
      </c>
      <c r="Q105" s="183" t="str">
        <f t="shared" si="29"/>
        <v/>
      </c>
      <c r="R105" s="182" t="str">
        <f>IF(M105&lt;&gt;"",IF(#REF!*F105*10=0,"",#REF!*F105*10),"")</f>
        <v/>
      </c>
      <c r="S105" s="184" t="str">
        <f t="shared" si="30"/>
        <v/>
      </c>
      <c r="T105" s="185" t="str">
        <f t="shared" si="19"/>
        <v/>
      </c>
      <c r="U105" s="183" t="str">
        <f t="shared" si="31"/>
        <v/>
      </c>
      <c r="V105" s="186" t="str">
        <f t="shared" si="20"/>
        <v/>
      </c>
      <c r="W105" s="186" t="str">
        <f t="shared" si="21"/>
        <v/>
      </c>
      <c r="X105" s="187" t="str">
        <f t="shared" si="22"/>
        <v/>
      </c>
      <c r="Y105" s="182" t="str">
        <f t="shared" si="32"/>
        <v/>
      </c>
      <c r="Z105" s="209" t="str">
        <f t="shared" si="23"/>
        <v/>
      </c>
      <c r="AA105" s="209" t="str">
        <f t="shared" si="24"/>
        <v/>
      </c>
      <c r="AB105" s="200"/>
      <c r="AC105" s="192"/>
    </row>
    <row r="106" spans="1:29" ht="11.4">
      <c r="A106" s="211" t="str">
        <f t="shared" si="25"/>
        <v/>
      </c>
      <c r="B106" s="211"/>
      <c r="C106" s="215"/>
      <c r="D106" s="213" t="str">
        <f t="shared" si="26"/>
        <v/>
      </c>
      <c r="E106" s="213" t="str">
        <f t="shared" si="34"/>
        <v/>
      </c>
      <c r="F106" s="214" t="str">
        <f t="shared" si="27"/>
        <v/>
      </c>
      <c r="G106" s="180"/>
      <c r="H106" s="181" t="str">
        <f t="shared" si="28"/>
        <v/>
      </c>
      <c r="I106" s="227"/>
      <c r="J106" s="227"/>
      <c r="K106" s="227"/>
      <c r="L106" s="227"/>
      <c r="M106" s="210" t="str">
        <f t="shared" si="33"/>
        <v/>
      </c>
      <c r="N106" s="210"/>
      <c r="O106" s="207"/>
      <c r="P106" s="182" t="str">
        <f t="shared" si="18"/>
        <v/>
      </c>
      <c r="Q106" s="183" t="str">
        <f t="shared" si="29"/>
        <v/>
      </c>
      <c r="R106" s="182" t="str">
        <f>IF(M106&lt;&gt;"",IF(#REF!*F106*10=0,"",#REF!*F106*10),"")</f>
        <v/>
      </c>
      <c r="S106" s="184" t="str">
        <f t="shared" si="30"/>
        <v/>
      </c>
      <c r="T106" s="185" t="str">
        <f t="shared" si="19"/>
        <v/>
      </c>
      <c r="U106" s="183" t="str">
        <f t="shared" si="31"/>
        <v/>
      </c>
      <c r="V106" s="186" t="str">
        <f t="shared" si="20"/>
        <v/>
      </c>
      <c r="W106" s="186" t="str">
        <f t="shared" si="21"/>
        <v/>
      </c>
      <c r="X106" s="187" t="str">
        <f t="shared" si="22"/>
        <v/>
      </c>
      <c r="Y106" s="182" t="str">
        <f t="shared" si="32"/>
        <v/>
      </c>
      <c r="Z106" s="209" t="str">
        <f t="shared" si="23"/>
        <v/>
      </c>
      <c r="AA106" s="209" t="str">
        <f t="shared" si="24"/>
        <v/>
      </c>
      <c r="AB106" s="200"/>
      <c r="AC106" s="192"/>
    </row>
    <row r="107" spans="1:29" ht="11.4">
      <c r="A107" s="211" t="str">
        <f t="shared" si="25"/>
        <v/>
      </c>
      <c r="B107" s="211"/>
      <c r="C107" s="215"/>
      <c r="D107" s="213" t="str">
        <f t="shared" si="26"/>
        <v/>
      </c>
      <c r="E107" s="213" t="str">
        <f t="shared" si="34"/>
        <v/>
      </c>
      <c r="F107" s="214" t="str">
        <f t="shared" si="27"/>
        <v/>
      </c>
      <c r="G107" s="180"/>
      <c r="H107" s="181" t="str">
        <f t="shared" si="28"/>
        <v/>
      </c>
      <c r="I107" s="227"/>
      <c r="J107" s="227"/>
      <c r="K107" s="227"/>
      <c r="L107" s="227"/>
      <c r="M107" s="210" t="str">
        <f t="shared" si="33"/>
        <v/>
      </c>
      <c r="N107" s="210"/>
      <c r="O107" s="207"/>
      <c r="P107" s="182" t="str">
        <f t="shared" si="18"/>
        <v/>
      </c>
      <c r="Q107" s="183" t="str">
        <f t="shared" si="29"/>
        <v/>
      </c>
      <c r="R107" s="182" t="str">
        <f>IF(M107&lt;&gt;"",IF(#REF!*F107*10=0,"",#REF!*F107*10),"")</f>
        <v/>
      </c>
      <c r="S107" s="184" t="str">
        <f t="shared" si="30"/>
        <v/>
      </c>
      <c r="T107" s="185" t="str">
        <f t="shared" si="19"/>
        <v/>
      </c>
      <c r="U107" s="183" t="str">
        <f t="shared" si="31"/>
        <v/>
      </c>
      <c r="V107" s="186" t="str">
        <f t="shared" si="20"/>
        <v/>
      </c>
      <c r="W107" s="186" t="str">
        <f t="shared" si="21"/>
        <v/>
      </c>
      <c r="X107" s="187" t="str">
        <f t="shared" si="22"/>
        <v/>
      </c>
      <c r="Y107" s="182" t="str">
        <f t="shared" si="32"/>
        <v/>
      </c>
      <c r="Z107" s="209" t="str">
        <f t="shared" si="23"/>
        <v/>
      </c>
      <c r="AA107" s="209" t="str">
        <f t="shared" si="24"/>
        <v/>
      </c>
      <c r="AB107" s="200"/>
      <c r="AC107" s="192"/>
    </row>
    <row r="108" spans="1:29" ht="11.4">
      <c r="A108" s="211" t="str">
        <f t="shared" si="25"/>
        <v/>
      </c>
      <c r="B108" s="211"/>
      <c r="C108" s="215"/>
      <c r="D108" s="213" t="str">
        <f t="shared" si="26"/>
        <v/>
      </c>
      <c r="E108" s="213" t="str">
        <f t="shared" si="34"/>
        <v/>
      </c>
      <c r="F108" s="214" t="str">
        <f t="shared" si="27"/>
        <v/>
      </c>
      <c r="G108" s="180"/>
      <c r="H108" s="181" t="str">
        <f t="shared" si="28"/>
        <v/>
      </c>
      <c r="I108" s="227"/>
      <c r="J108" s="227"/>
      <c r="K108" s="227"/>
      <c r="L108" s="227"/>
      <c r="M108" s="210" t="str">
        <f t="shared" si="33"/>
        <v/>
      </c>
      <c r="N108" s="210"/>
      <c r="O108" s="207"/>
      <c r="P108" s="182" t="str">
        <f t="shared" si="18"/>
        <v/>
      </c>
      <c r="Q108" s="183" t="str">
        <f t="shared" si="29"/>
        <v/>
      </c>
      <c r="R108" s="182" t="str">
        <f>IF(M108&lt;&gt;"",IF(#REF!*F108*10=0,"",#REF!*F108*10),"")</f>
        <v/>
      </c>
      <c r="S108" s="184" t="str">
        <f t="shared" si="30"/>
        <v/>
      </c>
      <c r="T108" s="185" t="str">
        <f t="shared" si="19"/>
        <v/>
      </c>
      <c r="U108" s="183" t="str">
        <f t="shared" si="31"/>
        <v/>
      </c>
      <c r="V108" s="186" t="str">
        <f t="shared" si="20"/>
        <v/>
      </c>
      <c r="W108" s="186" t="str">
        <f t="shared" si="21"/>
        <v/>
      </c>
      <c r="X108" s="187" t="str">
        <f t="shared" si="22"/>
        <v/>
      </c>
      <c r="Y108" s="182" t="str">
        <f t="shared" si="32"/>
        <v/>
      </c>
      <c r="Z108" s="209" t="str">
        <f t="shared" si="23"/>
        <v/>
      </c>
      <c r="AA108" s="209" t="str">
        <f t="shared" si="24"/>
        <v/>
      </c>
      <c r="AB108" s="200"/>
      <c r="AC108" s="192"/>
    </row>
    <row r="109" spans="1:29" ht="11.4">
      <c r="A109" s="211" t="str">
        <f t="shared" si="25"/>
        <v/>
      </c>
      <c r="B109" s="211"/>
      <c r="C109" s="215"/>
      <c r="D109" s="213" t="str">
        <f t="shared" si="26"/>
        <v/>
      </c>
      <c r="E109" s="213" t="str">
        <f t="shared" si="34"/>
        <v/>
      </c>
      <c r="F109" s="214" t="str">
        <f t="shared" si="27"/>
        <v/>
      </c>
      <c r="G109" s="180"/>
      <c r="H109" s="181" t="str">
        <f t="shared" si="28"/>
        <v/>
      </c>
      <c r="I109" s="227"/>
      <c r="J109" s="227"/>
      <c r="K109" s="227"/>
      <c r="L109" s="227"/>
      <c r="M109" s="210" t="str">
        <f t="shared" si="33"/>
        <v/>
      </c>
      <c r="N109" s="210"/>
      <c r="O109" s="207"/>
      <c r="P109" s="182" t="str">
        <f t="shared" si="18"/>
        <v/>
      </c>
      <c r="Q109" s="183" t="str">
        <f t="shared" si="29"/>
        <v/>
      </c>
      <c r="R109" s="182" t="str">
        <f>IF(M109&lt;&gt;"",IF(#REF!*F109*10=0,"",#REF!*F109*10),"")</f>
        <v/>
      </c>
      <c r="S109" s="184" t="str">
        <f t="shared" si="30"/>
        <v/>
      </c>
      <c r="T109" s="185" t="str">
        <f t="shared" si="19"/>
        <v/>
      </c>
      <c r="U109" s="183" t="str">
        <f t="shared" si="31"/>
        <v/>
      </c>
      <c r="V109" s="186" t="str">
        <f t="shared" si="20"/>
        <v/>
      </c>
      <c r="W109" s="186" t="str">
        <f t="shared" si="21"/>
        <v/>
      </c>
      <c r="X109" s="187" t="str">
        <f t="shared" si="22"/>
        <v/>
      </c>
      <c r="Y109" s="182" t="str">
        <f t="shared" si="32"/>
        <v/>
      </c>
      <c r="Z109" s="209" t="str">
        <f t="shared" si="23"/>
        <v/>
      </c>
      <c r="AA109" s="209" t="str">
        <f t="shared" si="24"/>
        <v/>
      </c>
      <c r="AB109" s="200"/>
      <c r="AC109" s="192"/>
    </row>
    <row r="110" spans="1:29" ht="11.4">
      <c r="A110" s="211" t="str">
        <f t="shared" si="25"/>
        <v/>
      </c>
      <c r="B110" s="211"/>
      <c r="C110" s="215"/>
      <c r="D110" s="213" t="str">
        <f t="shared" si="26"/>
        <v/>
      </c>
      <c r="E110" s="213" t="str">
        <f t="shared" si="34"/>
        <v/>
      </c>
      <c r="F110" s="214" t="str">
        <f t="shared" si="27"/>
        <v/>
      </c>
      <c r="G110" s="180"/>
      <c r="H110" s="181" t="str">
        <f t="shared" si="28"/>
        <v/>
      </c>
      <c r="I110" s="227"/>
      <c r="J110" s="227"/>
      <c r="K110" s="227"/>
      <c r="L110" s="227"/>
      <c r="M110" s="210" t="str">
        <f t="shared" si="33"/>
        <v/>
      </c>
      <c r="N110" s="210"/>
      <c r="O110" s="207"/>
      <c r="P110" s="182" t="str">
        <f t="shared" si="18"/>
        <v/>
      </c>
      <c r="Q110" s="183" t="str">
        <f t="shared" si="29"/>
        <v/>
      </c>
      <c r="R110" s="182" t="str">
        <f>IF(M110&lt;&gt;"",IF(#REF!*F110*10=0,"",#REF!*F110*10),"")</f>
        <v/>
      </c>
      <c r="S110" s="184" t="str">
        <f t="shared" si="30"/>
        <v/>
      </c>
      <c r="T110" s="185" t="str">
        <f t="shared" si="19"/>
        <v/>
      </c>
      <c r="U110" s="183" t="str">
        <f t="shared" si="31"/>
        <v/>
      </c>
      <c r="V110" s="186" t="str">
        <f t="shared" si="20"/>
        <v/>
      </c>
      <c r="W110" s="186" t="str">
        <f t="shared" si="21"/>
        <v/>
      </c>
      <c r="X110" s="187" t="str">
        <f t="shared" si="22"/>
        <v/>
      </c>
      <c r="Y110" s="182" t="str">
        <f t="shared" si="32"/>
        <v/>
      </c>
      <c r="Z110" s="209" t="str">
        <f t="shared" si="23"/>
        <v/>
      </c>
      <c r="AA110" s="209" t="str">
        <f t="shared" si="24"/>
        <v/>
      </c>
      <c r="AB110" s="200"/>
      <c r="AC110" s="192"/>
    </row>
    <row r="111" spans="1:29" ht="11.4">
      <c r="A111" s="211" t="str">
        <f t="shared" si="25"/>
        <v/>
      </c>
      <c r="B111" s="211"/>
      <c r="C111" s="215"/>
      <c r="D111" s="213" t="str">
        <f t="shared" si="26"/>
        <v/>
      </c>
      <c r="E111" s="213" t="str">
        <f t="shared" si="34"/>
        <v/>
      </c>
      <c r="F111" s="214" t="str">
        <f t="shared" si="27"/>
        <v/>
      </c>
      <c r="G111" s="180"/>
      <c r="H111" s="181" t="str">
        <f t="shared" si="28"/>
        <v/>
      </c>
      <c r="I111" s="227"/>
      <c r="J111" s="227"/>
      <c r="K111" s="227"/>
      <c r="L111" s="227"/>
      <c r="M111" s="210" t="str">
        <f t="shared" si="33"/>
        <v/>
      </c>
      <c r="N111" s="210"/>
      <c r="O111" s="207"/>
      <c r="P111" s="182" t="str">
        <f t="shared" si="18"/>
        <v/>
      </c>
      <c r="Q111" s="183" t="str">
        <f t="shared" si="29"/>
        <v/>
      </c>
      <c r="R111" s="182" t="str">
        <f>IF(M111&lt;&gt;"",IF(#REF!*F111*10=0,"",#REF!*F111*10),"")</f>
        <v/>
      </c>
      <c r="S111" s="184" t="str">
        <f t="shared" si="30"/>
        <v/>
      </c>
      <c r="T111" s="185" t="str">
        <f t="shared" si="19"/>
        <v/>
      </c>
      <c r="U111" s="183" t="str">
        <f t="shared" si="31"/>
        <v/>
      </c>
      <c r="V111" s="186" t="str">
        <f t="shared" si="20"/>
        <v/>
      </c>
      <c r="W111" s="186" t="str">
        <f t="shared" si="21"/>
        <v/>
      </c>
      <c r="X111" s="187" t="str">
        <f t="shared" si="22"/>
        <v/>
      </c>
      <c r="Y111" s="182" t="str">
        <f t="shared" si="32"/>
        <v/>
      </c>
      <c r="Z111" s="209" t="str">
        <f t="shared" si="23"/>
        <v/>
      </c>
      <c r="AA111" s="209" t="str">
        <f t="shared" si="24"/>
        <v/>
      </c>
      <c r="AB111" s="200"/>
      <c r="AC111" s="192"/>
    </row>
    <row r="112" spans="1:29" ht="11.4">
      <c r="A112" s="211" t="str">
        <f t="shared" si="25"/>
        <v/>
      </c>
      <c r="B112" s="211"/>
      <c r="C112" s="215"/>
      <c r="D112" s="213" t="str">
        <f t="shared" si="26"/>
        <v/>
      </c>
      <c r="E112" s="213" t="str">
        <f t="shared" si="34"/>
        <v/>
      </c>
      <c r="F112" s="214" t="str">
        <f t="shared" si="27"/>
        <v/>
      </c>
      <c r="G112" s="180"/>
      <c r="H112" s="181" t="str">
        <f t="shared" si="28"/>
        <v/>
      </c>
      <c r="I112" s="227"/>
      <c r="J112" s="227"/>
      <c r="K112" s="227"/>
      <c r="L112" s="227"/>
      <c r="M112" s="210" t="str">
        <f t="shared" si="33"/>
        <v/>
      </c>
      <c r="N112" s="210"/>
      <c r="O112" s="207"/>
      <c r="P112" s="182" t="str">
        <f t="shared" si="18"/>
        <v/>
      </c>
      <c r="Q112" s="183" t="str">
        <f t="shared" si="29"/>
        <v/>
      </c>
      <c r="R112" s="182" t="str">
        <f>IF(M112&lt;&gt;"",IF(#REF!*F112*10=0,"",#REF!*F112*10),"")</f>
        <v/>
      </c>
      <c r="S112" s="184" t="str">
        <f t="shared" si="30"/>
        <v/>
      </c>
      <c r="T112" s="185" t="str">
        <f t="shared" si="19"/>
        <v/>
      </c>
      <c r="U112" s="183" t="str">
        <f t="shared" si="31"/>
        <v/>
      </c>
      <c r="V112" s="186" t="str">
        <f t="shared" si="20"/>
        <v/>
      </c>
      <c r="W112" s="186" t="str">
        <f t="shared" si="21"/>
        <v/>
      </c>
      <c r="X112" s="187" t="str">
        <f t="shared" si="22"/>
        <v/>
      </c>
      <c r="Y112" s="182" t="str">
        <f t="shared" si="32"/>
        <v/>
      </c>
      <c r="Z112" s="209" t="str">
        <f t="shared" si="23"/>
        <v/>
      </c>
      <c r="AA112" s="209" t="str">
        <f t="shared" si="24"/>
        <v/>
      </c>
      <c r="AB112" s="200"/>
      <c r="AC112" s="192"/>
    </row>
    <row r="113" spans="1:29" ht="11.4">
      <c r="A113" s="211" t="str">
        <f t="shared" si="25"/>
        <v/>
      </c>
      <c r="B113" s="211"/>
      <c r="C113" s="215"/>
      <c r="D113" s="213" t="str">
        <f t="shared" si="26"/>
        <v/>
      </c>
      <c r="E113" s="213" t="str">
        <f t="shared" si="34"/>
        <v/>
      </c>
      <c r="F113" s="214" t="str">
        <f t="shared" si="27"/>
        <v/>
      </c>
      <c r="G113" s="180"/>
      <c r="H113" s="181" t="str">
        <f t="shared" si="28"/>
        <v/>
      </c>
      <c r="I113" s="227"/>
      <c r="J113" s="227"/>
      <c r="K113" s="227"/>
      <c r="L113" s="227"/>
      <c r="M113" s="210" t="str">
        <f t="shared" si="33"/>
        <v/>
      </c>
      <c r="N113" s="210"/>
      <c r="O113" s="207"/>
      <c r="P113" s="182" t="str">
        <f t="shared" si="18"/>
        <v/>
      </c>
      <c r="Q113" s="183" t="str">
        <f t="shared" si="29"/>
        <v/>
      </c>
      <c r="R113" s="182" t="str">
        <f>IF(M113&lt;&gt;"",IF(#REF!*F113*10=0,"",#REF!*F113*10),"")</f>
        <v/>
      </c>
      <c r="S113" s="184" t="str">
        <f t="shared" si="30"/>
        <v/>
      </c>
      <c r="T113" s="185" t="str">
        <f t="shared" si="19"/>
        <v/>
      </c>
      <c r="U113" s="183" t="str">
        <f t="shared" si="31"/>
        <v/>
      </c>
      <c r="V113" s="186" t="str">
        <f t="shared" si="20"/>
        <v/>
      </c>
      <c r="W113" s="186" t="str">
        <f t="shared" si="21"/>
        <v/>
      </c>
      <c r="X113" s="187" t="str">
        <f t="shared" si="22"/>
        <v/>
      </c>
      <c r="Y113" s="182" t="str">
        <f t="shared" si="32"/>
        <v/>
      </c>
      <c r="Z113" s="209" t="str">
        <f t="shared" si="23"/>
        <v/>
      </c>
      <c r="AA113" s="209" t="str">
        <f t="shared" si="24"/>
        <v/>
      </c>
      <c r="AB113" s="200"/>
      <c r="AC113" s="192"/>
    </row>
    <row r="114" spans="1:29" ht="11.4">
      <c r="A114" s="211" t="str">
        <f t="shared" si="25"/>
        <v/>
      </c>
      <c r="B114" s="211"/>
      <c r="C114" s="215"/>
      <c r="D114" s="213" t="str">
        <f t="shared" si="26"/>
        <v/>
      </c>
      <c r="E114" s="213" t="str">
        <f t="shared" si="34"/>
        <v/>
      </c>
      <c r="F114" s="214" t="str">
        <f t="shared" si="27"/>
        <v/>
      </c>
      <c r="G114" s="180"/>
      <c r="H114" s="181" t="str">
        <f t="shared" si="28"/>
        <v/>
      </c>
      <c r="I114" s="227"/>
      <c r="J114" s="227"/>
      <c r="K114" s="227"/>
      <c r="L114" s="227"/>
      <c r="M114" s="210" t="str">
        <f t="shared" si="33"/>
        <v/>
      </c>
      <c r="N114" s="210"/>
      <c r="O114" s="207"/>
      <c r="P114" s="182" t="str">
        <f t="shared" si="18"/>
        <v/>
      </c>
      <c r="Q114" s="183" t="str">
        <f t="shared" si="29"/>
        <v/>
      </c>
      <c r="R114" s="182" t="str">
        <f>IF(M114&lt;&gt;"",IF(#REF!*F114*10=0,"",#REF!*F114*10),"")</f>
        <v/>
      </c>
      <c r="S114" s="184" t="str">
        <f t="shared" si="30"/>
        <v/>
      </c>
      <c r="T114" s="185" t="str">
        <f t="shared" si="19"/>
        <v/>
      </c>
      <c r="U114" s="183" t="str">
        <f t="shared" si="31"/>
        <v/>
      </c>
      <c r="V114" s="186" t="str">
        <f t="shared" si="20"/>
        <v/>
      </c>
      <c r="W114" s="186" t="str">
        <f t="shared" si="21"/>
        <v/>
      </c>
      <c r="X114" s="187" t="str">
        <f t="shared" si="22"/>
        <v/>
      </c>
      <c r="Y114" s="182" t="str">
        <f t="shared" si="32"/>
        <v/>
      </c>
      <c r="Z114" s="209" t="str">
        <f t="shared" si="23"/>
        <v/>
      </c>
      <c r="AA114" s="209" t="str">
        <f t="shared" si="24"/>
        <v/>
      </c>
      <c r="AB114" s="200"/>
      <c r="AC114" s="192"/>
    </row>
    <row r="115" spans="1:29" ht="11.4">
      <c r="A115" s="211" t="str">
        <f t="shared" si="25"/>
        <v/>
      </c>
      <c r="B115" s="211"/>
      <c r="C115" s="215"/>
      <c r="D115" s="213" t="str">
        <f t="shared" si="26"/>
        <v/>
      </c>
      <c r="E115" s="213" t="str">
        <f t="shared" si="34"/>
        <v/>
      </c>
      <c r="F115" s="214" t="str">
        <f t="shared" si="27"/>
        <v/>
      </c>
      <c r="G115" s="180"/>
      <c r="H115" s="181" t="str">
        <f t="shared" si="28"/>
        <v/>
      </c>
      <c r="I115" s="227"/>
      <c r="J115" s="227"/>
      <c r="K115" s="227"/>
      <c r="L115" s="227"/>
      <c r="M115" s="210" t="str">
        <f t="shared" si="33"/>
        <v/>
      </c>
      <c r="N115" s="210"/>
      <c r="O115" s="207"/>
      <c r="P115" s="182" t="str">
        <f t="shared" si="18"/>
        <v/>
      </c>
      <c r="Q115" s="183" t="str">
        <f t="shared" si="29"/>
        <v/>
      </c>
      <c r="R115" s="182" t="str">
        <f>IF(M115&lt;&gt;"",IF(#REF!*F115*10=0,"",#REF!*F115*10),"")</f>
        <v/>
      </c>
      <c r="S115" s="184" t="str">
        <f t="shared" si="30"/>
        <v/>
      </c>
      <c r="T115" s="185" t="str">
        <f t="shared" si="19"/>
        <v/>
      </c>
      <c r="U115" s="183" t="str">
        <f t="shared" si="31"/>
        <v/>
      </c>
      <c r="V115" s="186" t="str">
        <f t="shared" si="20"/>
        <v/>
      </c>
      <c r="W115" s="186" t="str">
        <f t="shared" si="21"/>
        <v/>
      </c>
      <c r="X115" s="187" t="str">
        <f t="shared" si="22"/>
        <v/>
      </c>
      <c r="Y115" s="182" t="str">
        <f t="shared" si="32"/>
        <v/>
      </c>
      <c r="Z115" s="209" t="str">
        <f t="shared" si="23"/>
        <v/>
      </c>
      <c r="AA115" s="209" t="str">
        <f t="shared" si="24"/>
        <v/>
      </c>
      <c r="AB115" s="200"/>
      <c r="AC115" s="192"/>
    </row>
    <row r="116" spans="1:29" ht="11.4">
      <c r="A116" s="211" t="str">
        <f t="shared" si="25"/>
        <v/>
      </c>
      <c r="B116" s="211"/>
      <c r="C116" s="215"/>
      <c r="D116" s="213" t="str">
        <f t="shared" si="26"/>
        <v/>
      </c>
      <c r="E116" s="213" t="str">
        <f t="shared" si="34"/>
        <v/>
      </c>
      <c r="F116" s="214" t="str">
        <f t="shared" si="27"/>
        <v/>
      </c>
      <c r="G116" s="180"/>
      <c r="H116" s="181" t="str">
        <f t="shared" si="28"/>
        <v/>
      </c>
      <c r="I116" s="227"/>
      <c r="J116" s="227"/>
      <c r="K116" s="227"/>
      <c r="L116" s="227"/>
      <c r="M116" s="210" t="str">
        <f t="shared" si="33"/>
        <v/>
      </c>
      <c r="N116" s="210"/>
      <c r="O116" s="207"/>
      <c r="P116" s="182" t="str">
        <f t="shared" si="18"/>
        <v/>
      </c>
      <c r="Q116" s="183" t="str">
        <f t="shared" si="29"/>
        <v/>
      </c>
      <c r="R116" s="182" t="str">
        <f>IF(M116&lt;&gt;"",IF(#REF!*F116*10=0,"",#REF!*F116*10),"")</f>
        <v/>
      </c>
      <c r="S116" s="184" t="str">
        <f t="shared" si="30"/>
        <v/>
      </c>
      <c r="T116" s="185" t="str">
        <f t="shared" si="19"/>
        <v/>
      </c>
      <c r="U116" s="183" t="str">
        <f t="shared" si="31"/>
        <v/>
      </c>
      <c r="V116" s="186" t="str">
        <f t="shared" si="20"/>
        <v/>
      </c>
      <c r="W116" s="186" t="str">
        <f t="shared" si="21"/>
        <v/>
      </c>
      <c r="X116" s="187" t="str">
        <f t="shared" si="22"/>
        <v/>
      </c>
      <c r="Y116" s="182" t="str">
        <f t="shared" si="32"/>
        <v/>
      </c>
      <c r="Z116" s="209" t="str">
        <f t="shared" si="23"/>
        <v/>
      </c>
      <c r="AA116" s="209" t="str">
        <f t="shared" si="24"/>
        <v/>
      </c>
      <c r="AB116" s="200"/>
      <c r="AC116" s="192"/>
    </row>
    <row r="117" spans="1:29" ht="11.4">
      <c r="A117" s="211" t="str">
        <f t="shared" si="25"/>
        <v/>
      </c>
      <c r="B117" s="211"/>
      <c r="C117" s="215"/>
      <c r="D117" s="213" t="str">
        <f t="shared" si="26"/>
        <v/>
      </c>
      <c r="E117" s="213" t="str">
        <f t="shared" si="34"/>
        <v/>
      </c>
      <c r="F117" s="214" t="str">
        <f t="shared" si="27"/>
        <v/>
      </c>
      <c r="G117" s="180"/>
      <c r="H117" s="181" t="str">
        <f t="shared" si="28"/>
        <v/>
      </c>
      <c r="I117" s="227"/>
      <c r="J117" s="227"/>
      <c r="K117" s="227"/>
      <c r="L117" s="227"/>
      <c r="M117" s="210" t="str">
        <f t="shared" si="33"/>
        <v/>
      </c>
      <c r="N117" s="210"/>
      <c r="O117" s="207"/>
      <c r="P117" s="182" t="str">
        <f t="shared" si="18"/>
        <v/>
      </c>
      <c r="Q117" s="183" t="str">
        <f t="shared" si="29"/>
        <v/>
      </c>
      <c r="R117" s="182" t="str">
        <f>IF(M117&lt;&gt;"",IF(#REF!*F117*10=0,"",#REF!*F117*10),"")</f>
        <v/>
      </c>
      <c r="S117" s="184" t="str">
        <f t="shared" si="30"/>
        <v/>
      </c>
      <c r="T117" s="185" t="str">
        <f t="shared" si="19"/>
        <v/>
      </c>
      <c r="U117" s="183" t="str">
        <f t="shared" si="31"/>
        <v/>
      </c>
      <c r="V117" s="186" t="str">
        <f t="shared" si="20"/>
        <v/>
      </c>
      <c r="W117" s="186" t="str">
        <f t="shared" si="21"/>
        <v/>
      </c>
      <c r="X117" s="187" t="str">
        <f t="shared" si="22"/>
        <v/>
      </c>
      <c r="Y117" s="182" t="str">
        <f t="shared" si="32"/>
        <v/>
      </c>
      <c r="Z117" s="209" t="str">
        <f t="shared" si="23"/>
        <v/>
      </c>
      <c r="AA117" s="209" t="str">
        <f t="shared" si="24"/>
        <v/>
      </c>
      <c r="AB117" s="200"/>
      <c r="AC117" s="192"/>
    </row>
    <row r="118" spans="1:29" ht="11.4">
      <c r="A118" s="211" t="str">
        <f t="shared" si="25"/>
        <v/>
      </c>
      <c r="B118" s="211"/>
      <c r="C118" s="215"/>
      <c r="D118" s="213" t="str">
        <f t="shared" si="26"/>
        <v/>
      </c>
      <c r="E118" s="213" t="str">
        <f t="shared" si="34"/>
        <v/>
      </c>
      <c r="F118" s="214" t="str">
        <f t="shared" si="27"/>
        <v/>
      </c>
      <c r="G118" s="180"/>
      <c r="H118" s="181" t="str">
        <f t="shared" si="28"/>
        <v/>
      </c>
      <c r="I118" s="227"/>
      <c r="J118" s="227"/>
      <c r="K118" s="227"/>
      <c r="L118" s="227"/>
      <c r="M118" s="210" t="str">
        <f t="shared" si="33"/>
        <v/>
      </c>
      <c r="N118" s="210"/>
      <c r="O118" s="207"/>
      <c r="P118" s="182" t="str">
        <f t="shared" si="18"/>
        <v/>
      </c>
      <c r="Q118" s="183" t="str">
        <f t="shared" si="29"/>
        <v/>
      </c>
      <c r="R118" s="182" t="str">
        <f>IF(M118&lt;&gt;"",IF(#REF!*F118*10=0,"",#REF!*F118*10),"")</f>
        <v/>
      </c>
      <c r="S118" s="184" t="str">
        <f t="shared" si="30"/>
        <v/>
      </c>
      <c r="T118" s="185" t="str">
        <f t="shared" si="19"/>
        <v/>
      </c>
      <c r="U118" s="183" t="str">
        <f t="shared" si="31"/>
        <v/>
      </c>
      <c r="V118" s="186" t="str">
        <f t="shared" si="20"/>
        <v/>
      </c>
      <c r="W118" s="186" t="str">
        <f t="shared" si="21"/>
        <v/>
      </c>
      <c r="X118" s="187" t="str">
        <f t="shared" si="22"/>
        <v/>
      </c>
      <c r="Y118" s="182" t="str">
        <f t="shared" si="32"/>
        <v/>
      </c>
      <c r="Z118" s="209" t="str">
        <f t="shared" si="23"/>
        <v/>
      </c>
      <c r="AA118" s="209" t="str">
        <f t="shared" si="24"/>
        <v/>
      </c>
      <c r="AB118" s="200"/>
      <c r="AC118" s="192"/>
    </row>
    <row r="119" spans="1:29" ht="11.4">
      <c r="A119" s="211" t="str">
        <f t="shared" si="25"/>
        <v/>
      </c>
      <c r="B119" s="211"/>
      <c r="C119" s="215"/>
      <c r="D119" s="213" t="str">
        <f t="shared" si="26"/>
        <v/>
      </c>
      <c r="E119" s="213" t="str">
        <f t="shared" si="34"/>
        <v/>
      </c>
      <c r="F119" s="214" t="str">
        <f t="shared" si="27"/>
        <v/>
      </c>
      <c r="G119" s="180"/>
      <c r="H119" s="181" t="str">
        <f t="shared" si="28"/>
        <v/>
      </c>
      <c r="I119" s="227"/>
      <c r="J119" s="227"/>
      <c r="K119" s="227"/>
      <c r="L119" s="227"/>
      <c r="M119" s="210" t="str">
        <f t="shared" si="33"/>
        <v/>
      </c>
      <c r="N119" s="210"/>
      <c r="O119" s="207"/>
      <c r="P119" s="182" t="str">
        <f t="shared" si="18"/>
        <v/>
      </c>
      <c r="Q119" s="183" t="str">
        <f t="shared" si="29"/>
        <v/>
      </c>
      <c r="R119" s="182" t="str">
        <f>IF(M119&lt;&gt;"",IF(#REF!*F119*10=0,"",#REF!*F119*10),"")</f>
        <v/>
      </c>
      <c r="S119" s="184" t="str">
        <f t="shared" si="30"/>
        <v/>
      </c>
      <c r="T119" s="185" t="str">
        <f t="shared" si="19"/>
        <v/>
      </c>
      <c r="U119" s="183" t="str">
        <f t="shared" si="31"/>
        <v/>
      </c>
      <c r="V119" s="186" t="str">
        <f t="shared" si="20"/>
        <v/>
      </c>
      <c r="W119" s="186" t="str">
        <f t="shared" si="21"/>
        <v/>
      </c>
      <c r="X119" s="187" t="str">
        <f t="shared" si="22"/>
        <v/>
      </c>
      <c r="Y119" s="182" t="str">
        <f t="shared" si="32"/>
        <v/>
      </c>
      <c r="Z119" s="209" t="str">
        <f t="shared" si="23"/>
        <v/>
      </c>
      <c r="AA119" s="209" t="str">
        <f t="shared" si="24"/>
        <v/>
      </c>
      <c r="AB119" s="200"/>
      <c r="AC119" s="192"/>
    </row>
    <row r="120" spans="1:29" ht="11.4">
      <c r="A120" s="211" t="str">
        <f t="shared" si="25"/>
        <v/>
      </c>
      <c r="B120" s="211"/>
      <c r="C120" s="215"/>
      <c r="D120" s="213" t="str">
        <f t="shared" si="26"/>
        <v/>
      </c>
      <c r="E120" s="213" t="str">
        <f t="shared" si="34"/>
        <v/>
      </c>
      <c r="F120" s="214" t="str">
        <f t="shared" si="27"/>
        <v/>
      </c>
      <c r="G120" s="180"/>
      <c r="H120" s="181" t="str">
        <f t="shared" si="28"/>
        <v/>
      </c>
      <c r="I120" s="227"/>
      <c r="J120" s="227"/>
      <c r="K120" s="227"/>
      <c r="L120" s="227"/>
      <c r="M120" s="210" t="str">
        <f t="shared" si="33"/>
        <v/>
      </c>
      <c r="N120" s="210"/>
      <c r="O120" s="207"/>
      <c r="P120" s="182" t="str">
        <f t="shared" si="18"/>
        <v/>
      </c>
      <c r="Q120" s="183" t="str">
        <f t="shared" si="29"/>
        <v/>
      </c>
      <c r="R120" s="182" t="str">
        <f>IF(M120&lt;&gt;"",IF(#REF!*F120*10=0,"",#REF!*F120*10),"")</f>
        <v/>
      </c>
      <c r="S120" s="184" t="str">
        <f t="shared" si="30"/>
        <v/>
      </c>
      <c r="T120" s="185" t="str">
        <f t="shared" si="19"/>
        <v/>
      </c>
      <c r="U120" s="183" t="str">
        <f t="shared" si="31"/>
        <v/>
      </c>
      <c r="V120" s="186" t="str">
        <f t="shared" si="20"/>
        <v/>
      </c>
      <c r="W120" s="186" t="str">
        <f t="shared" si="21"/>
        <v/>
      </c>
      <c r="X120" s="187" t="str">
        <f t="shared" si="22"/>
        <v/>
      </c>
      <c r="Y120" s="182" t="str">
        <f t="shared" si="32"/>
        <v/>
      </c>
      <c r="Z120" s="209" t="str">
        <f t="shared" si="23"/>
        <v/>
      </c>
      <c r="AA120" s="209" t="str">
        <f t="shared" si="24"/>
        <v/>
      </c>
      <c r="AB120" s="200"/>
      <c r="AC120" s="192"/>
    </row>
    <row r="121" spans="1:29" ht="11.4">
      <c r="A121" s="211" t="str">
        <f t="shared" si="25"/>
        <v/>
      </c>
      <c r="B121" s="211"/>
      <c r="C121" s="215"/>
      <c r="D121" s="213" t="str">
        <f t="shared" si="26"/>
        <v/>
      </c>
      <c r="E121" s="213" t="str">
        <f t="shared" si="34"/>
        <v/>
      </c>
      <c r="F121" s="214" t="str">
        <f t="shared" si="27"/>
        <v/>
      </c>
      <c r="G121" s="180"/>
      <c r="H121" s="181" t="str">
        <f t="shared" si="28"/>
        <v/>
      </c>
      <c r="I121" s="227"/>
      <c r="J121" s="227"/>
      <c r="K121" s="227"/>
      <c r="L121" s="227"/>
      <c r="M121" s="210" t="str">
        <f t="shared" si="33"/>
        <v/>
      </c>
      <c r="N121" s="210"/>
      <c r="O121" s="207"/>
      <c r="P121" s="182" t="str">
        <f t="shared" si="18"/>
        <v/>
      </c>
      <c r="Q121" s="183" t="str">
        <f t="shared" si="29"/>
        <v/>
      </c>
      <c r="R121" s="182" t="str">
        <f>IF(M121&lt;&gt;"",IF(#REF!*F121*10=0,"",#REF!*F121*10),"")</f>
        <v/>
      </c>
      <c r="S121" s="184" t="str">
        <f t="shared" si="30"/>
        <v/>
      </c>
      <c r="T121" s="185" t="str">
        <f t="shared" si="19"/>
        <v/>
      </c>
      <c r="U121" s="183" t="str">
        <f t="shared" si="31"/>
        <v/>
      </c>
      <c r="V121" s="186" t="str">
        <f t="shared" si="20"/>
        <v/>
      </c>
      <c r="W121" s="186" t="str">
        <f t="shared" si="21"/>
        <v/>
      </c>
      <c r="X121" s="187" t="str">
        <f t="shared" si="22"/>
        <v/>
      </c>
      <c r="Y121" s="182" t="str">
        <f t="shared" si="32"/>
        <v/>
      </c>
      <c r="Z121" s="209" t="str">
        <f t="shared" si="23"/>
        <v/>
      </c>
      <c r="AA121" s="209" t="str">
        <f t="shared" si="24"/>
        <v/>
      </c>
      <c r="AB121" s="200"/>
      <c r="AC121" s="192"/>
    </row>
    <row r="122" spans="1:29" ht="11.4">
      <c r="A122" s="211" t="str">
        <f t="shared" si="25"/>
        <v/>
      </c>
      <c r="B122" s="211"/>
      <c r="C122" s="215"/>
      <c r="D122" s="213" t="str">
        <f t="shared" si="26"/>
        <v/>
      </c>
      <c r="E122" s="213" t="str">
        <f t="shared" si="34"/>
        <v/>
      </c>
      <c r="F122" s="214" t="str">
        <f t="shared" si="27"/>
        <v/>
      </c>
      <c r="G122" s="180"/>
      <c r="H122" s="181" t="str">
        <f t="shared" si="28"/>
        <v/>
      </c>
      <c r="I122" s="227"/>
      <c r="J122" s="227"/>
      <c r="K122" s="227"/>
      <c r="L122" s="227"/>
      <c r="M122" s="210" t="str">
        <f t="shared" si="33"/>
        <v/>
      </c>
      <c r="N122" s="210"/>
      <c r="O122" s="207"/>
      <c r="P122" s="182" t="str">
        <f t="shared" si="18"/>
        <v/>
      </c>
      <c r="Q122" s="183" t="str">
        <f t="shared" si="29"/>
        <v/>
      </c>
      <c r="R122" s="182" t="str">
        <f>IF(M122&lt;&gt;"",IF(#REF!*F122*10=0,"",#REF!*F122*10),"")</f>
        <v/>
      </c>
      <c r="S122" s="184" t="str">
        <f t="shared" si="30"/>
        <v/>
      </c>
      <c r="T122" s="185" t="str">
        <f t="shared" si="19"/>
        <v/>
      </c>
      <c r="U122" s="183" t="str">
        <f t="shared" si="31"/>
        <v/>
      </c>
      <c r="V122" s="186" t="str">
        <f t="shared" si="20"/>
        <v/>
      </c>
      <c r="W122" s="186" t="str">
        <f t="shared" si="21"/>
        <v/>
      </c>
      <c r="X122" s="187" t="str">
        <f t="shared" si="22"/>
        <v/>
      </c>
      <c r="Y122" s="182" t="str">
        <f t="shared" si="32"/>
        <v/>
      </c>
      <c r="Z122" s="209" t="str">
        <f t="shared" si="23"/>
        <v/>
      </c>
      <c r="AA122" s="209" t="str">
        <f t="shared" si="24"/>
        <v/>
      </c>
      <c r="AB122" s="200"/>
      <c r="AC122" s="192"/>
    </row>
    <row r="123" spans="1:29" ht="11.4">
      <c r="A123" s="211" t="str">
        <f t="shared" si="25"/>
        <v/>
      </c>
      <c r="B123" s="211"/>
      <c r="C123" s="215"/>
      <c r="D123" s="213" t="str">
        <f t="shared" si="26"/>
        <v/>
      </c>
      <c r="E123" s="213" t="str">
        <f t="shared" si="34"/>
        <v/>
      </c>
      <c r="F123" s="214" t="str">
        <f t="shared" si="27"/>
        <v/>
      </c>
      <c r="G123" s="180"/>
      <c r="H123" s="181" t="str">
        <f t="shared" si="28"/>
        <v/>
      </c>
      <c r="I123" s="227"/>
      <c r="J123" s="227"/>
      <c r="K123" s="227"/>
      <c r="L123" s="227"/>
      <c r="M123" s="210" t="str">
        <f t="shared" si="33"/>
        <v/>
      </c>
      <c r="N123" s="210"/>
      <c r="O123" s="207"/>
      <c r="P123" s="182" t="str">
        <f t="shared" si="18"/>
        <v/>
      </c>
      <c r="Q123" s="183" t="str">
        <f t="shared" si="29"/>
        <v/>
      </c>
      <c r="R123" s="182" t="str">
        <f>IF(M123&lt;&gt;"",IF(#REF!*F123*10=0,"",#REF!*F123*10),"")</f>
        <v/>
      </c>
      <c r="S123" s="184" t="str">
        <f t="shared" si="30"/>
        <v/>
      </c>
      <c r="T123" s="185" t="str">
        <f t="shared" si="19"/>
        <v/>
      </c>
      <c r="U123" s="183" t="str">
        <f t="shared" si="31"/>
        <v/>
      </c>
      <c r="V123" s="186" t="str">
        <f t="shared" si="20"/>
        <v/>
      </c>
      <c r="W123" s="186" t="str">
        <f t="shared" si="21"/>
        <v/>
      </c>
      <c r="X123" s="187" t="str">
        <f t="shared" si="22"/>
        <v/>
      </c>
      <c r="Y123" s="182" t="str">
        <f t="shared" si="32"/>
        <v/>
      </c>
      <c r="Z123" s="209" t="str">
        <f t="shared" si="23"/>
        <v/>
      </c>
      <c r="AA123" s="209" t="str">
        <f t="shared" si="24"/>
        <v/>
      </c>
      <c r="AB123" s="200"/>
      <c r="AC123" s="192"/>
    </row>
    <row r="124" spans="1:29" ht="11.4">
      <c r="A124" s="211" t="str">
        <f t="shared" si="25"/>
        <v/>
      </c>
      <c r="B124" s="211"/>
      <c r="C124" s="215"/>
      <c r="D124" s="213" t="str">
        <f t="shared" si="26"/>
        <v/>
      </c>
      <c r="E124" s="213" t="str">
        <f t="shared" si="34"/>
        <v/>
      </c>
      <c r="F124" s="214" t="str">
        <f t="shared" si="27"/>
        <v/>
      </c>
      <c r="G124" s="180"/>
      <c r="H124" s="181" t="str">
        <f t="shared" si="28"/>
        <v/>
      </c>
      <c r="I124" s="227"/>
      <c r="J124" s="227"/>
      <c r="K124" s="227"/>
      <c r="L124" s="227"/>
      <c r="M124" s="210" t="str">
        <f t="shared" si="33"/>
        <v/>
      </c>
      <c r="N124" s="210"/>
      <c r="O124" s="207"/>
      <c r="P124" s="182" t="str">
        <f t="shared" si="18"/>
        <v/>
      </c>
      <c r="Q124" s="183" t="str">
        <f t="shared" si="29"/>
        <v/>
      </c>
      <c r="R124" s="182" t="str">
        <f>IF(M124&lt;&gt;"",IF(#REF!*F124*10=0,"",#REF!*F124*10),"")</f>
        <v/>
      </c>
      <c r="S124" s="184" t="str">
        <f t="shared" si="30"/>
        <v/>
      </c>
      <c r="T124" s="185" t="str">
        <f t="shared" si="19"/>
        <v/>
      </c>
      <c r="U124" s="183" t="str">
        <f t="shared" si="31"/>
        <v/>
      </c>
      <c r="V124" s="186" t="str">
        <f t="shared" si="20"/>
        <v/>
      </c>
      <c r="W124" s="186" t="str">
        <f t="shared" si="21"/>
        <v/>
      </c>
      <c r="X124" s="187" t="str">
        <f t="shared" si="22"/>
        <v/>
      </c>
      <c r="Y124" s="182" t="str">
        <f t="shared" si="32"/>
        <v/>
      </c>
      <c r="Z124" s="209" t="str">
        <f t="shared" si="23"/>
        <v/>
      </c>
      <c r="AA124" s="209" t="str">
        <f t="shared" si="24"/>
        <v/>
      </c>
      <c r="AB124" s="200"/>
      <c r="AC124" s="192"/>
    </row>
    <row r="125" spans="1:29" ht="11.4">
      <c r="A125" s="211" t="str">
        <f t="shared" si="25"/>
        <v/>
      </c>
      <c r="B125" s="211"/>
      <c r="C125" s="215"/>
      <c r="D125" s="213" t="str">
        <f t="shared" si="26"/>
        <v/>
      </c>
      <c r="E125" s="213" t="str">
        <f t="shared" si="34"/>
        <v/>
      </c>
      <c r="F125" s="214" t="str">
        <f t="shared" si="27"/>
        <v/>
      </c>
      <c r="G125" s="180"/>
      <c r="H125" s="181" t="str">
        <f t="shared" si="28"/>
        <v/>
      </c>
      <c r="I125" s="227"/>
      <c r="J125" s="227"/>
      <c r="K125" s="227"/>
      <c r="L125" s="227"/>
      <c r="M125" s="210" t="str">
        <f t="shared" si="33"/>
        <v/>
      </c>
      <c r="N125" s="210"/>
      <c r="O125" s="207"/>
      <c r="P125" s="182" t="str">
        <f t="shared" si="18"/>
        <v/>
      </c>
      <c r="Q125" s="183" t="str">
        <f t="shared" si="29"/>
        <v/>
      </c>
      <c r="R125" s="182" t="str">
        <f>IF(M125&lt;&gt;"",IF(#REF!*F125*10=0,"",#REF!*F125*10),"")</f>
        <v/>
      </c>
      <c r="S125" s="184" t="str">
        <f t="shared" si="30"/>
        <v/>
      </c>
      <c r="T125" s="185" t="str">
        <f t="shared" si="19"/>
        <v/>
      </c>
      <c r="U125" s="183" t="str">
        <f t="shared" si="31"/>
        <v/>
      </c>
      <c r="V125" s="186" t="str">
        <f t="shared" si="20"/>
        <v/>
      </c>
      <c r="W125" s="186" t="str">
        <f t="shared" si="21"/>
        <v/>
      </c>
      <c r="X125" s="187" t="str">
        <f t="shared" si="22"/>
        <v/>
      </c>
      <c r="Y125" s="182" t="str">
        <f t="shared" si="32"/>
        <v/>
      </c>
      <c r="Z125" s="209" t="str">
        <f t="shared" si="23"/>
        <v/>
      </c>
      <c r="AA125" s="209" t="str">
        <f t="shared" si="24"/>
        <v/>
      </c>
      <c r="AB125" s="200"/>
      <c r="AC125" s="192"/>
    </row>
    <row r="126" spans="1:29" ht="11.4">
      <c r="A126" s="211" t="str">
        <f t="shared" si="25"/>
        <v/>
      </c>
      <c r="B126" s="211"/>
      <c r="C126" s="215"/>
      <c r="D126" s="213" t="str">
        <f t="shared" si="26"/>
        <v/>
      </c>
      <c r="E126" s="213" t="str">
        <f t="shared" si="34"/>
        <v/>
      </c>
      <c r="F126" s="214" t="str">
        <f t="shared" si="27"/>
        <v/>
      </c>
      <c r="G126" s="180"/>
      <c r="H126" s="181" t="str">
        <f t="shared" si="28"/>
        <v/>
      </c>
      <c r="I126" s="227"/>
      <c r="J126" s="227"/>
      <c r="K126" s="227"/>
      <c r="L126" s="227"/>
      <c r="M126" s="210" t="str">
        <f t="shared" si="33"/>
        <v/>
      </c>
      <c r="N126" s="210"/>
      <c r="O126" s="207"/>
      <c r="P126" s="182" t="str">
        <f t="shared" si="18"/>
        <v/>
      </c>
      <c r="Q126" s="183" t="str">
        <f t="shared" si="29"/>
        <v/>
      </c>
      <c r="R126" s="182" t="str">
        <f>IF(M126&lt;&gt;"",IF(#REF!*F126*10=0,"",#REF!*F126*10),"")</f>
        <v/>
      </c>
      <c r="S126" s="184" t="str">
        <f t="shared" si="30"/>
        <v/>
      </c>
      <c r="T126" s="185" t="str">
        <f t="shared" si="19"/>
        <v/>
      </c>
      <c r="U126" s="183" t="str">
        <f t="shared" si="31"/>
        <v/>
      </c>
      <c r="V126" s="186" t="str">
        <f t="shared" si="20"/>
        <v/>
      </c>
      <c r="W126" s="186" t="str">
        <f t="shared" si="21"/>
        <v/>
      </c>
      <c r="X126" s="187" t="str">
        <f t="shared" si="22"/>
        <v/>
      </c>
      <c r="Y126" s="182" t="str">
        <f t="shared" si="32"/>
        <v/>
      </c>
      <c r="Z126" s="209" t="str">
        <f t="shared" si="23"/>
        <v/>
      </c>
      <c r="AA126" s="209" t="str">
        <f t="shared" si="24"/>
        <v/>
      </c>
      <c r="AB126" s="200"/>
      <c r="AC126" s="192"/>
    </row>
    <row r="127" spans="1:29" ht="11.4">
      <c r="A127" s="211" t="str">
        <f t="shared" si="25"/>
        <v/>
      </c>
      <c r="B127" s="211"/>
      <c r="C127" s="215"/>
      <c r="D127" s="213" t="str">
        <f t="shared" si="26"/>
        <v/>
      </c>
      <c r="E127" s="213" t="str">
        <f t="shared" si="34"/>
        <v/>
      </c>
      <c r="F127" s="214" t="str">
        <f t="shared" si="27"/>
        <v/>
      </c>
      <c r="G127" s="180"/>
      <c r="H127" s="181" t="str">
        <f t="shared" si="28"/>
        <v/>
      </c>
      <c r="I127" s="227"/>
      <c r="J127" s="227"/>
      <c r="K127" s="227"/>
      <c r="L127" s="227"/>
      <c r="M127" s="210" t="str">
        <f t="shared" si="33"/>
        <v/>
      </c>
      <c r="N127" s="210"/>
      <c r="O127" s="207"/>
      <c r="P127" s="182" t="str">
        <f t="shared" si="18"/>
        <v/>
      </c>
      <c r="Q127" s="183" t="str">
        <f t="shared" si="29"/>
        <v/>
      </c>
      <c r="R127" s="182" t="str">
        <f>IF(M127&lt;&gt;"",IF(#REF!*F127*10=0,"",#REF!*F127*10),"")</f>
        <v/>
      </c>
      <c r="S127" s="184" t="str">
        <f t="shared" si="30"/>
        <v/>
      </c>
      <c r="T127" s="185" t="str">
        <f t="shared" si="19"/>
        <v/>
      </c>
      <c r="U127" s="183" t="str">
        <f t="shared" si="31"/>
        <v/>
      </c>
      <c r="V127" s="186" t="str">
        <f t="shared" si="20"/>
        <v/>
      </c>
      <c r="W127" s="186" t="str">
        <f t="shared" si="21"/>
        <v/>
      </c>
      <c r="X127" s="187" t="str">
        <f t="shared" si="22"/>
        <v/>
      </c>
      <c r="Y127" s="182" t="str">
        <f t="shared" si="32"/>
        <v/>
      </c>
      <c r="Z127" s="209" t="str">
        <f t="shared" si="23"/>
        <v/>
      </c>
      <c r="AA127" s="209" t="str">
        <f t="shared" si="24"/>
        <v/>
      </c>
      <c r="AB127" s="200"/>
      <c r="AC127" s="192"/>
    </row>
    <row r="128" spans="1:29" ht="11.4">
      <c r="A128" s="211" t="str">
        <f t="shared" si="25"/>
        <v/>
      </c>
      <c r="B128" s="211"/>
      <c r="C128" s="215"/>
      <c r="D128" s="213" t="str">
        <f t="shared" si="26"/>
        <v/>
      </c>
      <c r="E128" s="213" t="str">
        <f t="shared" si="34"/>
        <v/>
      </c>
      <c r="F128" s="214" t="str">
        <f t="shared" si="27"/>
        <v/>
      </c>
      <c r="G128" s="180"/>
      <c r="H128" s="181" t="str">
        <f t="shared" si="28"/>
        <v/>
      </c>
      <c r="I128" s="227"/>
      <c r="J128" s="227"/>
      <c r="K128" s="227"/>
      <c r="L128" s="227"/>
      <c r="M128" s="210" t="str">
        <f t="shared" si="33"/>
        <v/>
      </c>
      <c r="N128" s="210"/>
      <c r="O128" s="207"/>
      <c r="P128" s="182" t="str">
        <f t="shared" si="18"/>
        <v/>
      </c>
      <c r="Q128" s="183" t="str">
        <f t="shared" si="29"/>
        <v/>
      </c>
      <c r="R128" s="182" t="str">
        <f>IF(M128&lt;&gt;"",IF(#REF!*F128*10=0,"",#REF!*F128*10),"")</f>
        <v/>
      </c>
      <c r="S128" s="184" t="str">
        <f t="shared" si="30"/>
        <v/>
      </c>
      <c r="T128" s="185" t="str">
        <f t="shared" si="19"/>
        <v/>
      </c>
      <c r="U128" s="183" t="str">
        <f t="shared" si="31"/>
        <v/>
      </c>
      <c r="V128" s="186" t="str">
        <f t="shared" si="20"/>
        <v/>
      </c>
      <c r="W128" s="186" t="str">
        <f t="shared" si="21"/>
        <v/>
      </c>
      <c r="X128" s="187" t="str">
        <f t="shared" si="22"/>
        <v/>
      </c>
      <c r="Y128" s="182" t="str">
        <f t="shared" si="32"/>
        <v/>
      </c>
      <c r="Z128" s="209" t="str">
        <f t="shared" si="23"/>
        <v/>
      </c>
      <c r="AA128" s="209" t="str">
        <f t="shared" si="24"/>
        <v/>
      </c>
      <c r="AB128" s="200"/>
      <c r="AC128" s="192"/>
    </row>
    <row r="129" spans="1:29" ht="11.4">
      <c r="A129" s="211" t="str">
        <f t="shared" si="25"/>
        <v/>
      </c>
      <c r="B129" s="211"/>
      <c r="C129" s="215"/>
      <c r="D129" s="213" t="str">
        <f t="shared" si="26"/>
        <v/>
      </c>
      <c r="E129" s="213" t="str">
        <f t="shared" si="34"/>
        <v/>
      </c>
      <c r="F129" s="214" t="str">
        <f t="shared" si="27"/>
        <v/>
      </c>
      <c r="G129" s="180"/>
      <c r="H129" s="181" t="str">
        <f t="shared" si="28"/>
        <v/>
      </c>
      <c r="I129" s="227"/>
      <c r="J129" s="227"/>
      <c r="K129" s="227"/>
      <c r="L129" s="227"/>
      <c r="M129" s="210" t="str">
        <f t="shared" si="33"/>
        <v/>
      </c>
      <c r="N129" s="210"/>
      <c r="O129" s="207"/>
      <c r="P129" s="182" t="str">
        <f t="shared" si="18"/>
        <v/>
      </c>
      <c r="Q129" s="183" t="str">
        <f t="shared" si="29"/>
        <v/>
      </c>
      <c r="R129" s="182" t="str">
        <f>IF(M129&lt;&gt;"",IF(#REF!*F129*10=0,"",#REF!*F129*10),"")</f>
        <v/>
      </c>
      <c r="S129" s="184" t="str">
        <f t="shared" si="30"/>
        <v/>
      </c>
      <c r="T129" s="185" t="str">
        <f t="shared" si="19"/>
        <v/>
      </c>
      <c r="U129" s="183" t="str">
        <f t="shared" si="31"/>
        <v/>
      </c>
      <c r="V129" s="186" t="str">
        <f t="shared" si="20"/>
        <v/>
      </c>
      <c r="W129" s="186" t="str">
        <f t="shared" si="21"/>
        <v/>
      </c>
      <c r="X129" s="187" t="str">
        <f t="shared" si="22"/>
        <v/>
      </c>
      <c r="Y129" s="182" t="str">
        <f t="shared" si="32"/>
        <v/>
      </c>
      <c r="Z129" s="209" t="str">
        <f t="shared" si="23"/>
        <v/>
      </c>
      <c r="AA129" s="209" t="str">
        <f t="shared" si="24"/>
        <v/>
      </c>
      <c r="AB129" s="200"/>
      <c r="AC129" s="192"/>
    </row>
    <row r="130" spans="1:29" ht="11.4">
      <c r="A130" s="211" t="str">
        <f t="shared" si="25"/>
        <v/>
      </c>
      <c r="B130" s="211"/>
      <c r="C130" s="215"/>
      <c r="D130" s="213" t="str">
        <f t="shared" si="26"/>
        <v/>
      </c>
      <c r="E130" s="213" t="str">
        <f t="shared" si="34"/>
        <v/>
      </c>
      <c r="F130" s="214" t="str">
        <f t="shared" si="27"/>
        <v/>
      </c>
      <c r="G130" s="180"/>
      <c r="H130" s="181" t="str">
        <f t="shared" si="28"/>
        <v/>
      </c>
      <c r="I130" s="227"/>
      <c r="J130" s="227"/>
      <c r="K130" s="227"/>
      <c r="L130" s="227"/>
      <c r="M130" s="210" t="str">
        <f t="shared" si="33"/>
        <v/>
      </c>
      <c r="N130" s="210"/>
      <c r="O130" s="207"/>
      <c r="P130" s="182" t="str">
        <f t="shared" si="18"/>
        <v/>
      </c>
      <c r="Q130" s="183" t="str">
        <f t="shared" si="29"/>
        <v/>
      </c>
      <c r="R130" s="182" t="str">
        <f>IF(M130&lt;&gt;"",IF(#REF!*F130*10=0,"",#REF!*F130*10),"")</f>
        <v/>
      </c>
      <c r="S130" s="184" t="str">
        <f t="shared" si="30"/>
        <v/>
      </c>
      <c r="T130" s="185" t="str">
        <f t="shared" si="19"/>
        <v/>
      </c>
      <c r="U130" s="183" t="str">
        <f t="shared" si="31"/>
        <v/>
      </c>
      <c r="V130" s="186" t="str">
        <f t="shared" si="20"/>
        <v/>
      </c>
      <c r="W130" s="186" t="str">
        <f t="shared" si="21"/>
        <v/>
      </c>
      <c r="X130" s="187" t="str">
        <f t="shared" si="22"/>
        <v/>
      </c>
      <c r="Y130" s="182" t="str">
        <f t="shared" si="32"/>
        <v/>
      </c>
      <c r="Z130" s="209" t="str">
        <f t="shared" si="23"/>
        <v/>
      </c>
      <c r="AA130" s="209" t="str">
        <f t="shared" si="24"/>
        <v/>
      </c>
      <c r="AB130" s="200"/>
      <c r="AC130" s="192"/>
    </row>
    <row r="131" spans="1:29" ht="11.4">
      <c r="A131" s="211" t="str">
        <f t="shared" si="25"/>
        <v/>
      </c>
      <c r="B131" s="211"/>
      <c r="C131" s="215"/>
      <c r="D131" s="213" t="str">
        <f t="shared" si="26"/>
        <v/>
      </c>
      <c r="E131" s="213" t="str">
        <f t="shared" si="34"/>
        <v/>
      </c>
      <c r="F131" s="214" t="str">
        <f t="shared" si="27"/>
        <v/>
      </c>
      <c r="G131" s="180"/>
      <c r="H131" s="181" t="str">
        <f t="shared" si="28"/>
        <v/>
      </c>
      <c r="I131" s="227"/>
      <c r="J131" s="227"/>
      <c r="K131" s="227"/>
      <c r="L131" s="227"/>
      <c r="M131" s="210" t="str">
        <f t="shared" si="33"/>
        <v/>
      </c>
      <c r="N131" s="210"/>
      <c r="O131" s="207"/>
      <c r="P131" s="182" t="str">
        <f t="shared" si="18"/>
        <v/>
      </c>
      <c r="Q131" s="183" t="str">
        <f t="shared" si="29"/>
        <v/>
      </c>
      <c r="R131" s="182" t="str">
        <f>IF(M131&lt;&gt;"",IF(#REF!*F131*10=0,"",#REF!*F131*10),"")</f>
        <v/>
      </c>
      <c r="S131" s="184" t="str">
        <f t="shared" si="30"/>
        <v/>
      </c>
      <c r="T131" s="185" t="str">
        <f t="shared" si="19"/>
        <v/>
      </c>
      <c r="U131" s="183" t="str">
        <f t="shared" si="31"/>
        <v/>
      </c>
      <c r="V131" s="186" t="str">
        <f t="shared" si="20"/>
        <v/>
      </c>
      <c r="W131" s="186" t="str">
        <f t="shared" si="21"/>
        <v/>
      </c>
      <c r="X131" s="187" t="str">
        <f t="shared" si="22"/>
        <v/>
      </c>
      <c r="Y131" s="182" t="str">
        <f t="shared" si="32"/>
        <v/>
      </c>
      <c r="Z131" s="209" t="str">
        <f t="shared" si="23"/>
        <v/>
      </c>
      <c r="AA131" s="209" t="str">
        <f t="shared" si="24"/>
        <v/>
      </c>
      <c r="AB131" s="200"/>
      <c r="AC131" s="192"/>
    </row>
    <row r="132" spans="1:29" ht="11.4">
      <c r="A132" s="211" t="str">
        <f t="shared" si="25"/>
        <v/>
      </c>
      <c r="B132" s="211"/>
      <c r="C132" s="215"/>
      <c r="D132" s="213" t="str">
        <f t="shared" si="26"/>
        <v/>
      </c>
      <c r="E132" s="213" t="str">
        <f t="shared" si="34"/>
        <v/>
      </c>
      <c r="F132" s="214" t="str">
        <f t="shared" si="27"/>
        <v/>
      </c>
      <c r="G132" s="180"/>
      <c r="H132" s="181" t="str">
        <f t="shared" si="28"/>
        <v/>
      </c>
      <c r="I132" s="227"/>
      <c r="J132" s="227"/>
      <c r="K132" s="227"/>
      <c r="L132" s="227"/>
      <c r="M132" s="210" t="str">
        <f t="shared" si="33"/>
        <v/>
      </c>
      <c r="N132" s="210"/>
      <c r="O132" s="207"/>
      <c r="P132" s="182" t="str">
        <f t="shared" si="18"/>
        <v/>
      </c>
      <c r="Q132" s="183" t="str">
        <f t="shared" si="29"/>
        <v/>
      </c>
      <c r="R132" s="182" t="str">
        <f>IF(M132&lt;&gt;"",IF(#REF!*F132*10=0,"",#REF!*F132*10),"")</f>
        <v/>
      </c>
      <c r="S132" s="184" t="str">
        <f t="shared" si="30"/>
        <v/>
      </c>
      <c r="T132" s="185" t="str">
        <f t="shared" si="19"/>
        <v/>
      </c>
      <c r="U132" s="183" t="str">
        <f t="shared" si="31"/>
        <v/>
      </c>
      <c r="V132" s="186" t="str">
        <f t="shared" si="20"/>
        <v/>
      </c>
      <c r="W132" s="186" t="str">
        <f t="shared" si="21"/>
        <v/>
      </c>
      <c r="X132" s="187" t="str">
        <f t="shared" si="22"/>
        <v/>
      </c>
      <c r="Y132" s="182" t="str">
        <f t="shared" si="32"/>
        <v/>
      </c>
      <c r="Z132" s="209" t="str">
        <f t="shared" si="23"/>
        <v/>
      </c>
      <c r="AA132" s="209" t="str">
        <f t="shared" si="24"/>
        <v/>
      </c>
      <c r="AB132" s="200"/>
      <c r="AC132" s="192"/>
    </row>
    <row r="133" spans="1:29" ht="11.4">
      <c r="A133" s="211" t="str">
        <f t="shared" si="25"/>
        <v/>
      </c>
      <c r="B133" s="211"/>
      <c r="C133" s="215"/>
      <c r="D133" s="213" t="str">
        <f t="shared" si="26"/>
        <v/>
      </c>
      <c r="E133" s="213" t="str">
        <f t="shared" si="34"/>
        <v/>
      </c>
      <c r="F133" s="214" t="str">
        <f t="shared" si="27"/>
        <v/>
      </c>
      <c r="G133" s="180"/>
      <c r="H133" s="181" t="str">
        <f t="shared" si="28"/>
        <v/>
      </c>
      <c r="I133" s="227"/>
      <c r="J133" s="227"/>
      <c r="K133" s="227"/>
      <c r="L133" s="227"/>
      <c r="M133" s="210" t="str">
        <f t="shared" si="33"/>
        <v/>
      </c>
      <c r="N133" s="210"/>
      <c r="O133" s="207"/>
      <c r="P133" s="182" t="str">
        <f t="shared" si="18"/>
        <v/>
      </c>
      <c r="Q133" s="183" t="str">
        <f t="shared" si="29"/>
        <v/>
      </c>
      <c r="R133" s="182" t="str">
        <f>IF(M133&lt;&gt;"",IF(#REF!*F133*10=0,"",#REF!*F133*10),"")</f>
        <v/>
      </c>
      <c r="S133" s="184" t="str">
        <f t="shared" si="30"/>
        <v/>
      </c>
      <c r="T133" s="185" t="str">
        <f t="shared" si="19"/>
        <v/>
      </c>
      <c r="U133" s="183" t="str">
        <f t="shared" si="31"/>
        <v/>
      </c>
      <c r="V133" s="186" t="str">
        <f t="shared" si="20"/>
        <v/>
      </c>
      <c r="W133" s="186" t="str">
        <f t="shared" si="21"/>
        <v/>
      </c>
      <c r="X133" s="187" t="str">
        <f t="shared" si="22"/>
        <v/>
      </c>
      <c r="Y133" s="182" t="str">
        <f t="shared" si="32"/>
        <v/>
      </c>
      <c r="Z133" s="209" t="str">
        <f t="shared" si="23"/>
        <v/>
      </c>
      <c r="AA133" s="209" t="str">
        <f t="shared" si="24"/>
        <v/>
      </c>
      <c r="AB133" s="200"/>
      <c r="AC133" s="192"/>
    </row>
    <row r="134" spans="1:29" ht="11.4">
      <c r="A134" s="211" t="str">
        <f t="shared" si="25"/>
        <v/>
      </c>
      <c r="B134" s="211"/>
      <c r="C134" s="215"/>
      <c r="D134" s="213" t="str">
        <f t="shared" si="26"/>
        <v/>
      </c>
      <c r="E134" s="213" t="str">
        <f t="shared" si="34"/>
        <v/>
      </c>
      <c r="F134" s="214" t="str">
        <f t="shared" si="27"/>
        <v/>
      </c>
      <c r="G134" s="180"/>
      <c r="H134" s="181" t="str">
        <f t="shared" si="28"/>
        <v/>
      </c>
      <c r="I134" s="227"/>
      <c r="J134" s="227"/>
      <c r="K134" s="227"/>
      <c r="L134" s="227"/>
      <c r="M134" s="210" t="str">
        <f t="shared" si="33"/>
        <v/>
      </c>
      <c r="N134" s="210"/>
      <c r="O134" s="207"/>
      <c r="P134" s="182" t="str">
        <f t="shared" si="18"/>
        <v/>
      </c>
      <c r="Q134" s="183" t="str">
        <f t="shared" si="29"/>
        <v/>
      </c>
      <c r="R134" s="182" t="str">
        <f>IF(M134&lt;&gt;"",IF(#REF!*F134*10=0,"",#REF!*F134*10),"")</f>
        <v/>
      </c>
      <c r="S134" s="184" t="str">
        <f t="shared" si="30"/>
        <v/>
      </c>
      <c r="T134" s="185" t="str">
        <f t="shared" si="19"/>
        <v/>
      </c>
      <c r="U134" s="183" t="str">
        <f t="shared" si="31"/>
        <v/>
      </c>
      <c r="V134" s="186" t="str">
        <f t="shared" si="20"/>
        <v/>
      </c>
      <c r="W134" s="186" t="str">
        <f t="shared" si="21"/>
        <v/>
      </c>
      <c r="X134" s="187" t="str">
        <f t="shared" si="22"/>
        <v/>
      </c>
      <c r="Y134" s="182" t="str">
        <f t="shared" si="32"/>
        <v/>
      </c>
      <c r="Z134" s="209" t="str">
        <f t="shared" si="23"/>
        <v/>
      </c>
      <c r="AA134" s="209" t="str">
        <f t="shared" si="24"/>
        <v/>
      </c>
      <c r="AB134" s="200"/>
      <c r="AC134" s="192"/>
    </row>
    <row r="135" spans="1:29" ht="11.4">
      <c r="A135" s="211" t="str">
        <f t="shared" si="25"/>
        <v/>
      </c>
      <c r="B135" s="211"/>
      <c r="C135" s="215"/>
      <c r="D135" s="213" t="str">
        <f t="shared" si="26"/>
        <v/>
      </c>
      <c r="E135" s="213" t="str">
        <f t="shared" si="34"/>
        <v/>
      </c>
      <c r="F135" s="214" t="str">
        <f t="shared" si="27"/>
        <v/>
      </c>
      <c r="G135" s="180"/>
      <c r="H135" s="181" t="str">
        <f t="shared" si="28"/>
        <v/>
      </c>
      <c r="I135" s="227"/>
      <c r="J135" s="227"/>
      <c r="K135" s="227"/>
      <c r="L135" s="227"/>
      <c r="M135" s="210" t="str">
        <f t="shared" si="33"/>
        <v/>
      </c>
      <c r="N135" s="210"/>
      <c r="O135" s="207"/>
      <c r="P135" s="182" t="str">
        <f t="shared" si="18"/>
        <v/>
      </c>
      <c r="Q135" s="183" t="str">
        <f t="shared" si="29"/>
        <v/>
      </c>
      <c r="R135" s="182" t="str">
        <f>IF(M135&lt;&gt;"",IF(#REF!*F135*10=0,"",#REF!*F135*10),"")</f>
        <v/>
      </c>
      <c r="S135" s="184" t="str">
        <f t="shared" si="30"/>
        <v/>
      </c>
      <c r="T135" s="185" t="str">
        <f t="shared" si="19"/>
        <v/>
      </c>
      <c r="U135" s="183" t="str">
        <f t="shared" si="31"/>
        <v/>
      </c>
      <c r="V135" s="186" t="str">
        <f t="shared" si="20"/>
        <v/>
      </c>
      <c r="W135" s="186" t="str">
        <f t="shared" si="21"/>
        <v/>
      </c>
      <c r="X135" s="187" t="str">
        <f t="shared" si="22"/>
        <v/>
      </c>
      <c r="Y135" s="182" t="str">
        <f t="shared" si="32"/>
        <v/>
      </c>
      <c r="Z135" s="209" t="str">
        <f t="shared" si="23"/>
        <v/>
      </c>
      <c r="AA135" s="209" t="str">
        <f t="shared" si="24"/>
        <v/>
      </c>
      <c r="AB135" s="200"/>
      <c r="AC135" s="192"/>
    </row>
    <row r="136" spans="1:29" ht="11.4">
      <c r="A136" s="211" t="str">
        <f t="shared" si="25"/>
        <v/>
      </c>
      <c r="B136" s="211"/>
      <c r="C136" s="215"/>
      <c r="D136" s="213" t="str">
        <f t="shared" si="26"/>
        <v/>
      </c>
      <c r="E136" s="213" t="str">
        <f t="shared" si="34"/>
        <v/>
      </c>
      <c r="F136" s="214" t="str">
        <f t="shared" si="27"/>
        <v/>
      </c>
      <c r="G136" s="180"/>
      <c r="H136" s="181" t="str">
        <f t="shared" si="28"/>
        <v/>
      </c>
      <c r="I136" s="227"/>
      <c r="J136" s="227"/>
      <c r="K136" s="227"/>
      <c r="L136" s="227"/>
      <c r="M136" s="210" t="str">
        <f t="shared" si="33"/>
        <v/>
      </c>
      <c r="N136" s="210"/>
      <c r="O136" s="207"/>
      <c r="P136" s="182" t="str">
        <f t="shared" si="18"/>
        <v/>
      </c>
      <c r="Q136" s="183" t="str">
        <f t="shared" si="29"/>
        <v/>
      </c>
      <c r="R136" s="182" t="str">
        <f>IF(M136&lt;&gt;"",IF(#REF!*F136*10=0,"",#REF!*F136*10),"")</f>
        <v/>
      </c>
      <c r="S136" s="184" t="str">
        <f t="shared" si="30"/>
        <v/>
      </c>
      <c r="T136" s="185" t="str">
        <f t="shared" si="19"/>
        <v/>
      </c>
      <c r="U136" s="183" t="str">
        <f t="shared" si="31"/>
        <v/>
      </c>
      <c r="V136" s="186" t="str">
        <f t="shared" si="20"/>
        <v/>
      </c>
      <c r="W136" s="186" t="str">
        <f t="shared" si="21"/>
        <v/>
      </c>
      <c r="X136" s="187" t="str">
        <f t="shared" si="22"/>
        <v/>
      </c>
      <c r="Y136" s="182" t="str">
        <f t="shared" si="32"/>
        <v/>
      </c>
      <c r="Z136" s="209" t="str">
        <f t="shared" si="23"/>
        <v/>
      </c>
      <c r="AA136" s="209" t="str">
        <f t="shared" si="24"/>
        <v/>
      </c>
      <c r="AB136" s="200"/>
      <c r="AC136" s="192"/>
    </row>
    <row r="137" spans="1:29" ht="11.4">
      <c r="A137" s="211" t="str">
        <f t="shared" si="25"/>
        <v/>
      </c>
      <c r="B137" s="211"/>
      <c r="C137" s="215"/>
      <c r="D137" s="213" t="str">
        <f t="shared" si="26"/>
        <v/>
      </c>
      <c r="E137" s="213" t="str">
        <f t="shared" si="34"/>
        <v/>
      </c>
      <c r="F137" s="214" t="str">
        <f t="shared" si="27"/>
        <v/>
      </c>
      <c r="G137" s="180"/>
      <c r="H137" s="181" t="str">
        <f t="shared" si="28"/>
        <v/>
      </c>
      <c r="I137" s="227"/>
      <c r="J137" s="227"/>
      <c r="K137" s="227"/>
      <c r="L137" s="227"/>
      <c r="M137" s="210" t="str">
        <f t="shared" si="33"/>
        <v/>
      </c>
      <c r="N137" s="210"/>
      <c r="O137" s="207"/>
      <c r="P137" s="182" t="str">
        <f t="shared" si="18"/>
        <v/>
      </c>
      <c r="Q137" s="183" t="str">
        <f t="shared" si="29"/>
        <v/>
      </c>
      <c r="R137" s="182" t="str">
        <f>IF(M137&lt;&gt;"",IF(#REF!*F137*10=0,"",#REF!*F137*10),"")</f>
        <v/>
      </c>
      <c r="S137" s="184" t="str">
        <f t="shared" si="30"/>
        <v/>
      </c>
      <c r="T137" s="185" t="str">
        <f t="shared" si="19"/>
        <v/>
      </c>
      <c r="U137" s="183" t="str">
        <f t="shared" si="31"/>
        <v/>
      </c>
      <c r="V137" s="186" t="str">
        <f t="shared" si="20"/>
        <v/>
      </c>
      <c r="W137" s="186" t="str">
        <f t="shared" si="21"/>
        <v/>
      </c>
      <c r="X137" s="187" t="str">
        <f t="shared" si="22"/>
        <v/>
      </c>
      <c r="Y137" s="182" t="str">
        <f t="shared" si="32"/>
        <v/>
      </c>
      <c r="Z137" s="209" t="str">
        <f t="shared" si="23"/>
        <v/>
      </c>
      <c r="AA137" s="209" t="str">
        <f t="shared" si="24"/>
        <v/>
      </c>
      <c r="AB137" s="200"/>
      <c r="AC137" s="192"/>
    </row>
    <row r="138" spans="1:29" ht="11.4">
      <c r="A138" s="211" t="str">
        <f t="shared" si="25"/>
        <v/>
      </c>
      <c r="B138" s="211"/>
      <c r="C138" s="215"/>
      <c r="D138" s="213" t="str">
        <f t="shared" si="26"/>
        <v/>
      </c>
      <c r="E138" s="213" t="str">
        <f t="shared" si="34"/>
        <v/>
      </c>
      <c r="F138" s="214" t="str">
        <f t="shared" si="27"/>
        <v/>
      </c>
      <c r="G138" s="180"/>
      <c r="H138" s="181" t="str">
        <f t="shared" si="28"/>
        <v/>
      </c>
      <c r="I138" s="227"/>
      <c r="J138" s="227"/>
      <c r="K138" s="227"/>
      <c r="L138" s="227"/>
      <c r="M138" s="210" t="str">
        <f t="shared" si="33"/>
        <v/>
      </c>
      <c r="N138" s="210"/>
      <c r="O138" s="207"/>
      <c r="P138" s="182" t="str">
        <f t="shared" si="18"/>
        <v/>
      </c>
      <c r="Q138" s="183" t="str">
        <f t="shared" si="29"/>
        <v/>
      </c>
      <c r="R138" s="182" t="str">
        <f>IF(M138&lt;&gt;"",IF(#REF!*F138*10=0,"",#REF!*F138*10),"")</f>
        <v/>
      </c>
      <c r="S138" s="184" t="str">
        <f t="shared" si="30"/>
        <v/>
      </c>
      <c r="T138" s="185" t="str">
        <f t="shared" si="19"/>
        <v/>
      </c>
      <c r="U138" s="183" t="str">
        <f t="shared" si="31"/>
        <v/>
      </c>
      <c r="V138" s="186" t="str">
        <f t="shared" si="20"/>
        <v/>
      </c>
      <c r="W138" s="186" t="str">
        <f t="shared" si="21"/>
        <v/>
      </c>
      <c r="X138" s="187" t="str">
        <f t="shared" si="22"/>
        <v/>
      </c>
      <c r="Y138" s="182" t="str">
        <f t="shared" si="32"/>
        <v/>
      </c>
      <c r="Z138" s="209" t="str">
        <f t="shared" si="23"/>
        <v/>
      </c>
      <c r="AA138" s="209" t="str">
        <f t="shared" si="24"/>
        <v/>
      </c>
      <c r="AB138" s="200"/>
      <c r="AC138" s="192"/>
    </row>
    <row r="139" spans="1:29" ht="11.4">
      <c r="A139" s="211" t="str">
        <f t="shared" si="25"/>
        <v/>
      </c>
      <c r="B139" s="211"/>
      <c r="C139" s="215"/>
      <c r="D139" s="213" t="str">
        <f t="shared" si="26"/>
        <v/>
      </c>
      <c r="E139" s="213" t="str">
        <f t="shared" si="34"/>
        <v/>
      </c>
      <c r="F139" s="214" t="str">
        <f t="shared" si="27"/>
        <v/>
      </c>
      <c r="G139" s="180"/>
      <c r="H139" s="181" t="str">
        <f t="shared" si="28"/>
        <v/>
      </c>
      <c r="I139" s="227"/>
      <c r="J139" s="227"/>
      <c r="K139" s="227"/>
      <c r="L139" s="227"/>
      <c r="M139" s="210" t="str">
        <f t="shared" si="33"/>
        <v/>
      </c>
      <c r="N139" s="210"/>
      <c r="O139" s="207"/>
      <c r="P139" s="182" t="str">
        <f t="shared" si="18"/>
        <v/>
      </c>
      <c r="Q139" s="183" t="str">
        <f t="shared" si="29"/>
        <v/>
      </c>
      <c r="R139" s="182" t="str">
        <f>IF(M139&lt;&gt;"",IF(#REF!*F139*10=0,"",#REF!*F139*10),"")</f>
        <v/>
      </c>
      <c r="S139" s="184" t="str">
        <f t="shared" si="30"/>
        <v/>
      </c>
      <c r="T139" s="185" t="str">
        <f t="shared" si="19"/>
        <v/>
      </c>
      <c r="U139" s="183" t="str">
        <f t="shared" si="31"/>
        <v/>
      </c>
      <c r="V139" s="186" t="str">
        <f t="shared" si="20"/>
        <v/>
      </c>
      <c r="W139" s="186" t="str">
        <f t="shared" si="21"/>
        <v/>
      </c>
      <c r="X139" s="187" t="str">
        <f t="shared" si="22"/>
        <v/>
      </c>
      <c r="Y139" s="182" t="str">
        <f t="shared" si="32"/>
        <v/>
      </c>
      <c r="Z139" s="209" t="str">
        <f t="shared" si="23"/>
        <v/>
      </c>
      <c r="AA139" s="209" t="str">
        <f t="shared" si="24"/>
        <v/>
      </c>
      <c r="AB139" s="200"/>
      <c r="AC139" s="192"/>
    </row>
    <row r="140" spans="1:29" ht="11.4">
      <c r="A140" s="211" t="str">
        <f t="shared" si="25"/>
        <v/>
      </c>
      <c r="B140" s="211"/>
      <c r="C140" s="215"/>
      <c r="D140" s="213" t="str">
        <f t="shared" si="26"/>
        <v/>
      </c>
      <c r="E140" s="213" t="str">
        <f t="shared" si="34"/>
        <v/>
      </c>
      <c r="F140" s="214" t="str">
        <f t="shared" si="27"/>
        <v/>
      </c>
      <c r="G140" s="180"/>
      <c r="H140" s="181" t="str">
        <f t="shared" si="28"/>
        <v/>
      </c>
      <c r="I140" s="227"/>
      <c r="J140" s="227"/>
      <c r="K140" s="227"/>
      <c r="L140" s="227"/>
      <c r="M140" s="210" t="str">
        <f t="shared" si="33"/>
        <v/>
      </c>
      <c r="N140" s="210"/>
      <c r="O140" s="207"/>
      <c r="P140" s="182" t="str">
        <f t="shared" ref="P140:P203" si="35">IF(M140="","",IF(L140*F140*$D$3=0,0,L140*F140*$D$3))</f>
        <v/>
      </c>
      <c r="Q140" s="183" t="str">
        <f t="shared" si="29"/>
        <v/>
      </c>
      <c r="R140" s="182" t="str">
        <f>IF(M140&lt;&gt;"",IF(#REF!*F140*10=0,"",#REF!*F140*10),"")</f>
        <v/>
      </c>
      <c r="S140" s="184" t="str">
        <f t="shared" si="30"/>
        <v/>
      </c>
      <c r="T140" s="185" t="str">
        <f t="shared" ref="T140:T203" si="36">IF(X140="","",X140*F140*$D$3)</f>
        <v/>
      </c>
      <c r="U140" s="183" t="str">
        <f t="shared" si="31"/>
        <v/>
      </c>
      <c r="V140" s="186" t="str">
        <f t="shared" ref="V140:V203" si="37">IF(M140="","",IF(AND(M140&gt;I140,H140="L"),1, IF(AND(I140&gt;M140,H140="S"),1,0)))</f>
        <v/>
      </c>
      <c r="W140" s="186" t="str">
        <f t="shared" ref="W140:W203" si="38">IF(M140="","",IF(AND(M140&lt;I140,H140="L"),1, IF(AND(I140&lt;M140,H140="S"),1,0)))</f>
        <v/>
      </c>
      <c r="X140" s="187" t="str">
        <f t="shared" ref="X140:X203" si="39">IF((M140=""),"",IF(H140="Buy",1,-1)*(M140-I140)*IF(LEN(RIGHT(I140,LEN(I140)-FIND(".",I140)))&gt;3,10000,100))</f>
        <v/>
      </c>
      <c r="Y140" s="182" t="str">
        <f t="shared" si="32"/>
        <v/>
      </c>
      <c r="Z140" s="209" t="str">
        <f t="shared" ref="Z140:Z203" si="40">IF(C140="","",MONTH(LEFT(C140,8)))</f>
        <v/>
      </c>
      <c r="AA140" s="209" t="str">
        <f t="shared" ref="AA140:AA203" si="41">IF(C140="","",YEAR(LEFT(C140,8)))</f>
        <v/>
      </c>
      <c r="AB140" s="200"/>
      <c r="AC140" s="192"/>
    </row>
    <row r="141" spans="1:29" ht="11.4">
      <c r="A141" s="211" t="str">
        <f t="shared" ref="A141:A204" si="42">IF(D141="","",1)</f>
        <v/>
      </c>
      <c r="B141" s="211"/>
      <c r="C141" s="215"/>
      <c r="D141" s="213" t="str">
        <f t="shared" ref="D141:D204" si="43">IF(G141="","","SUGAR")</f>
        <v/>
      </c>
      <c r="E141" s="213" t="str">
        <f t="shared" si="34"/>
        <v/>
      </c>
      <c r="F141" s="214" t="str">
        <f t="shared" ref="F141:F204" si="44">IF(G141="","",0.01)</f>
        <v/>
      </c>
      <c r="G141" s="180"/>
      <c r="H141" s="181" t="str">
        <f t="shared" ref="H141:H204" si="45">IF(G141="","",IF(OR(G141="第二类买点",G141="第三类买点"),"Buy","Sell"))</f>
        <v/>
      </c>
      <c r="I141" s="227"/>
      <c r="J141" s="227"/>
      <c r="K141" s="227"/>
      <c r="L141" s="227"/>
      <c r="M141" s="210" t="str">
        <f t="shared" si="33"/>
        <v/>
      </c>
      <c r="N141" s="210"/>
      <c r="O141" s="207"/>
      <c r="P141" s="182" t="str">
        <f t="shared" si="35"/>
        <v/>
      </c>
      <c r="Q141" s="183" t="str">
        <f t="shared" ref="Q141:Q204" si="46">IF(P141="","",IF(P141=0,0,P141/$I$4))</f>
        <v/>
      </c>
      <c r="R141" s="182" t="str">
        <f>IF(M141&lt;&gt;"",IF(#REF!*F141*10=0,"",#REF!*F141*10),"")</f>
        <v/>
      </c>
      <c r="S141" s="184" t="str">
        <f t="shared" ref="S141:S204" si="47">IF(P141="","",IF(P141=0,0,R141/P141))</f>
        <v/>
      </c>
      <c r="T141" s="185" t="str">
        <f t="shared" si="36"/>
        <v/>
      </c>
      <c r="U141" s="183" t="str">
        <f t="shared" ref="U141:U204" si="48">IF(T141="","",IF($I$4="","",T141/$I$4))</f>
        <v/>
      </c>
      <c r="V141" s="186" t="str">
        <f t="shared" si="37"/>
        <v/>
      </c>
      <c r="W141" s="186" t="str">
        <f t="shared" si="38"/>
        <v/>
      </c>
      <c r="X141" s="187" t="str">
        <f t="shared" si="39"/>
        <v/>
      </c>
      <c r="Y141" s="182" t="str">
        <f t="shared" si="32"/>
        <v/>
      </c>
      <c r="Z141" s="209" t="str">
        <f t="shared" si="40"/>
        <v/>
      </c>
      <c r="AA141" s="209" t="str">
        <f t="shared" si="41"/>
        <v/>
      </c>
      <c r="AB141" s="200"/>
      <c r="AC141" s="192"/>
    </row>
    <row r="142" spans="1:29" ht="11.4">
      <c r="A142" s="211" t="str">
        <f t="shared" si="42"/>
        <v/>
      </c>
      <c r="B142" s="211"/>
      <c r="C142" s="215"/>
      <c r="D142" s="213" t="str">
        <f t="shared" si="43"/>
        <v/>
      </c>
      <c r="E142" s="213" t="str">
        <f t="shared" si="34"/>
        <v/>
      </c>
      <c r="F142" s="214" t="str">
        <f t="shared" si="44"/>
        <v/>
      </c>
      <c r="G142" s="180"/>
      <c r="H142" s="181" t="str">
        <f t="shared" si="45"/>
        <v/>
      </c>
      <c r="I142" s="227"/>
      <c r="J142" s="227"/>
      <c r="K142" s="227"/>
      <c r="L142" s="227"/>
      <c r="M142" s="210" t="str">
        <f t="shared" si="33"/>
        <v/>
      </c>
      <c r="N142" s="210"/>
      <c r="O142" s="207"/>
      <c r="P142" s="182" t="str">
        <f t="shared" si="35"/>
        <v/>
      </c>
      <c r="Q142" s="183" t="str">
        <f t="shared" si="46"/>
        <v/>
      </c>
      <c r="R142" s="182" t="str">
        <f>IF(M142&lt;&gt;"",IF(#REF!*F142*10=0,"",#REF!*F142*10),"")</f>
        <v/>
      </c>
      <c r="S142" s="184" t="str">
        <f t="shared" si="47"/>
        <v/>
      </c>
      <c r="T142" s="185" t="str">
        <f t="shared" si="36"/>
        <v/>
      </c>
      <c r="U142" s="183" t="str">
        <f t="shared" si="48"/>
        <v/>
      </c>
      <c r="V142" s="186" t="str">
        <f t="shared" si="37"/>
        <v/>
      </c>
      <c r="W142" s="186" t="str">
        <f t="shared" si="38"/>
        <v/>
      </c>
      <c r="X142" s="187" t="str">
        <f t="shared" si="39"/>
        <v/>
      </c>
      <c r="Y142" s="182" t="str">
        <f t="shared" ref="Y142:Y205" si="49">IF(Y141="","",IF(T142="","",Y141+T142))</f>
        <v/>
      </c>
      <c r="Z142" s="209" t="str">
        <f t="shared" si="40"/>
        <v/>
      </c>
      <c r="AA142" s="209" t="str">
        <f t="shared" si="41"/>
        <v/>
      </c>
      <c r="AB142" s="200"/>
      <c r="AC142" s="192"/>
    </row>
    <row r="143" spans="1:29" ht="11.4">
      <c r="A143" s="211" t="str">
        <f t="shared" si="42"/>
        <v/>
      </c>
      <c r="B143" s="211"/>
      <c r="C143" s="215"/>
      <c r="D143" s="213" t="str">
        <f t="shared" si="43"/>
        <v/>
      </c>
      <c r="E143" s="213" t="str">
        <f t="shared" si="34"/>
        <v/>
      </c>
      <c r="F143" s="214" t="str">
        <f t="shared" si="44"/>
        <v/>
      </c>
      <c r="G143" s="180"/>
      <c r="H143" s="181" t="str">
        <f t="shared" si="45"/>
        <v/>
      </c>
      <c r="I143" s="227"/>
      <c r="J143" s="227"/>
      <c r="K143" s="227"/>
      <c r="L143" s="227"/>
      <c r="M143" s="210" t="str">
        <f t="shared" ref="M143:M206" si="50">IF(J143="","",J143)</f>
        <v/>
      </c>
      <c r="N143" s="210"/>
      <c r="O143" s="207"/>
      <c r="P143" s="182" t="str">
        <f t="shared" si="35"/>
        <v/>
      </c>
      <c r="Q143" s="183" t="str">
        <f t="shared" si="46"/>
        <v/>
      </c>
      <c r="R143" s="182" t="str">
        <f>IF(M143&lt;&gt;"",IF(#REF!*F143*10=0,"",#REF!*F143*10),"")</f>
        <v/>
      </c>
      <c r="S143" s="184" t="str">
        <f t="shared" si="47"/>
        <v/>
      </c>
      <c r="T143" s="185" t="str">
        <f t="shared" si="36"/>
        <v/>
      </c>
      <c r="U143" s="183" t="str">
        <f t="shared" si="48"/>
        <v/>
      </c>
      <c r="V143" s="186" t="str">
        <f t="shared" si="37"/>
        <v/>
      </c>
      <c r="W143" s="186" t="str">
        <f t="shared" si="38"/>
        <v/>
      </c>
      <c r="X143" s="187" t="str">
        <f t="shared" si="39"/>
        <v/>
      </c>
      <c r="Y143" s="182" t="str">
        <f t="shared" si="49"/>
        <v/>
      </c>
      <c r="Z143" s="209" t="str">
        <f t="shared" si="40"/>
        <v/>
      </c>
      <c r="AA143" s="209" t="str">
        <f t="shared" si="41"/>
        <v/>
      </c>
      <c r="AB143" s="200"/>
      <c r="AC143" s="192"/>
    </row>
    <row r="144" spans="1:29" ht="11.4">
      <c r="A144" s="211" t="str">
        <f t="shared" si="42"/>
        <v/>
      </c>
      <c r="B144" s="211"/>
      <c r="C144" s="215"/>
      <c r="D144" s="213" t="str">
        <f t="shared" si="43"/>
        <v/>
      </c>
      <c r="E144" s="213" t="str">
        <f t="shared" ref="E144:E207" si="51">IF(G144="","","M30")</f>
        <v/>
      </c>
      <c r="F144" s="214" t="str">
        <f t="shared" si="44"/>
        <v/>
      </c>
      <c r="G144" s="180"/>
      <c r="H144" s="181" t="str">
        <f t="shared" si="45"/>
        <v/>
      </c>
      <c r="I144" s="227"/>
      <c r="J144" s="227"/>
      <c r="K144" s="227"/>
      <c r="L144" s="227"/>
      <c r="M144" s="210" t="str">
        <f t="shared" si="50"/>
        <v/>
      </c>
      <c r="N144" s="210"/>
      <c r="O144" s="207"/>
      <c r="P144" s="182" t="str">
        <f t="shared" si="35"/>
        <v/>
      </c>
      <c r="Q144" s="183" t="str">
        <f t="shared" si="46"/>
        <v/>
      </c>
      <c r="R144" s="182" t="str">
        <f>IF(M144&lt;&gt;"",IF(#REF!*F144*10=0,"",#REF!*F144*10),"")</f>
        <v/>
      </c>
      <c r="S144" s="184" t="str">
        <f t="shared" si="47"/>
        <v/>
      </c>
      <c r="T144" s="185" t="str">
        <f t="shared" si="36"/>
        <v/>
      </c>
      <c r="U144" s="183" t="str">
        <f t="shared" si="48"/>
        <v/>
      </c>
      <c r="V144" s="186" t="str">
        <f t="shared" si="37"/>
        <v/>
      </c>
      <c r="W144" s="186" t="str">
        <f t="shared" si="38"/>
        <v/>
      </c>
      <c r="X144" s="187" t="str">
        <f t="shared" si="39"/>
        <v/>
      </c>
      <c r="Y144" s="182" t="str">
        <f t="shared" si="49"/>
        <v/>
      </c>
      <c r="Z144" s="209" t="str">
        <f t="shared" si="40"/>
        <v/>
      </c>
      <c r="AA144" s="209" t="str">
        <f t="shared" si="41"/>
        <v/>
      </c>
      <c r="AB144" s="200"/>
      <c r="AC144" s="192"/>
    </row>
    <row r="145" spans="1:29" ht="11.4">
      <c r="A145" s="211" t="str">
        <f t="shared" si="42"/>
        <v/>
      </c>
      <c r="B145" s="211"/>
      <c r="C145" s="215"/>
      <c r="D145" s="213" t="str">
        <f t="shared" si="43"/>
        <v/>
      </c>
      <c r="E145" s="213" t="str">
        <f t="shared" si="51"/>
        <v/>
      </c>
      <c r="F145" s="214" t="str">
        <f t="shared" si="44"/>
        <v/>
      </c>
      <c r="G145" s="180"/>
      <c r="H145" s="181" t="str">
        <f t="shared" si="45"/>
        <v/>
      </c>
      <c r="I145" s="227"/>
      <c r="J145" s="227"/>
      <c r="K145" s="227"/>
      <c r="L145" s="227"/>
      <c r="M145" s="210" t="str">
        <f t="shared" si="50"/>
        <v/>
      </c>
      <c r="N145" s="210"/>
      <c r="O145" s="207"/>
      <c r="P145" s="182" t="str">
        <f t="shared" si="35"/>
        <v/>
      </c>
      <c r="Q145" s="183" t="str">
        <f t="shared" si="46"/>
        <v/>
      </c>
      <c r="R145" s="182" t="str">
        <f>IF(M145&lt;&gt;"",IF(#REF!*F145*10=0,"",#REF!*F145*10),"")</f>
        <v/>
      </c>
      <c r="S145" s="184" t="str">
        <f t="shared" si="47"/>
        <v/>
      </c>
      <c r="T145" s="185" t="str">
        <f t="shared" si="36"/>
        <v/>
      </c>
      <c r="U145" s="183" t="str">
        <f t="shared" si="48"/>
        <v/>
      </c>
      <c r="V145" s="186" t="str">
        <f t="shared" si="37"/>
        <v/>
      </c>
      <c r="W145" s="186" t="str">
        <f t="shared" si="38"/>
        <v/>
      </c>
      <c r="X145" s="187" t="str">
        <f t="shared" si="39"/>
        <v/>
      </c>
      <c r="Y145" s="182" t="str">
        <f t="shared" si="49"/>
        <v/>
      </c>
      <c r="Z145" s="209" t="str">
        <f t="shared" si="40"/>
        <v/>
      </c>
      <c r="AA145" s="209" t="str">
        <f t="shared" si="41"/>
        <v/>
      </c>
      <c r="AB145" s="200"/>
      <c r="AC145" s="192"/>
    </row>
    <row r="146" spans="1:29" ht="11.4">
      <c r="A146" s="211" t="str">
        <f t="shared" si="42"/>
        <v/>
      </c>
      <c r="B146" s="211"/>
      <c r="C146" s="215"/>
      <c r="D146" s="213" t="str">
        <f t="shared" si="43"/>
        <v/>
      </c>
      <c r="E146" s="213" t="str">
        <f t="shared" si="51"/>
        <v/>
      </c>
      <c r="F146" s="214" t="str">
        <f t="shared" si="44"/>
        <v/>
      </c>
      <c r="G146" s="180"/>
      <c r="H146" s="181" t="str">
        <f t="shared" si="45"/>
        <v/>
      </c>
      <c r="I146" s="227"/>
      <c r="J146" s="227"/>
      <c r="K146" s="227"/>
      <c r="L146" s="227"/>
      <c r="M146" s="210" t="str">
        <f t="shared" si="50"/>
        <v/>
      </c>
      <c r="N146" s="210"/>
      <c r="O146" s="207"/>
      <c r="P146" s="182" t="str">
        <f t="shared" si="35"/>
        <v/>
      </c>
      <c r="Q146" s="183" t="str">
        <f t="shared" si="46"/>
        <v/>
      </c>
      <c r="R146" s="182" t="str">
        <f>IF(M146&lt;&gt;"",IF(#REF!*F146*10=0,"",#REF!*F146*10),"")</f>
        <v/>
      </c>
      <c r="S146" s="184" t="str">
        <f t="shared" si="47"/>
        <v/>
      </c>
      <c r="T146" s="185" t="str">
        <f t="shared" si="36"/>
        <v/>
      </c>
      <c r="U146" s="183" t="str">
        <f t="shared" si="48"/>
        <v/>
      </c>
      <c r="V146" s="186" t="str">
        <f t="shared" si="37"/>
        <v/>
      </c>
      <c r="W146" s="186" t="str">
        <f t="shared" si="38"/>
        <v/>
      </c>
      <c r="X146" s="187" t="str">
        <f t="shared" si="39"/>
        <v/>
      </c>
      <c r="Y146" s="182" t="str">
        <f t="shared" si="49"/>
        <v/>
      </c>
      <c r="Z146" s="209" t="str">
        <f t="shared" si="40"/>
        <v/>
      </c>
      <c r="AA146" s="209" t="str">
        <f t="shared" si="41"/>
        <v/>
      </c>
      <c r="AB146" s="200"/>
      <c r="AC146" s="192"/>
    </row>
    <row r="147" spans="1:29" ht="11.4">
      <c r="A147" s="211" t="str">
        <f t="shared" si="42"/>
        <v/>
      </c>
      <c r="B147" s="211"/>
      <c r="C147" s="215"/>
      <c r="D147" s="213" t="str">
        <f t="shared" si="43"/>
        <v/>
      </c>
      <c r="E147" s="213" t="str">
        <f t="shared" si="51"/>
        <v/>
      </c>
      <c r="F147" s="214" t="str">
        <f t="shared" si="44"/>
        <v/>
      </c>
      <c r="G147" s="180"/>
      <c r="H147" s="181" t="str">
        <f t="shared" si="45"/>
        <v/>
      </c>
      <c r="I147" s="227"/>
      <c r="J147" s="227"/>
      <c r="K147" s="227"/>
      <c r="L147" s="227"/>
      <c r="M147" s="210" t="str">
        <f t="shared" si="50"/>
        <v/>
      </c>
      <c r="N147" s="210"/>
      <c r="O147" s="207"/>
      <c r="P147" s="182" t="str">
        <f t="shared" si="35"/>
        <v/>
      </c>
      <c r="Q147" s="183" t="str">
        <f t="shared" si="46"/>
        <v/>
      </c>
      <c r="R147" s="182" t="str">
        <f>IF(M147&lt;&gt;"",IF(#REF!*F147*10=0,"",#REF!*F147*10),"")</f>
        <v/>
      </c>
      <c r="S147" s="184" t="str">
        <f t="shared" si="47"/>
        <v/>
      </c>
      <c r="T147" s="185" t="str">
        <f t="shared" si="36"/>
        <v/>
      </c>
      <c r="U147" s="183" t="str">
        <f t="shared" si="48"/>
        <v/>
      </c>
      <c r="V147" s="186" t="str">
        <f t="shared" si="37"/>
        <v/>
      </c>
      <c r="W147" s="186" t="str">
        <f t="shared" si="38"/>
        <v/>
      </c>
      <c r="X147" s="187" t="str">
        <f t="shared" si="39"/>
        <v/>
      </c>
      <c r="Y147" s="182" t="str">
        <f t="shared" si="49"/>
        <v/>
      </c>
      <c r="Z147" s="209" t="str">
        <f t="shared" si="40"/>
        <v/>
      </c>
      <c r="AA147" s="209" t="str">
        <f t="shared" si="41"/>
        <v/>
      </c>
      <c r="AB147" s="200"/>
      <c r="AC147" s="192"/>
    </row>
    <row r="148" spans="1:29" ht="11.4">
      <c r="A148" s="211" t="str">
        <f t="shared" si="42"/>
        <v/>
      </c>
      <c r="B148" s="211"/>
      <c r="C148" s="215"/>
      <c r="D148" s="213" t="str">
        <f t="shared" si="43"/>
        <v/>
      </c>
      <c r="E148" s="213" t="str">
        <f t="shared" si="51"/>
        <v/>
      </c>
      <c r="F148" s="214" t="str">
        <f t="shared" si="44"/>
        <v/>
      </c>
      <c r="G148" s="180"/>
      <c r="H148" s="181" t="str">
        <f t="shared" si="45"/>
        <v/>
      </c>
      <c r="I148" s="227"/>
      <c r="J148" s="227"/>
      <c r="K148" s="227"/>
      <c r="L148" s="227"/>
      <c r="M148" s="210" t="str">
        <f t="shared" si="50"/>
        <v/>
      </c>
      <c r="N148" s="210"/>
      <c r="O148" s="207"/>
      <c r="P148" s="182" t="str">
        <f t="shared" si="35"/>
        <v/>
      </c>
      <c r="Q148" s="183" t="str">
        <f t="shared" si="46"/>
        <v/>
      </c>
      <c r="R148" s="182" t="str">
        <f>IF(M148&lt;&gt;"",IF(#REF!*F148*10=0,"",#REF!*F148*10),"")</f>
        <v/>
      </c>
      <c r="S148" s="184" t="str">
        <f t="shared" si="47"/>
        <v/>
      </c>
      <c r="T148" s="185" t="str">
        <f t="shared" si="36"/>
        <v/>
      </c>
      <c r="U148" s="183" t="str">
        <f t="shared" si="48"/>
        <v/>
      </c>
      <c r="V148" s="186" t="str">
        <f t="shared" si="37"/>
        <v/>
      </c>
      <c r="W148" s="186" t="str">
        <f t="shared" si="38"/>
        <v/>
      </c>
      <c r="X148" s="187" t="str">
        <f t="shared" si="39"/>
        <v/>
      </c>
      <c r="Y148" s="182" t="str">
        <f t="shared" si="49"/>
        <v/>
      </c>
      <c r="Z148" s="209" t="str">
        <f t="shared" si="40"/>
        <v/>
      </c>
      <c r="AA148" s="209" t="str">
        <f t="shared" si="41"/>
        <v/>
      </c>
      <c r="AB148" s="200"/>
      <c r="AC148" s="192"/>
    </row>
    <row r="149" spans="1:29" ht="11.4">
      <c r="A149" s="211" t="str">
        <f t="shared" si="42"/>
        <v/>
      </c>
      <c r="B149" s="211"/>
      <c r="C149" s="215"/>
      <c r="D149" s="213" t="str">
        <f t="shared" si="43"/>
        <v/>
      </c>
      <c r="E149" s="213" t="str">
        <f t="shared" si="51"/>
        <v/>
      </c>
      <c r="F149" s="214" t="str">
        <f t="shared" si="44"/>
        <v/>
      </c>
      <c r="G149" s="180"/>
      <c r="H149" s="181" t="str">
        <f t="shared" si="45"/>
        <v/>
      </c>
      <c r="I149" s="227"/>
      <c r="J149" s="227"/>
      <c r="K149" s="227"/>
      <c r="L149" s="227"/>
      <c r="M149" s="210" t="str">
        <f t="shared" si="50"/>
        <v/>
      </c>
      <c r="N149" s="210"/>
      <c r="O149" s="207"/>
      <c r="P149" s="182" t="str">
        <f t="shared" si="35"/>
        <v/>
      </c>
      <c r="Q149" s="183" t="str">
        <f t="shared" si="46"/>
        <v/>
      </c>
      <c r="R149" s="182" t="str">
        <f>IF(M149&lt;&gt;"",IF(#REF!*F149*10=0,"",#REF!*F149*10),"")</f>
        <v/>
      </c>
      <c r="S149" s="184" t="str">
        <f t="shared" si="47"/>
        <v/>
      </c>
      <c r="T149" s="185" t="str">
        <f t="shared" si="36"/>
        <v/>
      </c>
      <c r="U149" s="183" t="str">
        <f t="shared" si="48"/>
        <v/>
      </c>
      <c r="V149" s="186" t="str">
        <f t="shared" si="37"/>
        <v/>
      </c>
      <c r="W149" s="186" t="str">
        <f t="shared" si="38"/>
        <v/>
      </c>
      <c r="X149" s="187" t="str">
        <f t="shared" si="39"/>
        <v/>
      </c>
      <c r="Y149" s="182" t="str">
        <f t="shared" si="49"/>
        <v/>
      </c>
      <c r="Z149" s="209" t="str">
        <f t="shared" si="40"/>
        <v/>
      </c>
      <c r="AA149" s="209" t="str">
        <f t="shared" si="41"/>
        <v/>
      </c>
      <c r="AB149" s="200"/>
      <c r="AC149" s="192"/>
    </row>
    <row r="150" spans="1:29" ht="11.4">
      <c r="A150" s="211" t="str">
        <f t="shared" si="42"/>
        <v/>
      </c>
      <c r="B150" s="211"/>
      <c r="C150" s="215"/>
      <c r="D150" s="213" t="str">
        <f t="shared" si="43"/>
        <v/>
      </c>
      <c r="E150" s="213" t="str">
        <f t="shared" si="51"/>
        <v/>
      </c>
      <c r="F150" s="214" t="str">
        <f t="shared" si="44"/>
        <v/>
      </c>
      <c r="G150" s="180"/>
      <c r="H150" s="181" t="str">
        <f t="shared" si="45"/>
        <v/>
      </c>
      <c r="I150" s="227"/>
      <c r="J150" s="227"/>
      <c r="K150" s="227"/>
      <c r="L150" s="227"/>
      <c r="M150" s="210" t="str">
        <f t="shared" si="50"/>
        <v/>
      </c>
      <c r="N150" s="210"/>
      <c r="O150" s="207"/>
      <c r="P150" s="182" t="str">
        <f t="shared" si="35"/>
        <v/>
      </c>
      <c r="Q150" s="183" t="str">
        <f t="shared" si="46"/>
        <v/>
      </c>
      <c r="R150" s="182" t="str">
        <f>IF(M150&lt;&gt;"",IF(#REF!*F150*10=0,"",#REF!*F150*10),"")</f>
        <v/>
      </c>
      <c r="S150" s="184" t="str">
        <f t="shared" si="47"/>
        <v/>
      </c>
      <c r="T150" s="185" t="str">
        <f t="shared" si="36"/>
        <v/>
      </c>
      <c r="U150" s="183" t="str">
        <f t="shared" si="48"/>
        <v/>
      </c>
      <c r="V150" s="186" t="str">
        <f t="shared" si="37"/>
        <v/>
      </c>
      <c r="W150" s="186" t="str">
        <f t="shared" si="38"/>
        <v/>
      </c>
      <c r="X150" s="187" t="str">
        <f t="shared" si="39"/>
        <v/>
      </c>
      <c r="Y150" s="182" t="str">
        <f t="shared" si="49"/>
        <v/>
      </c>
      <c r="Z150" s="209" t="str">
        <f t="shared" si="40"/>
        <v/>
      </c>
      <c r="AA150" s="209" t="str">
        <f t="shared" si="41"/>
        <v/>
      </c>
      <c r="AB150" s="200"/>
      <c r="AC150" s="192"/>
    </row>
    <row r="151" spans="1:29" ht="11.4">
      <c r="A151" s="211" t="str">
        <f t="shared" si="42"/>
        <v/>
      </c>
      <c r="B151" s="211"/>
      <c r="C151" s="215"/>
      <c r="D151" s="213" t="str">
        <f t="shared" si="43"/>
        <v/>
      </c>
      <c r="E151" s="213" t="str">
        <f t="shared" si="51"/>
        <v/>
      </c>
      <c r="F151" s="214" t="str">
        <f t="shared" si="44"/>
        <v/>
      </c>
      <c r="G151" s="180"/>
      <c r="H151" s="181" t="str">
        <f t="shared" si="45"/>
        <v/>
      </c>
      <c r="I151" s="227"/>
      <c r="J151" s="227"/>
      <c r="K151" s="227"/>
      <c r="L151" s="227"/>
      <c r="M151" s="210" t="str">
        <f t="shared" si="50"/>
        <v/>
      </c>
      <c r="N151" s="210"/>
      <c r="O151" s="207"/>
      <c r="P151" s="182" t="str">
        <f t="shared" si="35"/>
        <v/>
      </c>
      <c r="Q151" s="183" t="str">
        <f t="shared" si="46"/>
        <v/>
      </c>
      <c r="R151" s="182" t="str">
        <f>IF(M151&lt;&gt;"",IF(#REF!*F151*10=0,"",#REF!*F151*10),"")</f>
        <v/>
      </c>
      <c r="S151" s="184" t="str">
        <f t="shared" si="47"/>
        <v/>
      </c>
      <c r="T151" s="185" t="str">
        <f t="shared" si="36"/>
        <v/>
      </c>
      <c r="U151" s="183" t="str">
        <f t="shared" si="48"/>
        <v/>
      </c>
      <c r="V151" s="186" t="str">
        <f t="shared" si="37"/>
        <v/>
      </c>
      <c r="W151" s="186" t="str">
        <f t="shared" si="38"/>
        <v/>
      </c>
      <c r="X151" s="187" t="str">
        <f t="shared" si="39"/>
        <v/>
      </c>
      <c r="Y151" s="182" t="str">
        <f t="shared" si="49"/>
        <v/>
      </c>
      <c r="Z151" s="209" t="str">
        <f t="shared" si="40"/>
        <v/>
      </c>
      <c r="AA151" s="209" t="str">
        <f t="shared" si="41"/>
        <v/>
      </c>
      <c r="AB151" s="200"/>
      <c r="AC151" s="192"/>
    </row>
    <row r="152" spans="1:29" ht="11.4">
      <c r="A152" s="211" t="str">
        <f t="shared" si="42"/>
        <v/>
      </c>
      <c r="B152" s="211"/>
      <c r="C152" s="215"/>
      <c r="D152" s="213" t="str">
        <f t="shared" si="43"/>
        <v/>
      </c>
      <c r="E152" s="213" t="str">
        <f t="shared" si="51"/>
        <v/>
      </c>
      <c r="F152" s="214" t="str">
        <f t="shared" si="44"/>
        <v/>
      </c>
      <c r="G152" s="180"/>
      <c r="H152" s="181" t="str">
        <f t="shared" si="45"/>
        <v/>
      </c>
      <c r="I152" s="227"/>
      <c r="J152" s="227"/>
      <c r="K152" s="227"/>
      <c r="L152" s="227"/>
      <c r="M152" s="210" t="str">
        <f t="shared" si="50"/>
        <v/>
      </c>
      <c r="N152" s="210"/>
      <c r="O152" s="207"/>
      <c r="P152" s="182" t="str">
        <f t="shared" si="35"/>
        <v/>
      </c>
      <c r="Q152" s="183" t="str">
        <f t="shared" si="46"/>
        <v/>
      </c>
      <c r="R152" s="182" t="str">
        <f>IF(M152&lt;&gt;"",IF(#REF!*F152*10=0,"",#REF!*F152*10),"")</f>
        <v/>
      </c>
      <c r="S152" s="184" t="str">
        <f t="shared" si="47"/>
        <v/>
      </c>
      <c r="T152" s="185" t="str">
        <f t="shared" si="36"/>
        <v/>
      </c>
      <c r="U152" s="183" t="str">
        <f t="shared" si="48"/>
        <v/>
      </c>
      <c r="V152" s="186" t="str">
        <f t="shared" si="37"/>
        <v/>
      </c>
      <c r="W152" s="186" t="str">
        <f t="shared" si="38"/>
        <v/>
      </c>
      <c r="X152" s="187" t="str">
        <f t="shared" si="39"/>
        <v/>
      </c>
      <c r="Y152" s="182" t="str">
        <f t="shared" si="49"/>
        <v/>
      </c>
      <c r="Z152" s="209" t="str">
        <f t="shared" si="40"/>
        <v/>
      </c>
      <c r="AA152" s="209" t="str">
        <f t="shared" si="41"/>
        <v/>
      </c>
      <c r="AB152" s="200"/>
      <c r="AC152" s="192"/>
    </row>
    <row r="153" spans="1:29" ht="11.4">
      <c r="A153" s="211" t="str">
        <f t="shared" si="42"/>
        <v/>
      </c>
      <c r="B153" s="211"/>
      <c r="C153" s="215"/>
      <c r="D153" s="213" t="str">
        <f t="shared" si="43"/>
        <v/>
      </c>
      <c r="E153" s="213" t="str">
        <f t="shared" si="51"/>
        <v/>
      </c>
      <c r="F153" s="214" t="str">
        <f t="shared" si="44"/>
        <v/>
      </c>
      <c r="G153" s="180"/>
      <c r="H153" s="181" t="str">
        <f t="shared" si="45"/>
        <v/>
      </c>
      <c r="I153" s="227"/>
      <c r="J153" s="227"/>
      <c r="K153" s="227"/>
      <c r="L153" s="227"/>
      <c r="M153" s="210" t="str">
        <f t="shared" si="50"/>
        <v/>
      </c>
      <c r="N153" s="210"/>
      <c r="O153" s="207"/>
      <c r="P153" s="182" t="str">
        <f t="shared" si="35"/>
        <v/>
      </c>
      <c r="Q153" s="183" t="str">
        <f t="shared" si="46"/>
        <v/>
      </c>
      <c r="R153" s="182" t="str">
        <f>IF(M153&lt;&gt;"",IF(#REF!*F153*10=0,"",#REF!*F153*10),"")</f>
        <v/>
      </c>
      <c r="S153" s="184" t="str">
        <f t="shared" si="47"/>
        <v/>
      </c>
      <c r="T153" s="185" t="str">
        <f t="shared" si="36"/>
        <v/>
      </c>
      <c r="U153" s="183" t="str">
        <f t="shared" si="48"/>
        <v/>
      </c>
      <c r="V153" s="186" t="str">
        <f t="shared" si="37"/>
        <v/>
      </c>
      <c r="W153" s="186" t="str">
        <f t="shared" si="38"/>
        <v/>
      </c>
      <c r="X153" s="187" t="str">
        <f t="shared" si="39"/>
        <v/>
      </c>
      <c r="Y153" s="182" t="str">
        <f t="shared" si="49"/>
        <v/>
      </c>
      <c r="Z153" s="209" t="str">
        <f t="shared" si="40"/>
        <v/>
      </c>
      <c r="AA153" s="209" t="str">
        <f t="shared" si="41"/>
        <v/>
      </c>
      <c r="AB153" s="200"/>
      <c r="AC153" s="192"/>
    </row>
    <row r="154" spans="1:29" ht="11.4">
      <c r="A154" s="211" t="str">
        <f t="shared" si="42"/>
        <v/>
      </c>
      <c r="B154" s="211"/>
      <c r="C154" s="215"/>
      <c r="D154" s="213" t="str">
        <f t="shared" si="43"/>
        <v/>
      </c>
      <c r="E154" s="213" t="str">
        <f t="shared" si="51"/>
        <v/>
      </c>
      <c r="F154" s="214" t="str">
        <f t="shared" si="44"/>
        <v/>
      </c>
      <c r="G154" s="180"/>
      <c r="H154" s="181" t="str">
        <f t="shared" si="45"/>
        <v/>
      </c>
      <c r="I154" s="227"/>
      <c r="J154" s="227"/>
      <c r="K154" s="227"/>
      <c r="L154" s="227"/>
      <c r="M154" s="210" t="str">
        <f t="shared" si="50"/>
        <v/>
      </c>
      <c r="N154" s="210"/>
      <c r="O154" s="207"/>
      <c r="P154" s="182" t="str">
        <f t="shared" si="35"/>
        <v/>
      </c>
      <c r="Q154" s="183" t="str">
        <f t="shared" si="46"/>
        <v/>
      </c>
      <c r="R154" s="182" t="str">
        <f>IF(M154&lt;&gt;"",IF(#REF!*F154*10=0,"",#REF!*F154*10),"")</f>
        <v/>
      </c>
      <c r="S154" s="184" t="str">
        <f t="shared" si="47"/>
        <v/>
      </c>
      <c r="T154" s="185" t="str">
        <f t="shared" si="36"/>
        <v/>
      </c>
      <c r="U154" s="183" t="str">
        <f t="shared" si="48"/>
        <v/>
      </c>
      <c r="V154" s="186" t="str">
        <f t="shared" si="37"/>
        <v/>
      </c>
      <c r="W154" s="186" t="str">
        <f t="shared" si="38"/>
        <v/>
      </c>
      <c r="X154" s="187" t="str">
        <f t="shared" si="39"/>
        <v/>
      </c>
      <c r="Y154" s="182" t="str">
        <f t="shared" si="49"/>
        <v/>
      </c>
      <c r="Z154" s="209" t="str">
        <f t="shared" si="40"/>
        <v/>
      </c>
      <c r="AA154" s="209" t="str">
        <f t="shared" si="41"/>
        <v/>
      </c>
      <c r="AB154" s="200"/>
      <c r="AC154" s="192"/>
    </row>
    <row r="155" spans="1:29" ht="11.4">
      <c r="A155" s="211" t="str">
        <f t="shared" si="42"/>
        <v/>
      </c>
      <c r="B155" s="211"/>
      <c r="C155" s="215"/>
      <c r="D155" s="213" t="str">
        <f t="shared" si="43"/>
        <v/>
      </c>
      <c r="E155" s="213" t="str">
        <f t="shared" si="51"/>
        <v/>
      </c>
      <c r="F155" s="214" t="str">
        <f t="shared" si="44"/>
        <v/>
      </c>
      <c r="G155" s="180"/>
      <c r="H155" s="181" t="str">
        <f t="shared" si="45"/>
        <v/>
      </c>
      <c r="I155" s="227"/>
      <c r="J155" s="227"/>
      <c r="K155" s="227"/>
      <c r="L155" s="227"/>
      <c r="M155" s="210" t="str">
        <f t="shared" si="50"/>
        <v/>
      </c>
      <c r="N155" s="210"/>
      <c r="O155" s="207"/>
      <c r="P155" s="182" t="str">
        <f t="shared" si="35"/>
        <v/>
      </c>
      <c r="Q155" s="183" t="str">
        <f t="shared" si="46"/>
        <v/>
      </c>
      <c r="R155" s="182" t="str">
        <f>IF(M155&lt;&gt;"",IF(#REF!*F155*10=0,"",#REF!*F155*10),"")</f>
        <v/>
      </c>
      <c r="S155" s="184" t="str">
        <f t="shared" si="47"/>
        <v/>
      </c>
      <c r="T155" s="185" t="str">
        <f t="shared" si="36"/>
        <v/>
      </c>
      <c r="U155" s="183" t="str">
        <f t="shared" si="48"/>
        <v/>
      </c>
      <c r="V155" s="186" t="str">
        <f t="shared" si="37"/>
        <v/>
      </c>
      <c r="W155" s="186" t="str">
        <f t="shared" si="38"/>
        <v/>
      </c>
      <c r="X155" s="187" t="str">
        <f t="shared" si="39"/>
        <v/>
      </c>
      <c r="Y155" s="182" t="str">
        <f t="shared" si="49"/>
        <v/>
      </c>
      <c r="Z155" s="209" t="str">
        <f t="shared" si="40"/>
        <v/>
      </c>
      <c r="AA155" s="209" t="str">
        <f t="shared" si="41"/>
        <v/>
      </c>
      <c r="AB155" s="200"/>
      <c r="AC155" s="192"/>
    </row>
    <row r="156" spans="1:29" ht="11.4">
      <c r="A156" s="211" t="str">
        <f t="shared" si="42"/>
        <v/>
      </c>
      <c r="B156" s="211"/>
      <c r="C156" s="215"/>
      <c r="D156" s="213" t="str">
        <f t="shared" si="43"/>
        <v/>
      </c>
      <c r="E156" s="213" t="str">
        <f t="shared" si="51"/>
        <v/>
      </c>
      <c r="F156" s="214" t="str">
        <f t="shared" si="44"/>
        <v/>
      </c>
      <c r="G156" s="180"/>
      <c r="H156" s="181" t="str">
        <f t="shared" si="45"/>
        <v/>
      </c>
      <c r="I156" s="227"/>
      <c r="J156" s="227"/>
      <c r="K156" s="227"/>
      <c r="L156" s="227"/>
      <c r="M156" s="210" t="str">
        <f t="shared" si="50"/>
        <v/>
      </c>
      <c r="N156" s="210"/>
      <c r="O156" s="207"/>
      <c r="P156" s="182" t="str">
        <f t="shared" si="35"/>
        <v/>
      </c>
      <c r="Q156" s="183" t="str">
        <f t="shared" si="46"/>
        <v/>
      </c>
      <c r="R156" s="182" t="str">
        <f>IF(M156&lt;&gt;"",IF(#REF!*F156*10=0,"",#REF!*F156*10),"")</f>
        <v/>
      </c>
      <c r="S156" s="184" t="str">
        <f t="shared" si="47"/>
        <v/>
      </c>
      <c r="T156" s="185" t="str">
        <f t="shared" si="36"/>
        <v/>
      </c>
      <c r="U156" s="183" t="str">
        <f t="shared" si="48"/>
        <v/>
      </c>
      <c r="V156" s="186" t="str">
        <f t="shared" si="37"/>
        <v/>
      </c>
      <c r="W156" s="186" t="str">
        <f t="shared" si="38"/>
        <v/>
      </c>
      <c r="X156" s="187" t="str">
        <f t="shared" si="39"/>
        <v/>
      </c>
      <c r="Y156" s="182" t="str">
        <f t="shared" si="49"/>
        <v/>
      </c>
      <c r="Z156" s="209" t="str">
        <f t="shared" si="40"/>
        <v/>
      </c>
      <c r="AA156" s="209" t="str">
        <f t="shared" si="41"/>
        <v/>
      </c>
      <c r="AB156" s="200"/>
      <c r="AC156" s="192"/>
    </row>
    <row r="157" spans="1:29" ht="11.4">
      <c r="A157" s="211" t="str">
        <f t="shared" si="42"/>
        <v/>
      </c>
      <c r="B157" s="211"/>
      <c r="C157" s="215"/>
      <c r="D157" s="213" t="str">
        <f t="shared" si="43"/>
        <v/>
      </c>
      <c r="E157" s="213" t="str">
        <f t="shared" si="51"/>
        <v/>
      </c>
      <c r="F157" s="214" t="str">
        <f t="shared" si="44"/>
        <v/>
      </c>
      <c r="G157" s="180"/>
      <c r="H157" s="181" t="str">
        <f t="shared" si="45"/>
        <v/>
      </c>
      <c r="I157" s="227"/>
      <c r="J157" s="227"/>
      <c r="K157" s="227"/>
      <c r="L157" s="227"/>
      <c r="M157" s="210" t="str">
        <f t="shared" si="50"/>
        <v/>
      </c>
      <c r="N157" s="210"/>
      <c r="O157" s="207"/>
      <c r="P157" s="182" t="str">
        <f t="shared" si="35"/>
        <v/>
      </c>
      <c r="Q157" s="183" t="str">
        <f t="shared" si="46"/>
        <v/>
      </c>
      <c r="R157" s="182" t="str">
        <f>IF(M157&lt;&gt;"",IF(#REF!*F157*10=0,"",#REF!*F157*10),"")</f>
        <v/>
      </c>
      <c r="S157" s="184" t="str">
        <f t="shared" si="47"/>
        <v/>
      </c>
      <c r="T157" s="185" t="str">
        <f t="shared" si="36"/>
        <v/>
      </c>
      <c r="U157" s="183" t="str">
        <f t="shared" si="48"/>
        <v/>
      </c>
      <c r="V157" s="186" t="str">
        <f t="shared" si="37"/>
        <v/>
      </c>
      <c r="W157" s="186" t="str">
        <f t="shared" si="38"/>
        <v/>
      </c>
      <c r="X157" s="187" t="str">
        <f t="shared" si="39"/>
        <v/>
      </c>
      <c r="Y157" s="182" t="str">
        <f t="shared" si="49"/>
        <v/>
      </c>
      <c r="Z157" s="209" t="str">
        <f t="shared" si="40"/>
        <v/>
      </c>
      <c r="AA157" s="209" t="str">
        <f t="shared" si="41"/>
        <v/>
      </c>
      <c r="AB157" s="200"/>
      <c r="AC157" s="192"/>
    </row>
    <row r="158" spans="1:29" ht="11.4">
      <c r="A158" s="211" t="str">
        <f t="shared" si="42"/>
        <v/>
      </c>
      <c r="B158" s="211"/>
      <c r="C158" s="215"/>
      <c r="D158" s="213" t="str">
        <f t="shared" si="43"/>
        <v/>
      </c>
      <c r="E158" s="213" t="str">
        <f t="shared" si="51"/>
        <v/>
      </c>
      <c r="F158" s="214" t="str">
        <f t="shared" si="44"/>
        <v/>
      </c>
      <c r="G158" s="180"/>
      <c r="H158" s="181" t="str">
        <f t="shared" si="45"/>
        <v/>
      </c>
      <c r="I158" s="227"/>
      <c r="J158" s="227"/>
      <c r="K158" s="227"/>
      <c r="L158" s="227"/>
      <c r="M158" s="210" t="str">
        <f t="shared" si="50"/>
        <v/>
      </c>
      <c r="N158" s="210"/>
      <c r="O158" s="207"/>
      <c r="P158" s="182" t="str">
        <f t="shared" si="35"/>
        <v/>
      </c>
      <c r="Q158" s="183" t="str">
        <f t="shared" si="46"/>
        <v/>
      </c>
      <c r="R158" s="182" t="str">
        <f>IF(M158&lt;&gt;"",IF(#REF!*F158*10=0,"",#REF!*F158*10),"")</f>
        <v/>
      </c>
      <c r="S158" s="184" t="str">
        <f t="shared" si="47"/>
        <v/>
      </c>
      <c r="T158" s="185" t="str">
        <f t="shared" si="36"/>
        <v/>
      </c>
      <c r="U158" s="183" t="str">
        <f t="shared" si="48"/>
        <v/>
      </c>
      <c r="V158" s="186" t="str">
        <f t="shared" si="37"/>
        <v/>
      </c>
      <c r="W158" s="186" t="str">
        <f t="shared" si="38"/>
        <v/>
      </c>
      <c r="X158" s="187" t="str">
        <f t="shared" si="39"/>
        <v/>
      </c>
      <c r="Y158" s="182" t="str">
        <f t="shared" si="49"/>
        <v/>
      </c>
      <c r="Z158" s="209" t="str">
        <f t="shared" si="40"/>
        <v/>
      </c>
      <c r="AA158" s="209" t="str">
        <f t="shared" si="41"/>
        <v/>
      </c>
      <c r="AB158" s="200"/>
      <c r="AC158" s="192"/>
    </row>
    <row r="159" spans="1:29" ht="11.4">
      <c r="A159" s="211" t="str">
        <f t="shared" si="42"/>
        <v/>
      </c>
      <c r="B159" s="211"/>
      <c r="C159" s="215"/>
      <c r="D159" s="213" t="str">
        <f t="shared" si="43"/>
        <v/>
      </c>
      <c r="E159" s="213" t="str">
        <f t="shared" si="51"/>
        <v/>
      </c>
      <c r="F159" s="214" t="str">
        <f t="shared" si="44"/>
        <v/>
      </c>
      <c r="G159" s="180"/>
      <c r="H159" s="181" t="str">
        <f t="shared" si="45"/>
        <v/>
      </c>
      <c r="I159" s="227"/>
      <c r="J159" s="227"/>
      <c r="K159" s="227"/>
      <c r="L159" s="227"/>
      <c r="M159" s="210" t="str">
        <f t="shared" si="50"/>
        <v/>
      </c>
      <c r="N159" s="210"/>
      <c r="O159" s="207"/>
      <c r="P159" s="182" t="str">
        <f t="shared" si="35"/>
        <v/>
      </c>
      <c r="Q159" s="183" t="str">
        <f t="shared" si="46"/>
        <v/>
      </c>
      <c r="R159" s="182" t="str">
        <f>IF(M159&lt;&gt;"",IF(#REF!*F159*10=0,"",#REF!*F159*10),"")</f>
        <v/>
      </c>
      <c r="S159" s="184" t="str">
        <f t="shared" si="47"/>
        <v/>
      </c>
      <c r="T159" s="185" t="str">
        <f t="shared" si="36"/>
        <v/>
      </c>
      <c r="U159" s="183" t="str">
        <f t="shared" si="48"/>
        <v/>
      </c>
      <c r="V159" s="186" t="str">
        <f t="shared" si="37"/>
        <v/>
      </c>
      <c r="W159" s="186" t="str">
        <f t="shared" si="38"/>
        <v/>
      </c>
      <c r="X159" s="187" t="str">
        <f t="shared" si="39"/>
        <v/>
      </c>
      <c r="Y159" s="182" t="str">
        <f t="shared" si="49"/>
        <v/>
      </c>
      <c r="Z159" s="209" t="str">
        <f t="shared" si="40"/>
        <v/>
      </c>
      <c r="AA159" s="209" t="str">
        <f t="shared" si="41"/>
        <v/>
      </c>
      <c r="AB159" s="200"/>
      <c r="AC159" s="192"/>
    </row>
    <row r="160" spans="1:29" ht="11.4">
      <c r="A160" s="211" t="str">
        <f t="shared" si="42"/>
        <v/>
      </c>
      <c r="B160" s="211"/>
      <c r="C160" s="215"/>
      <c r="D160" s="213" t="str">
        <f t="shared" si="43"/>
        <v/>
      </c>
      <c r="E160" s="213" t="str">
        <f t="shared" si="51"/>
        <v/>
      </c>
      <c r="F160" s="214" t="str">
        <f t="shared" si="44"/>
        <v/>
      </c>
      <c r="G160" s="180"/>
      <c r="H160" s="181" t="str">
        <f t="shared" si="45"/>
        <v/>
      </c>
      <c r="I160" s="227"/>
      <c r="J160" s="227"/>
      <c r="K160" s="227"/>
      <c r="L160" s="227"/>
      <c r="M160" s="210" t="str">
        <f t="shared" si="50"/>
        <v/>
      </c>
      <c r="N160" s="210"/>
      <c r="O160" s="207"/>
      <c r="P160" s="182" t="str">
        <f t="shared" si="35"/>
        <v/>
      </c>
      <c r="Q160" s="183" t="str">
        <f t="shared" si="46"/>
        <v/>
      </c>
      <c r="R160" s="182" t="str">
        <f>IF(M160&lt;&gt;"",IF(#REF!*F160*10=0,"",#REF!*F160*10),"")</f>
        <v/>
      </c>
      <c r="S160" s="184" t="str">
        <f t="shared" si="47"/>
        <v/>
      </c>
      <c r="T160" s="185" t="str">
        <f t="shared" si="36"/>
        <v/>
      </c>
      <c r="U160" s="183" t="str">
        <f t="shared" si="48"/>
        <v/>
      </c>
      <c r="V160" s="186" t="str">
        <f t="shared" si="37"/>
        <v/>
      </c>
      <c r="W160" s="186" t="str">
        <f t="shared" si="38"/>
        <v/>
      </c>
      <c r="X160" s="187" t="str">
        <f t="shared" si="39"/>
        <v/>
      </c>
      <c r="Y160" s="182" t="str">
        <f t="shared" si="49"/>
        <v/>
      </c>
      <c r="Z160" s="209" t="str">
        <f t="shared" si="40"/>
        <v/>
      </c>
      <c r="AA160" s="209" t="str">
        <f t="shared" si="41"/>
        <v/>
      </c>
      <c r="AB160" s="200"/>
      <c r="AC160" s="192"/>
    </row>
    <row r="161" spans="1:29" ht="11.4">
      <c r="A161" s="211" t="str">
        <f t="shared" si="42"/>
        <v/>
      </c>
      <c r="B161" s="211"/>
      <c r="C161" s="215"/>
      <c r="D161" s="213" t="str">
        <f t="shared" si="43"/>
        <v/>
      </c>
      <c r="E161" s="213" t="str">
        <f t="shared" si="51"/>
        <v/>
      </c>
      <c r="F161" s="214" t="str">
        <f t="shared" si="44"/>
        <v/>
      </c>
      <c r="G161" s="180"/>
      <c r="H161" s="181" t="str">
        <f t="shared" si="45"/>
        <v/>
      </c>
      <c r="I161" s="227"/>
      <c r="J161" s="227"/>
      <c r="K161" s="227"/>
      <c r="L161" s="227"/>
      <c r="M161" s="210" t="str">
        <f t="shared" si="50"/>
        <v/>
      </c>
      <c r="N161" s="210"/>
      <c r="O161" s="207"/>
      <c r="P161" s="182" t="str">
        <f t="shared" si="35"/>
        <v/>
      </c>
      <c r="Q161" s="183" t="str">
        <f t="shared" si="46"/>
        <v/>
      </c>
      <c r="R161" s="182" t="str">
        <f>IF(M161&lt;&gt;"",IF(#REF!*F161*10=0,"",#REF!*F161*10),"")</f>
        <v/>
      </c>
      <c r="S161" s="184" t="str">
        <f t="shared" si="47"/>
        <v/>
      </c>
      <c r="T161" s="185" t="str">
        <f t="shared" si="36"/>
        <v/>
      </c>
      <c r="U161" s="183" t="str">
        <f t="shared" si="48"/>
        <v/>
      </c>
      <c r="V161" s="186" t="str">
        <f t="shared" si="37"/>
        <v/>
      </c>
      <c r="W161" s="186" t="str">
        <f t="shared" si="38"/>
        <v/>
      </c>
      <c r="X161" s="187" t="str">
        <f t="shared" si="39"/>
        <v/>
      </c>
      <c r="Y161" s="182" t="str">
        <f t="shared" si="49"/>
        <v/>
      </c>
      <c r="Z161" s="209" t="str">
        <f t="shared" si="40"/>
        <v/>
      </c>
      <c r="AA161" s="209" t="str">
        <f t="shared" si="41"/>
        <v/>
      </c>
      <c r="AB161" s="200"/>
      <c r="AC161" s="192"/>
    </row>
    <row r="162" spans="1:29" ht="11.4">
      <c r="A162" s="211" t="str">
        <f t="shared" si="42"/>
        <v/>
      </c>
      <c r="B162" s="211"/>
      <c r="C162" s="215"/>
      <c r="D162" s="213" t="str">
        <f t="shared" si="43"/>
        <v/>
      </c>
      <c r="E162" s="213" t="str">
        <f t="shared" si="51"/>
        <v/>
      </c>
      <c r="F162" s="214" t="str">
        <f t="shared" si="44"/>
        <v/>
      </c>
      <c r="G162" s="180"/>
      <c r="H162" s="181" t="str">
        <f t="shared" si="45"/>
        <v/>
      </c>
      <c r="I162" s="227"/>
      <c r="J162" s="227"/>
      <c r="K162" s="227"/>
      <c r="L162" s="227"/>
      <c r="M162" s="210" t="str">
        <f t="shared" si="50"/>
        <v/>
      </c>
      <c r="N162" s="210"/>
      <c r="O162" s="207"/>
      <c r="P162" s="182" t="str">
        <f t="shared" si="35"/>
        <v/>
      </c>
      <c r="Q162" s="183" t="str">
        <f t="shared" si="46"/>
        <v/>
      </c>
      <c r="R162" s="182" t="str">
        <f>IF(M162&lt;&gt;"",IF(#REF!*F162*10=0,"",#REF!*F162*10),"")</f>
        <v/>
      </c>
      <c r="S162" s="184" t="str">
        <f t="shared" si="47"/>
        <v/>
      </c>
      <c r="T162" s="185" t="str">
        <f t="shared" si="36"/>
        <v/>
      </c>
      <c r="U162" s="183" t="str">
        <f t="shared" si="48"/>
        <v/>
      </c>
      <c r="V162" s="186" t="str">
        <f t="shared" si="37"/>
        <v/>
      </c>
      <c r="W162" s="186" t="str">
        <f t="shared" si="38"/>
        <v/>
      </c>
      <c r="X162" s="187" t="str">
        <f t="shared" si="39"/>
        <v/>
      </c>
      <c r="Y162" s="182" t="str">
        <f t="shared" si="49"/>
        <v/>
      </c>
      <c r="Z162" s="209" t="str">
        <f t="shared" si="40"/>
        <v/>
      </c>
      <c r="AA162" s="209" t="str">
        <f t="shared" si="41"/>
        <v/>
      </c>
      <c r="AB162" s="200"/>
      <c r="AC162" s="192"/>
    </row>
    <row r="163" spans="1:29" ht="11.4">
      <c r="A163" s="211" t="str">
        <f t="shared" si="42"/>
        <v/>
      </c>
      <c r="B163" s="211"/>
      <c r="C163" s="215"/>
      <c r="D163" s="213" t="str">
        <f t="shared" si="43"/>
        <v/>
      </c>
      <c r="E163" s="213" t="str">
        <f t="shared" si="51"/>
        <v/>
      </c>
      <c r="F163" s="214" t="str">
        <f t="shared" si="44"/>
        <v/>
      </c>
      <c r="G163" s="180"/>
      <c r="H163" s="181" t="str">
        <f t="shared" si="45"/>
        <v/>
      </c>
      <c r="I163" s="227"/>
      <c r="J163" s="227"/>
      <c r="K163" s="227"/>
      <c r="L163" s="227"/>
      <c r="M163" s="210" t="str">
        <f t="shared" si="50"/>
        <v/>
      </c>
      <c r="N163" s="210"/>
      <c r="O163" s="207"/>
      <c r="P163" s="182" t="str">
        <f t="shared" si="35"/>
        <v/>
      </c>
      <c r="Q163" s="183" t="str">
        <f t="shared" si="46"/>
        <v/>
      </c>
      <c r="R163" s="182" t="str">
        <f>IF(M163&lt;&gt;"",IF(#REF!*F163*10=0,"",#REF!*F163*10),"")</f>
        <v/>
      </c>
      <c r="S163" s="184" t="str">
        <f t="shared" si="47"/>
        <v/>
      </c>
      <c r="T163" s="185" t="str">
        <f t="shared" si="36"/>
        <v/>
      </c>
      <c r="U163" s="183" t="str">
        <f t="shared" si="48"/>
        <v/>
      </c>
      <c r="V163" s="186" t="str">
        <f t="shared" si="37"/>
        <v/>
      </c>
      <c r="W163" s="186" t="str">
        <f t="shared" si="38"/>
        <v/>
      </c>
      <c r="X163" s="187" t="str">
        <f t="shared" si="39"/>
        <v/>
      </c>
      <c r="Y163" s="182" t="str">
        <f t="shared" si="49"/>
        <v/>
      </c>
      <c r="Z163" s="209" t="str">
        <f t="shared" si="40"/>
        <v/>
      </c>
      <c r="AA163" s="209" t="str">
        <f t="shared" si="41"/>
        <v/>
      </c>
      <c r="AB163" s="200"/>
      <c r="AC163" s="192"/>
    </row>
    <row r="164" spans="1:29" ht="11.4">
      <c r="A164" s="211" t="str">
        <f t="shared" si="42"/>
        <v/>
      </c>
      <c r="B164" s="211"/>
      <c r="C164" s="215"/>
      <c r="D164" s="213" t="str">
        <f t="shared" si="43"/>
        <v/>
      </c>
      <c r="E164" s="213" t="str">
        <f t="shared" si="51"/>
        <v/>
      </c>
      <c r="F164" s="214" t="str">
        <f t="shared" si="44"/>
        <v/>
      </c>
      <c r="G164" s="180"/>
      <c r="H164" s="181" t="str">
        <f t="shared" si="45"/>
        <v/>
      </c>
      <c r="I164" s="227"/>
      <c r="J164" s="227"/>
      <c r="K164" s="227"/>
      <c r="L164" s="227"/>
      <c r="M164" s="210" t="str">
        <f t="shared" si="50"/>
        <v/>
      </c>
      <c r="N164" s="210"/>
      <c r="O164" s="207"/>
      <c r="P164" s="182" t="str">
        <f t="shared" si="35"/>
        <v/>
      </c>
      <c r="Q164" s="183" t="str">
        <f t="shared" si="46"/>
        <v/>
      </c>
      <c r="R164" s="182" t="str">
        <f>IF(M164&lt;&gt;"",IF(#REF!*F164*10=0,"",#REF!*F164*10),"")</f>
        <v/>
      </c>
      <c r="S164" s="184" t="str">
        <f t="shared" si="47"/>
        <v/>
      </c>
      <c r="T164" s="185" t="str">
        <f t="shared" si="36"/>
        <v/>
      </c>
      <c r="U164" s="183" t="str">
        <f t="shared" si="48"/>
        <v/>
      </c>
      <c r="V164" s="186" t="str">
        <f t="shared" si="37"/>
        <v/>
      </c>
      <c r="W164" s="186" t="str">
        <f t="shared" si="38"/>
        <v/>
      </c>
      <c r="X164" s="187" t="str">
        <f t="shared" si="39"/>
        <v/>
      </c>
      <c r="Y164" s="182" t="str">
        <f t="shared" si="49"/>
        <v/>
      </c>
      <c r="Z164" s="209" t="str">
        <f t="shared" si="40"/>
        <v/>
      </c>
      <c r="AA164" s="209" t="str">
        <f t="shared" si="41"/>
        <v/>
      </c>
      <c r="AB164" s="200"/>
      <c r="AC164" s="192"/>
    </row>
    <row r="165" spans="1:29" ht="11.4">
      <c r="A165" s="211" t="str">
        <f t="shared" si="42"/>
        <v/>
      </c>
      <c r="B165" s="211"/>
      <c r="C165" s="215"/>
      <c r="D165" s="213" t="str">
        <f t="shared" si="43"/>
        <v/>
      </c>
      <c r="E165" s="213" t="str">
        <f t="shared" si="51"/>
        <v/>
      </c>
      <c r="F165" s="214" t="str">
        <f t="shared" si="44"/>
        <v/>
      </c>
      <c r="G165" s="180"/>
      <c r="H165" s="181" t="str">
        <f t="shared" si="45"/>
        <v/>
      </c>
      <c r="I165" s="227"/>
      <c r="J165" s="227"/>
      <c r="K165" s="227"/>
      <c r="L165" s="227"/>
      <c r="M165" s="210" t="str">
        <f t="shared" si="50"/>
        <v/>
      </c>
      <c r="N165" s="210"/>
      <c r="O165" s="207"/>
      <c r="P165" s="182" t="str">
        <f t="shared" si="35"/>
        <v/>
      </c>
      <c r="Q165" s="183" t="str">
        <f t="shared" si="46"/>
        <v/>
      </c>
      <c r="R165" s="182" t="str">
        <f>IF(M165&lt;&gt;"",IF(#REF!*F165*10=0,"",#REF!*F165*10),"")</f>
        <v/>
      </c>
      <c r="S165" s="184" t="str">
        <f t="shared" si="47"/>
        <v/>
      </c>
      <c r="T165" s="185" t="str">
        <f t="shared" si="36"/>
        <v/>
      </c>
      <c r="U165" s="183" t="str">
        <f t="shared" si="48"/>
        <v/>
      </c>
      <c r="V165" s="186" t="str">
        <f t="shared" si="37"/>
        <v/>
      </c>
      <c r="W165" s="186" t="str">
        <f t="shared" si="38"/>
        <v/>
      </c>
      <c r="X165" s="187" t="str">
        <f t="shared" si="39"/>
        <v/>
      </c>
      <c r="Y165" s="182" t="str">
        <f t="shared" si="49"/>
        <v/>
      </c>
      <c r="Z165" s="209" t="str">
        <f t="shared" si="40"/>
        <v/>
      </c>
      <c r="AA165" s="209" t="str">
        <f t="shared" si="41"/>
        <v/>
      </c>
      <c r="AB165" s="200"/>
      <c r="AC165" s="192"/>
    </row>
    <row r="166" spans="1:29" ht="11.4">
      <c r="A166" s="211" t="str">
        <f t="shared" si="42"/>
        <v/>
      </c>
      <c r="B166" s="211"/>
      <c r="C166" s="215"/>
      <c r="D166" s="213" t="str">
        <f t="shared" si="43"/>
        <v/>
      </c>
      <c r="E166" s="213" t="str">
        <f t="shared" si="51"/>
        <v/>
      </c>
      <c r="F166" s="214" t="str">
        <f t="shared" si="44"/>
        <v/>
      </c>
      <c r="G166" s="180"/>
      <c r="H166" s="181" t="str">
        <f t="shared" si="45"/>
        <v/>
      </c>
      <c r="I166" s="227"/>
      <c r="J166" s="227"/>
      <c r="K166" s="227"/>
      <c r="L166" s="227"/>
      <c r="M166" s="210" t="str">
        <f t="shared" si="50"/>
        <v/>
      </c>
      <c r="N166" s="210"/>
      <c r="O166" s="207"/>
      <c r="P166" s="182" t="str">
        <f t="shared" si="35"/>
        <v/>
      </c>
      <c r="Q166" s="183" t="str">
        <f t="shared" si="46"/>
        <v/>
      </c>
      <c r="R166" s="182" t="str">
        <f>IF(M166&lt;&gt;"",IF(#REF!*F166*10=0,"",#REF!*F166*10),"")</f>
        <v/>
      </c>
      <c r="S166" s="184" t="str">
        <f t="shared" si="47"/>
        <v/>
      </c>
      <c r="T166" s="185" t="str">
        <f t="shared" si="36"/>
        <v/>
      </c>
      <c r="U166" s="183" t="str">
        <f t="shared" si="48"/>
        <v/>
      </c>
      <c r="V166" s="186" t="str">
        <f t="shared" si="37"/>
        <v/>
      </c>
      <c r="W166" s="186" t="str">
        <f t="shared" si="38"/>
        <v/>
      </c>
      <c r="X166" s="187" t="str">
        <f t="shared" si="39"/>
        <v/>
      </c>
      <c r="Y166" s="182" t="str">
        <f t="shared" si="49"/>
        <v/>
      </c>
      <c r="Z166" s="209" t="str">
        <f t="shared" si="40"/>
        <v/>
      </c>
      <c r="AA166" s="209" t="str">
        <f t="shared" si="41"/>
        <v/>
      </c>
      <c r="AB166" s="200"/>
      <c r="AC166" s="192"/>
    </row>
    <row r="167" spans="1:29" ht="11.4">
      <c r="A167" s="211" t="str">
        <f t="shared" si="42"/>
        <v/>
      </c>
      <c r="B167" s="211"/>
      <c r="C167" s="215"/>
      <c r="D167" s="213" t="str">
        <f t="shared" si="43"/>
        <v/>
      </c>
      <c r="E167" s="213" t="str">
        <f t="shared" si="51"/>
        <v/>
      </c>
      <c r="F167" s="214" t="str">
        <f t="shared" si="44"/>
        <v/>
      </c>
      <c r="G167" s="180"/>
      <c r="H167" s="181" t="str">
        <f t="shared" si="45"/>
        <v/>
      </c>
      <c r="I167" s="227"/>
      <c r="J167" s="227"/>
      <c r="K167" s="227"/>
      <c r="L167" s="227"/>
      <c r="M167" s="210" t="str">
        <f t="shared" si="50"/>
        <v/>
      </c>
      <c r="N167" s="210"/>
      <c r="O167" s="207"/>
      <c r="P167" s="182" t="str">
        <f t="shared" si="35"/>
        <v/>
      </c>
      <c r="Q167" s="183" t="str">
        <f t="shared" si="46"/>
        <v/>
      </c>
      <c r="R167" s="182" t="str">
        <f>IF(M167&lt;&gt;"",IF(#REF!*F167*10=0,"",#REF!*F167*10),"")</f>
        <v/>
      </c>
      <c r="S167" s="184" t="str">
        <f t="shared" si="47"/>
        <v/>
      </c>
      <c r="T167" s="185" t="str">
        <f t="shared" si="36"/>
        <v/>
      </c>
      <c r="U167" s="183" t="str">
        <f t="shared" si="48"/>
        <v/>
      </c>
      <c r="V167" s="186" t="str">
        <f t="shared" si="37"/>
        <v/>
      </c>
      <c r="W167" s="186" t="str">
        <f t="shared" si="38"/>
        <v/>
      </c>
      <c r="X167" s="187" t="str">
        <f t="shared" si="39"/>
        <v/>
      </c>
      <c r="Y167" s="182" t="str">
        <f t="shared" si="49"/>
        <v/>
      </c>
      <c r="Z167" s="209" t="str">
        <f t="shared" si="40"/>
        <v/>
      </c>
      <c r="AA167" s="209" t="str">
        <f t="shared" si="41"/>
        <v/>
      </c>
      <c r="AB167" s="200"/>
      <c r="AC167" s="192"/>
    </row>
    <row r="168" spans="1:29" ht="11.4">
      <c r="A168" s="211" t="str">
        <f t="shared" si="42"/>
        <v/>
      </c>
      <c r="B168" s="211"/>
      <c r="C168" s="215"/>
      <c r="D168" s="213" t="str">
        <f t="shared" si="43"/>
        <v/>
      </c>
      <c r="E168" s="213" t="str">
        <f t="shared" si="51"/>
        <v/>
      </c>
      <c r="F168" s="214" t="str">
        <f t="shared" si="44"/>
        <v/>
      </c>
      <c r="G168" s="180"/>
      <c r="H168" s="181" t="str">
        <f t="shared" si="45"/>
        <v/>
      </c>
      <c r="I168" s="227"/>
      <c r="J168" s="227"/>
      <c r="K168" s="227"/>
      <c r="L168" s="227"/>
      <c r="M168" s="210" t="str">
        <f t="shared" si="50"/>
        <v/>
      </c>
      <c r="N168" s="210"/>
      <c r="O168" s="207"/>
      <c r="P168" s="182" t="str">
        <f t="shared" si="35"/>
        <v/>
      </c>
      <c r="Q168" s="183" t="str">
        <f t="shared" si="46"/>
        <v/>
      </c>
      <c r="R168" s="182" t="str">
        <f>IF(M168&lt;&gt;"",IF(#REF!*F168*10=0,"",#REF!*F168*10),"")</f>
        <v/>
      </c>
      <c r="S168" s="184" t="str">
        <f t="shared" si="47"/>
        <v/>
      </c>
      <c r="T168" s="185" t="str">
        <f t="shared" si="36"/>
        <v/>
      </c>
      <c r="U168" s="183" t="str">
        <f t="shared" si="48"/>
        <v/>
      </c>
      <c r="V168" s="186" t="str">
        <f t="shared" si="37"/>
        <v/>
      </c>
      <c r="W168" s="186" t="str">
        <f t="shared" si="38"/>
        <v/>
      </c>
      <c r="X168" s="187" t="str">
        <f t="shared" si="39"/>
        <v/>
      </c>
      <c r="Y168" s="182" t="str">
        <f t="shared" si="49"/>
        <v/>
      </c>
      <c r="Z168" s="209" t="str">
        <f t="shared" si="40"/>
        <v/>
      </c>
      <c r="AA168" s="209" t="str">
        <f t="shared" si="41"/>
        <v/>
      </c>
      <c r="AB168" s="200"/>
      <c r="AC168" s="192"/>
    </row>
    <row r="169" spans="1:29" ht="11.4">
      <c r="A169" s="211" t="str">
        <f t="shared" si="42"/>
        <v/>
      </c>
      <c r="B169" s="211"/>
      <c r="C169" s="215"/>
      <c r="D169" s="213" t="str">
        <f t="shared" si="43"/>
        <v/>
      </c>
      <c r="E169" s="213" t="str">
        <f t="shared" si="51"/>
        <v/>
      </c>
      <c r="F169" s="214" t="str">
        <f t="shared" si="44"/>
        <v/>
      </c>
      <c r="G169" s="180"/>
      <c r="H169" s="181" t="str">
        <f t="shared" si="45"/>
        <v/>
      </c>
      <c r="I169" s="227"/>
      <c r="J169" s="227"/>
      <c r="K169" s="227"/>
      <c r="L169" s="227"/>
      <c r="M169" s="210" t="str">
        <f t="shared" si="50"/>
        <v/>
      </c>
      <c r="N169" s="210"/>
      <c r="O169" s="207"/>
      <c r="P169" s="182" t="str">
        <f t="shared" si="35"/>
        <v/>
      </c>
      <c r="Q169" s="183" t="str">
        <f t="shared" si="46"/>
        <v/>
      </c>
      <c r="R169" s="182" t="str">
        <f>IF(M169&lt;&gt;"",IF(#REF!*F169*10=0,"",#REF!*F169*10),"")</f>
        <v/>
      </c>
      <c r="S169" s="184" t="str">
        <f t="shared" si="47"/>
        <v/>
      </c>
      <c r="T169" s="185" t="str">
        <f t="shared" si="36"/>
        <v/>
      </c>
      <c r="U169" s="183" t="str">
        <f t="shared" si="48"/>
        <v/>
      </c>
      <c r="V169" s="186" t="str">
        <f t="shared" si="37"/>
        <v/>
      </c>
      <c r="W169" s="186" t="str">
        <f t="shared" si="38"/>
        <v/>
      </c>
      <c r="X169" s="187" t="str">
        <f t="shared" si="39"/>
        <v/>
      </c>
      <c r="Y169" s="182" t="str">
        <f t="shared" si="49"/>
        <v/>
      </c>
      <c r="Z169" s="209" t="str">
        <f t="shared" si="40"/>
        <v/>
      </c>
      <c r="AA169" s="209" t="str">
        <f t="shared" si="41"/>
        <v/>
      </c>
      <c r="AB169" s="200"/>
      <c r="AC169" s="192"/>
    </row>
    <row r="170" spans="1:29" ht="11.4">
      <c r="A170" s="211" t="str">
        <f t="shared" si="42"/>
        <v/>
      </c>
      <c r="B170" s="211"/>
      <c r="C170" s="215"/>
      <c r="D170" s="213" t="str">
        <f t="shared" si="43"/>
        <v/>
      </c>
      <c r="E170" s="213" t="str">
        <f t="shared" si="51"/>
        <v/>
      </c>
      <c r="F170" s="214" t="str">
        <f t="shared" si="44"/>
        <v/>
      </c>
      <c r="G170" s="180"/>
      <c r="H170" s="181" t="str">
        <f t="shared" si="45"/>
        <v/>
      </c>
      <c r="I170" s="227"/>
      <c r="J170" s="227"/>
      <c r="K170" s="227"/>
      <c r="L170" s="227"/>
      <c r="M170" s="210" t="str">
        <f t="shared" si="50"/>
        <v/>
      </c>
      <c r="N170" s="210"/>
      <c r="O170" s="207"/>
      <c r="P170" s="182" t="str">
        <f t="shared" si="35"/>
        <v/>
      </c>
      <c r="Q170" s="183" t="str">
        <f t="shared" si="46"/>
        <v/>
      </c>
      <c r="R170" s="182" t="str">
        <f>IF(M170&lt;&gt;"",IF(#REF!*F170*10=0,"",#REF!*F170*10),"")</f>
        <v/>
      </c>
      <c r="S170" s="184" t="str">
        <f t="shared" si="47"/>
        <v/>
      </c>
      <c r="T170" s="185" t="str">
        <f t="shared" si="36"/>
        <v/>
      </c>
      <c r="U170" s="183" t="str">
        <f t="shared" si="48"/>
        <v/>
      </c>
      <c r="V170" s="186" t="str">
        <f t="shared" si="37"/>
        <v/>
      </c>
      <c r="W170" s="186" t="str">
        <f t="shared" si="38"/>
        <v/>
      </c>
      <c r="X170" s="187" t="str">
        <f t="shared" si="39"/>
        <v/>
      </c>
      <c r="Y170" s="182" t="str">
        <f t="shared" si="49"/>
        <v/>
      </c>
      <c r="Z170" s="209" t="str">
        <f t="shared" si="40"/>
        <v/>
      </c>
      <c r="AA170" s="209" t="str">
        <f t="shared" si="41"/>
        <v/>
      </c>
      <c r="AB170" s="200"/>
      <c r="AC170" s="192"/>
    </row>
    <row r="171" spans="1:29" ht="11.4">
      <c r="A171" s="211" t="str">
        <f t="shared" si="42"/>
        <v/>
      </c>
      <c r="B171" s="211"/>
      <c r="C171" s="215"/>
      <c r="D171" s="213" t="str">
        <f t="shared" si="43"/>
        <v/>
      </c>
      <c r="E171" s="213" t="str">
        <f t="shared" si="51"/>
        <v/>
      </c>
      <c r="F171" s="214" t="str">
        <f t="shared" si="44"/>
        <v/>
      </c>
      <c r="G171" s="180"/>
      <c r="H171" s="181" t="str">
        <f t="shared" si="45"/>
        <v/>
      </c>
      <c r="I171" s="227"/>
      <c r="J171" s="227"/>
      <c r="K171" s="227"/>
      <c r="L171" s="227"/>
      <c r="M171" s="210" t="str">
        <f t="shared" si="50"/>
        <v/>
      </c>
      <c r="N171" s="210"/>
      <c r="O171" s="207"/>
      <c r="P171" s="182" t="str">
        <f t="shared" si="35"/>
        <v/>
      </c>
      <c r="Q171" s="183" t="str">
        <f t="shared" si="46"/>
        <v/>
      </c>
      <c r="R171" s="182" t="str">
        <f>IF(M171&lt;&gt;"",IF(#REF!*F171*10=0,"",#REF!*F171*10),"")</f>
        <v/>
      </c>
      <c r="S171" s="184" t="str">
        <f t="shared" si="47"/>
        <v/>
      </c>
      <c r="T171" s="185" t="str">
        <f t="shared" si="36"/>
        <v/>
      </c>
      <c r="U171" s="183" t="str">
        <f t="shared" si="48"/>
        <v/>
      </c>
      <c r="V171" s="186" t="str">
        <f t="shared" si="37"/>
        <v/>
      </c>
      <c r="W171" s="186" t="str">
        <f t="shared" si="38"/>
        <v/>
      </c>
      <c r="X171" s="187" t="str">
        <f t="shared" si="39"/>
        <v/>
      </c>
      <c r="Y171" s="182" t="str">
        <f t="shared" si="49"/>
        <v/>
      </c>
      <c r="Z171" s="209" t="str">
        <f t="shared" si="40"/>
        <v/>
      </c>
      <c r="AA171" s="209" t="str">
        <f t="shared" si="41"/>
        <v/>
      </c>
      <c r="AB171" s="200"/>
      <c r="AC171" s="192"/>
    </row>
    <row r="172" spans="1:29" ht="11.4">
      <c r="A172" s="211" t="str">
        <f t="shared" si="42"/>
        <v/>
      </c>
      <c r="B172" s="211"/>
      <c r="C172" s="215"/>
      <c r="D172" s="213" t="str">
        <f t="shared" si="43"/>
        <v/>
      </c>
      <c r="E172" s="213" t="str">
        <f t="shared" si="51"/>
        <v/>
      </c>
      <c r="F172" s="214" t="str">
        <f t="shared" si="44"/>
        <v/>
      </c>
      <c r="G172" s="180"/>
      <c r="H172" s="181" t="str">
        <f t="shared" si="45"/>
        <v/>
      </c>
      <c r="I172" s="227"/>
      <c r="J172" s="227"/>
      <c r="K172" s="227"/>
      <c r="L172" s="227"/>
      <c r="M172" s="210" t="str">
        <f t="shared" si="50"/>
        <v/>
      </c>
      <c r="N172" s="210"/>
      <c r="O172" s="207"/>
      <c r="P172" s="182" t="str">
        <f t="shared" si="35"/>
        <v/>
      </c>
      <c r="Q172" s="183" t="str">
        <f t="shared" si="46"/>
        <v/>
      </c>
      <c r="R172" s="182" t="str">
        <f>IF(M172&lt;&gt;"",IF(#REF!*F172*10=0,"",#REF!*F172*10),"")</f>
        <v/>
      </c>
      <c r="S172" s="184" t="str">
        <f t="shared" si="47"/>
        <v/>
      </c>
      <c r="T172" s="185" t="str">
        <f t="shared" si="36"/>
        <v/>
      </c>
      <c r="U172" s="183" t="str">
        <f t="shared" si="48"/>
        <v/>
      </c>
      <c r="V172" s="186" t="str">
        <f t="shared" si="37"/>
        <v/>
      </c>
      <c r="W172" s="186" t="str">
        <f t="shared" si="38"/>
        <v/>
      </c>
      <c r="X172" s="187" t="str">
        <f t="shared" si="39"/>
        <v/>
      </c>
      <c r="Y172" s="182" t="str">
        <f t="shared" si="49"/>
        <v/>
      </c>
      <c r="Z172" s="209" t="str">
        <f t="shared" si="40"/>
        <v/>
      </c>
      <c r="AA172" s="209" t="str">
        <f t="shared" si="41"/>
        <v/>
      </c>
      <c r="AB172" s="200"/>
      <c r="AC172" s="192"/>
    </row>
    <row r="173" spans="1:29" ht="11.4">
      <c r="A173" s="211" t="str">
        <f t="shared" si="42"/>
        <v/>
      </c>
      <c r="B173" s="211"/>
      <c r="C173" s="215"/>
      <c r="D173" s="213" t="str">
        <f t="shared" si="43"/>
        <v/>
      </c>
      <c r="E173" s="213" t="str">
        <f t="shared" si="51"/>
        <v/>
      </c>
      <c r="F173" s="214" t="str">
        <f t="shared" si="44"/>
        <v/>
      </c>
      <c r="G173" s="180"/>
      <c r="H173" s="181" t="str">
        <f t="shared" si="45"/>
        <v/>
      </c>
      <c r="I173" s="227"/>
      <c r="J173" s="227"/>
      <c r="K173" s="227"/>
      <c r="L173" s="227"/>
      <c r="M173" s="210" t="str">
        <f t="shared" si="50"/>
        <v/>
      </c>
      <c r="N173" s="210"/>
      <c r="O173" s="207"/>
      <c r="P173" s="182" t="str">
        <f t="shared" si="35"/>
        <v/>
      </c>
      <c r="Q173" s="183" t="str">
        <f t="shared" si="46"/>
        <v/>
      </c>
      <c r="R173" s="182" t="str">
        <f>IF(M173&lt;&gt;"",IF(#REF!*F173*10=0,"",#REF!*F173*10),"")</f>
        <v/>
      </c>
      <c r="S173" s="184" t="str">
        <f t="shared" si="47"/>
        <v/>
      </c>
      <c r="T173" s="185" t="str">
        <f t="shared" si="36"/>
        <v/>
      </c>
      <c r="U173" s="183" t="str">
        <f t="shared" si="48"/>
        <v/>
      </c>
      <c r="V173" s="186" t="str">
        <f t="shared" si="37"/>
        <v/>
      </c>
      <c r="W173" s="186" t="str">
        <f t="shared" si="38"/>
        <v/>
      </c>
      <c r="X173" s="187" t="str">
        <f t="shared" si="39"/>
        <v/>
      </c>
      <c r="Y173" s="182" t="str">
        <f t="shared" si="49"/>
        <v/>
      </c>
      <c r="Z173" s="209" t="str">
        <f t="shared" si="40"/>
        <v/>
      </c>
      <c r="AA173" s="209" t="str">
        <f t="shared" si="41"/>
        <v/>
      </c>
      <c r="AB173" s="200"/>
      <c r="AC173" s="192"/>
    </row>
    <row r="174" spans="1:29" ht="11.4">
      <c r="A174" s="211" t="str">
        <f t="shared" si="42"/>
        <v/>
      </c>
      <c r="B174" s="211"/>
      <c r="C174" s="215"/>
      <c r="D174" s="213" t="str">
        <f t="shared" si="43"/>
        <v/>
      </c>
      <c r="E174" s="213" t="str">
        <f t="shared" si="51"/>
        <v/>
      </c>
      <c r="F174" s="214" t="str">
        <f t="shared" si="44"/>
        <v/>
      </c>
      <c r="G174" s="180"/>
      <c r="H174" s="181" t="str">
        <f t="shared" si="45"/>
        <v/>
      </c>
      <c r="I174" s="227"/>
      <c r="J174" s="227"/>
      <c r="K174" s="227"/>
      <c r="L174" s="227"/>
      <c r="M174" s="210" t="str">
        <f t="shared" si="50"/>
        <v/>
      </c>
      <c r="N174" s="210"/>
      <c r="O174" s="207"/>
      <c r="P174" s="182" t="str">
        <f t="shared" si="35"/>
        <v/>
      </c>
      <c r="Q174" s="183" t="str">
        <f t="shared" si="46"/>
        <v/>
      </c>
      <c r="R174" s="182" t="str">
        <f>IF(M174&lt;&gt;"",IF(#REF!*F174*10=0,"",#REF!*F174*10),"")</f>
        <v/>
      </c>
      <c r="S174" s="184" t="str">
        <f t="shared" si="47"/>
        <v/>
      </c>
      <c r="T174" s="185" t="str">
        <f t="shared" si="36"/>
        <v/>
      </c>
      <c r="U174" s="183" t="str">
        <f t="shared" si="48"/>
        <v/>
      </c>
      <c r="V174" s="186" t="str">
        <f t="shared" si="37"/>
        <v/>
      </c>
      <c r="W174" s="186" t="str">
        <f t="shared" si="38"/>
        <v/>
      </c>
      <c r="X174" s="187" t="str">
        <f t="shared" si="39"/>
        <v/>
      </c>
      <c r="Y174" s="182" t="str">
        <f t="shared" si="49"/>
        <v/>
      </c>
      <c r="Z174" s="209" t="str">
        <f t="shared" si="40"/>
        <v/>
      </c>
      <c r="AA174" s="209" t="str">
        <f t="shared" si="41"/>
        <v/>
      </c>
      <c r="AB174" s="200"/>
      <c r="AC174" s="192"/>
    </row>
    <row r="175" spans="1:29" ht="11.4">
      <c r="A175" s="211" t="str">
        <f t="shared" si="42"/>
        <v/>
      </c>
      <c r="B175" s="211"/>
      <c r="C175" s="215"/>
      <c r="D175" s="213" t="str">
        <f t="shared" si="43"/>
        <v/>
      </c>
      <c r="E175" s="213" t="str">
        <f t="shared" si="51"/>
        <v/>
      </c>
      <c r="F175" s="214" t="str">
        <f t="shared" si="44"/>
        <v/>
      </c>
      <c r="G175" s="180"/>
      <c r="H175" s="181" t="str">
        <f t="shared" si="45"/>
        <v/>
      </c>
      <c r="I175" s="227"/>
      <c r="J175" s="227"/>
      <c r="K175" s="227"/>
      <c r="L175" s="227"/>
      <c r="M175" s="210" t="str">
        <f t="shared" si="50"/>
        <v/>
      </c>
      <c r="N175" s="210"/>
      <c r="O175" s="207"/>
      <c r="P175" s="182" t="str">
        <f t="shared" si="35"/>
        <v/>
      </c>
      <c r="Q175" s="183" t="str">
        <f t="shared" si="46"/>
        <v/>
      </c>
      <c r="R175" s="182" t="str">
        <f>IF(M175&lt;&gt;"",IF(#REF!*F175*10=0,"",#REF!*F175*10),"")</f>
        <v/>
      </c>
      <c r="S175" s="184" t="str">
        <f t="shared" si="47"/>
        <v/>
      </c>
      <c r="T175" s="185" t="str">
        <f t="shared" si="36"/>
        <v/>
      </c>
      <c r="U175" s="183" t="str">
        <f t="shared" si="48"/>
        <v/>
      </c>
      <c r="V175" s="186" t="str">
        <f t="shared" si="37"/>
        <v/>
      </c>
      <c r="W175" s="186" t="str">
        <f t="shared" si="38"/>
        <v/>
      </c>
      <c r="X175" s="187" t="str">
        <f t="shared" si="39"/>
        <v/>
      </c>
      <c r="Y175" s="182" t="str">
        <f t="shared" si="49"/>
        <v/>
      </c>
      <c r="Z175" s="209" t="str">
        <f t="shared" si="40"/>
        <v/>
      </c>
      <c r="AA175" s="209" t="str">
        <f t="shared" si="41"/>
        <v/>
      </c>
      <c r="AB175" s="200"/>
      <c r="AC175" s="192"/>
    </row>
    <row r="176" spans="1:29" ht="11.4">
      <c r="A176" s="211" t="str">
        <f t="shared" si="42"/>
        <v/>
      </c>
      <c r="B176" s="211"/>
      <c r="C176" s="215"/>
      <c r="D176" s="213" t="str">
        <f t="shared" si="43"/>
        <v/>
      </c>
      <c r="E176" s="213" t="str">
        <f t="shared" si="51"/>
        <v/>
      </c>
      <c r="F176" s="214" t="str">
        <f t="shared" si="44"/>
        <v/>
      </c>
      <c r="G176" s="180"/>
      <c r="H176" s="181" t="str">
        <f t="shared" si="45"/>
        <v/>
      </c>
      <c r="I176" s="227"/>
      <c r="J176" s="227"/>
      <c r="K176" s="227"/>
      <c r="L176" s="227"/>
      <c r="M176" s="210" t="str">
        <f t="shared" si="50"/>
        <v/>
      </c>
      <c r="N176" s="210"/>
      <c r="O176" s="207"/>
      <c r="P176" s="182" t="str">
        <f t="shared" si="35"/>
        <v/>
      </c>
      <c r="Q176" s="183" t="str">
        <f t="shared" si="46"/>
        <v/>
      </c>
      <c r="R176" s="182" t="str">
        <f>IF(M176&lt;&gt;"",IF(#REF!*F176*10=0,"",#REF!*F176*10),"")</f>
        <v/>
      </c>
      <c r="S176" s="184" t="str">
        <f t="shared" si="47"/>
        <v/>
      </c>
      <c r="T176" s="185" t="str">
        <f t="shared" si="36"/>
        <v/>
      </c>
      <c r="U176" s="183" t="str">
        <f t="shared" si="48"/>
        <v/>
      </c>
      <c r="V176" s="186" t="str">
        <f t="shared" si="37"/>
        <v/>
      </c>
      <c r="W176" s="186" t="str">
        <f t="shared" si="38"/>
        <v/>
      </c>
      <c r="X176" s="187" t="str">
        <f t="shared" si="39"/>
        <v/>
      </c>
      <c r="Y176" s="182" t="str">
        <f t="shared" si="49"/>
        <v/>
      </c>
      <c r="Z176" s="209" t="str">
        <f t="shared" si="40"/>
        <v/>
      </c>
      <c r="AA176" s="209" t="str">
        <f t="shared" si="41"/>
        <v/>
      </c>
      <c r="AB176" s="200"/>
      <c r="AC176" s="192"/>
    </row>
    <row r="177" spans="1:29" ht="11.4">
      <c r="A177" s="211" t="str">
        <f t="shared" si="42"/>
        <v/>
      </c>
      <c r="B177" s="211"/>
      <c r="C177" s="215"/>
      <c r="D177" s="213" t="str">
        <f t="shared" si="43"/>
        <v/>
      </c>
      <c r="E177" s="213" t="str">
        <f t="shared" si="51"/>
        <v/>
      </c>
      <c r="F177" s="214" t="str">
        <f t="shared" si="44"/>
        <v/>
      </c>
      <c r="G177" s="180"/>
      <c r="H177" s="181" t="str">
        <f t="shared" si="45"/>
        <v/>
      </c>
      <c r="I177" s="227"/>
      <c r="J177" s="227"/>
      <c r="K177" s="227"/>
      <c r="L177" s="227"/>
      <c r="M177" s="210" t="str">
        <f t="shared" si="50"/>
        <v/>
      </c>
      <c r="N177" s="210"/>
      <c r="O177" s="207"/>
      <c r="P177" s="182" t="str">
        <f t="shared" si="35"/>
        <v/>
      </c>
      <c r="Q177" s="183" t="str">
        <f t="shared" si="46"/>
        <v/>
      </c>
      <c r="R177" s="182" t="str">
        <f>IF(M177&lt;&gt;"",IF(#REF!*F177*10=0,"",#REF!*F177*10),"")</f>
        <v/>
      </c>
      <c r="S177" s="184" t="str">
        <f t="shared" si="47"/>
        <v/>
      </c>
      <c r="T177" s="185" t="str">
        <f t="shared" si="36"/>
        <v/>
      </c>
      <c r="U177" s="183" t="str">
        <f t="shared" si="48"/>
        <v/>
      </c>
      <c r="V177" s="186" t="str">
        <f t="shared" si="37"/>
        <v/>
      </c>
      <c r="W177" s="186" t="str">
        <f t="shared" si="38"/>
        <v/>
      </c>
      <c r="X177" s="187" t="str">
        <f t="shared" si="39"/>
        <v/>
      </c>
      <c r="Y177" s="182" t="str">
        <f t="shared" si="49"/>
        <v/>
      </c>
      <c r="Z177" s="209" t="str">
        <f t="shared" si="40"/>
        <v/>
      </c>
      <c r="AA177" s="209" t="str">
        <f t="shared" si="41"/>
        <v/>
      </c>
      <c r="AB177" s="200"/>
      <c r="AC177" s="192"/>
    </row>
    <row r="178" spans="1:29" ht="11.4">
      <c r="A178" s="211" t="str">
        <f t="shared" si="42"/>
        <v/>
      </c>
      <c r="B178" s="211"/>
      <c r="C178" s="215"/>
      <c r="D178" s="213" t="str">
        <f t="shared" si="43"/>
        <v/>
      </c>
      <c r="E178" s="213" t="str">
        <f t="shared" si="51"/>
        <v/>
      </c>
      <c r="F178" s="214" t="str">
        <f t="shared" si="44"/>
        <v/>
      </c>
      <c r="G178" s="180"/>
      <c r="H178" s="181" t="str">
        <f t="shared" si="45"/>
        <v/>
      </c>
      <c r="I178" s="227"/>
      <c r="J178" s="227"/>
      <c r="K178" s="227"/>
      <c r="L178" s="227"/>
      <c r="M178" s="210" t="str">
        <f t="shared" si="50"/>
        <v/>
      </c>
      <c r="N178" s="210"/>
      <c r="O178" s="207"/>
      <c r="P178" s="182" t="str">
        <f t="shared" si="35"/>
        <v/>
      </c>
      <c r="Q178" s="183" t="str">
        <f t="shared" si="46"/>
        <v/>
      </c>
      <c r="R178" s="182" t="str">
        <f>IF(M178&lt;&gt;"",IF(#REF!*F178*10=0,"",#REF!*F178*10),"")</f>
        <v/>
      </c>
      <c r="S178" s="184" t="str">
        <f t="shared" si="47"/>
        <v/>
      </c>
      <c r="T178" s="185" t="str">
        <f t="shared" si="36"/>
        <v/>
      </c>
      <c r="U178" s="183" t="str">
        <f t="shared" si="48"/>
        <v/>
      </c>
      <c r="V178" s="186" t="str">
        <f t="shared" si="37"/>
        <v/>
      </c>
      <c r="W178" s="186" t="str">
        <f t="shared" si="38"/>
        <v/>
      </c>
      <c r="X178" s="187" t="str">
        <f t="shared" si="39"/>
        <v/>
      </c>
      <c r="Y178" s="182" t="str">
        <f t="shared" si="49"/>
        <v/>
      </c>
      <c r="Z178" s="209" t="str">
        <f t="shared" si="40"/>
        <v/>
      </c>
      <c r="AA178" s="209" t="str">
        <f t="shared" si="41"/>
        <v/>
      </c>
      <c r="AB178" s="200"/>
      <c r="AC178" s="192"/>
    </row>
    <row r="179" spans="1:29" ht="11.4">
      <c r="A179" s="211" t="str">
        <f t="shared" si="42"/>
        <v/>
      </c>
      <c r="B179" s="211"/>
      <c r="C179" s="215"/>
      <c r="D179" s="213" t="str">
        <f t="shared" si="43"/>
        <v/>
      </c>
      <c r="E179" s="213" t="str">
        <f t="shared" si="51"/>
        <v/>
      </c>
      <c r="F179" s="214" t="str">
        <f t="shared" si="44"/>
        <v/>
      </c>
      <c r="G179" s="180"/>
      <c r="H179" s="181" t="str">
        <f t="shared" si="45"/>
        <v/>
      </c>
      <c r="I179" s="227"/>
      <c r="J179" s="227"/>
      <c r="K179" s="227"/>
      <c r="L179" s="227"/>
      <c r="M179" s="210" t="str">
        <f t="shared" si="50"/>
        <v/>
      </c>
      <c r="N179" s="210"/>
      <c r="O179" s="207"/>
      <c r="P179" s="182" t="str">
        <f t="shared" si="35"/>
        <v/>
      </c>
      <c r="Q179" s="183" t="str">
        <f t="shared" si="46"/>
        <v/>
      </c>
      <c r="R179" s="182" t="str">
        <f>IF(M179&lt;&gt;"",IF(#REF!*F179*10=0,"",#REF!*F179*10),"")</f>
        <v/>
      </c>
      <c r="S179" s="184" t="str">
        <f t="shared" si="47"/>
        <v/>
      </c>
      <c r="T179" s="185" t="str">
        <f t="shared" si="36"/>
        <v/>
      </c>
      <c r="U179" s="183" t="str">
        <f t="shared" si="48"/>
        <v/>
      </c>
      <c r="V179" s="186" t="str">
        <f t="shared" si="37"/>
        <v/>
      </c>
      <c r="W179" s="186" t="str">
        <f t="shared" si="38"/>
        <v/>
      </c>
      <c r="X179" s="187" t="str">
        <f t="shared" si="39"/>
        <v/>
      </c>
      <c r="Y179" s="182" t="str">
        <f t="shared" si="49"/>
        <v/>
      </c>
      <c r="Z179" s="209" t="str">
        <f t="shared" si="40"/>
        <v/>
      </c>
      <c r="AA179" s="209" t="str">
        <f t="shared" si="41"/>
        <v/>
      </c>
      <c r="AB179" s="200"/>
      <c r="AC179" s="192"/>
    </row>
    <row r="180" spans="1:29" ht="11.4">
      <c r="A180" s="211" t="str">
        <f t="shared" si="42"/>
        <v/>
      </c>
      <c r="B180" s="211"/>
      <c r="C180" s="215"/>
      <c r="D180" s="213" t="str">
        <f t="shared" si="43"/>
        <v/>
      </c>
      <c r="E180" s="213" t="str">
        <f t="shared" si="51"/>
        <v/>
      </c>
      <c r="F180" s="214" t="str">
        <f t="shared" si="44"/>
        <v/>
      </c>
      <c r="G180" s="180"/>
      <c r="H180" s="181" t="str">
        <f t="shared" si="45"/>
        <v/>
      </c>
      <c r="I180" s="227"/>
      <c r="J180" s="227"/>
      <c r="K180" s="227"/>
      <c r="L180" s="227"/>
      <c r="M180" s="210" t="str">
        <f t="shared" si="50"/>
        <v/>
      </c>
      <c r="N180" s="210"/>
      <c r="O180" s="207"/>
      <c r="P180" s="182" t="str">
        <f t="shared" si="35"/>
        <v/>
      </c>
      <c r="Q180" s="183" t="str">
        <f t="shared" si="46"/>
        <v/>
      </c>
      <c r="R180" s="182" t="str">
        <f>IF(M180&lt;&gt;"",IF(#REF!*F180*10=0,"",#REF!*F180*10),"")</f>
        <v/>
      </c>
      <c r="S180" s="184" t="str">
        <f t="shared" si="47"/>
        <v/>
      </c>
      <c r="T180" s="185" t="str">
        <f t="shared" si="36"/>
        <v/>
      </c>
      <c r="U180" s="183" t="str">
        <f t="shared" si="48"/>
        <v/>
      </c>
      <c r="V180" s="186" t="str">
        <f t="shared" si="37"/>
        <v/>
      </c>
      <c r="W180" s="186" t="str">
        <f t="shared" si="38"/>
        <v/>
      </c>
      <c r="X180" s="187" t="str">
        <f t="shared" si="39"/>
        <v/>
      </c>
      <c r="Y180" s="182" t="str">
        <f t="shared" si="49"/>
        <v/>
      </c>
      <c r="Z180" s="209" t="str">
        <f t="shared" si="40"/>
        <v/>
      </c>
      <c r="AA180" s="209" t="str">
        <f t="shared" si="41"/>
        <v/>
      </c>
      <c r="AB180" s="200"/>
      <c r="AC180" s="192"/>
    </row>
    <row r="181" spans="1:29" ht="11.4">
      <c r="A181" s="211" t="str">
        <f t="shared" si="42"/>
        <v/>
      </c>
      <c r="B181" s="211"/>
      <c r="C181" s="215"/>
      <c r="D181" s="213" t="str">
        <f t="shared" si="43"/>
        <v/>
      </c>
      <c r="E181" s="213" t="str">
        <f t="shared" si="51"/>
        <v/>
      </c>
      <c r="F181" s="214" t="str">
        <f t="shared" si="44"/>
        <v/>
      </c>
      <c r="G181" s="180"/>
      <c r="H181" s="181" t="str">
        <f t="shared" si="45"/>
        <v/>
      </c>
      <c r="I181" s="227"/>
      <c r="J181" s="227"/>
      <c r="K181" s="227"/>
      <c r="L181" s="227"/>
      <c r="M181" s="210" t="str">
        <f t="shared" si="50"/>
        <v/>
      </c>
      <c r="N181" s="210"/>
      <c r="O181" s="207"/>
      <c r="P181" s="182" t="str">
        <f t="shared" si="35"/>
        <v/>
      </c>
      <c r="Q181" s="183" t="str">
        <f t="shared" si="46"/>
        <v/>
      </c>
      <c r="R181" s="182" t="str">
        <f>IF(M181&lt;&gt;"",IF(#REF!*F181*10=0,"",#REF!*F181*10),"")</f>
        <v/>
      </c>
      <c r="S181" s="184" t="str">
        <f t="shared" si="47"/>
        <v/>
      </c>
      <c r="T181" s="185" t="str">
        <f t="shared" si="36"/>
        <v/>
      </c>
      <c r="U181" s="183" t="str">
        <f t="shared" si="48"/>
        <v/>
      </c>
      <c r="V181" s="186" t="str">
        <f t="shared" si="37"/>
        <v/>
      </c>
      <c r="W181" s="186" t="str">
        <f t="shared" si="38"/>
        <v/>
      </c>
      <c r="X181" s="187" t="str">
        <f t="shared" si="39"/>
        <v/>
      </c>
      <c r="Y181" s="182" t="str">
        <f t="shared" si="49"/>
        <v/>
      </c>
      <c r="Z181" s="209" t="str">
        <f t="shared" si="40"/>
        <v/>
      </c>
      <c r="AA181" s="209" t="str">
        <f t="shared" si="41"/>
        <v/>
      </c>
      <c r="AB181" s="200"/>
      <c r="AC181" s="192"/>
    </row>
    <row r="182" spans="1:29" ht="11.4">
      <c r="A182" s="211" t="str">
        <f t="shared" si="42"/>
        <v/>
      </c>
      <c r="B182" s="211"/>
      <c r="C182" s="215"/>
      <c r="D182" s="213" t="str">
        <f t="shared" si="43"/>
        <v/>
      </c>
      <c r="E182" s="213" t="str">
        <f t="shared" si="51"/>
        <v/>
      </c>
      <c r="F182" s="214" t="str">
        <f t="shared" si="44"/>
        <v/>
      </c>
      <c r="G182" s="180"/>
      <c r="H182" s="181" t="str">
        <f t="shared" si="45"/>
        <v/>
      </c>
      <c r="I182" s="227"/>
      <c r="J182" s="227"/>
      <c r="K182" s="227"/>
      <c r="L182" s="227"/>
      <c r="M182" s="210" t="str">
        <f t="shared" si="50"/>
        <v/>
      </c>
      <c r="N182" s="210"/>
      <c r="O182" s="207"/>
      <c r="P182" s="182" t="str">
        <f t="shared" si="35"/>
        <v/>
      </c>
      <c r="Q182" s="183" t="str">
        <f t="shared" si="46"/>
        <v/>
      </c>
      <c r="R182" s="182" t="str">
        <f>IF(M182&lt;&gt;"",IF(#REF!*F182*10=0,"",#REF!*F182*10),"")</f>
        <v/>
      </c>
      <c r="S182" s="184" t="str">
        <f t="shared" si="47"/>
        <v/>
      </c>
      <c r="T182" s="185" t="str">
        <f t="shared" si="36"/>
        <v/>
      </c>
      <c r="U182" s="183" t="str">
        <f t="shared" si="48"/>
        <v/>
      </c>
      <c r="V182" s="186" t="str">
        <f t="shared" si="37"/>
        <v/>
      </c>
      <c r="W182" s="186" t="str">
        <f t="shared" si="38"/>
        <v/>
      </c>
      <c r="X182" s="187" t="str">
        <f t="shared" si="39"/>
        <v/>
      </c>
      <c r="Y182" s="182" t="str">
        <f t="shared" si="49"/>
        <v/>
      </c>
      <c r="Z182" s="209" t="str">
        <f t="shared" si="40"/>
        <v/>
      </c>
      <c r="AA182" s="209" t="str">
        <f t="shared" si="41"/>
        <v/>
      </c>
      <c r="AB182" s="200"/>
      <c r="AC182" s="192"/>
    </row>
    <row r="183" spans="1:29" ht="11.4">
      <c r="A183" s="211" t="str">
        <f t="shared" si="42"/>
        <v/>
      </c>
      <c r="B183" s="211"/>
      <c r="C183" s="215"/>
      <c r="D183" s="213" t="str">
        <f t="shared" si="43"/>
        <v/>
      </c>
      <c r="E183" s="213" t="str">
        <f t="shared" si="51"/>
        <v/>
      </c>
      <c r="F183" s="214" t="str">
        <f t="shared" si="44"/>
        <v/>
      </c>
      <c r="G183" s="180"/>
      <c r="H183" s="181" t="str">
        <f t="shared" si="45"/>
        <v/>
      </c>
      <c r="I183" s="227"/>
      <c r="J183" s="227"/>
      <c r="K183" s="227"/>
      <c r="L183" s="227"/>
      <c r="M183" s="210" t="str">
        <f t="shared" si="50"/>
        <v/>
      </c>
      <c r="N183" s="210"/>
      <c r="O183" s="207"/>
      <c r="P183" s="182" t="str">
        <f t="shared" si="35"/>
        <v/>
      </c>
      <c r="Q183" s="183" t="str">
        <f t="shared" si="46"/>
        <v/>
      </c>
      <c r="R183" s="182" t="str">
        <f>IF(M183&lt;&gt;"",IF(#REF!*F183*10=0,"",#REF!*F183*10),"")</f>
        <v/>
      </c>
      <c r="S183" s="184" t="str">
        <f t="shared" si="47"/>
        <v/>
      </c>
      <c r="T183" s="185" t="str">
        <f t="shared" si="36"/>
        <v/>
      </c>
      <c r="U183" s="183" t="str">
        <f t="shared" si="48"/>
        <v/>
      </c>
      <c r="V183" s="186" t="str">
        <f t="shared" si="37"/>
        <v/>
      </c>
      <c r="W183" s="186" t="str">
        <f t="shared" si="38"/>
        <v/>
      </c>
      <c r="X183" s="187" t="str">
        <f t="shared" si="39"/>
        <v/>
      </c>
      <c r="Y183" s="182" t="str">
        <f t="shared" si="49"/>
        <v/>
      </c>
      <c r="Z183" s="209" t="str">
        <f t="shared" si="40"/>
        <v/>
      </c>
      <c r="AA183" s="209" t="str">
        <f t="shared" si="41"/>
        <v/>
      </c>
      <c r="AB183" s="200"/>
      <c r="AC183" s="192"/>
    </row>
    <row r="184" spans="1:29" ht="11.4">
      <c r="A184" s="211" t="str">
        <f t="shared" si="42"/>
        <v/>
      </c>
      <c r="B184" s="211"/>
      <c r="C184" s="215"/>
      <c r="D184" s="213" t="str">
        <f t="shared" si="43"/>
        <v/>
      </c>
      <c r="E184" s="213" t="str">
        <f t="shared" si="51"/>
        <v/>
      </c>
      <c r="F184" s="214" t="str">
        <f t="shared" si="44"/>
        <v/>
      </c>
      <c r="G184" s="180"/>
      <c r="H184" s="181" t="str">
        <f t="shared" si="45"/>
        <v/>
      </c>
      <c r="I184" s="227"/>
      <c r="J184" s="227"/>
      <c r="K184" s="227"/>
      <c r="L184" s="227"/>
      <c r="M184" s="210" t="str">
        <f t="shared" si="50"/>
        <v/>
      </c>
      <c r="N184" s="210"/>
      <c r="O184" s="207"/>
      <c r="P184" s="182" t="str">
        <f t="shared" si="35"/>
        <v/>
      </c>
      <c r="Q184" s="183" t="str">
        <f t="shared" si="46"/>
        <v/>
      </c>
      <c r="R184" s="182" t="str">
        <f>IF(M184&lt;&gt;"",IF(#REF!*F184*10=0,"",#REF!*F184*10),"")</f>
        <v/>
      </c>
      <c r="S184" s="184" t="str">
        <f t="shared" si="47"/>
        <v/>
      </c>
      <c r="T184" s="185" t="str">
        <f t="shared" si="36"/>
        <v/>
      </c>
      <c r="U184" s="183" t="str">
        <f t="shared" si="48"/>
        <v/>
      </c>
      <c r="V184" s="186" t="str">
        <f t="shared" si="37"/>
        <v/>
      </c>
      <c r="W184" s="186" t="str">
        <f t="shared" si="38"/>
        <v/>
      </c>
      <c r="X184" s="187" t="str">
        <f t="shared" si="39"/>
        <v/>
      </c>
      <c r="Y184" s="182" t="str">
        <f t="shared" si="49"/>
        <v/>
      </c>
      <c r="Z184" s="209" t="str">
        <f t="shared" si="40"/>
        <v/>
      </c>
      <c r="AA184" s="209" t="str">
        <f t="shared" si="41"/>
        <v/>
      </c>
      <c r="AB184" s="200"/>
      <c r="AC184" s="192"/>
    </row>
    <row r="185" spans="1:29" ht="11.4">
      <c r="A185" s="211" t="str">
        <f t="shared" si="42"/>
        <v/>
      </c>
      <c r="B185" s="211"/>
      <c r="C185" s="215"/>
      <c r="D185" s="213" t="str">
        <f t="shared" si="43"/>
        <v/>
      </c>
      <c r="E185" s="213" t="str">
        <f t="shared" si="51"/>
        <v/>
      </c>
      <c r="F185" s="214" t="str">
        <f t="shared" si="44"/>
        <v/>
      </c>
      <c r="G185" s="180"/>
      <c r="H185" s="181" t="str">
        <f t="shared" si="45"/>
        <v/>
      </c>
      <c r="I185" s="227"/>
      <c r="J185" s="227"/>
      <c r="K185" s="227"/>
      <c r="L185" s="227"/>
      <c r="M185" s="210" t="str">
        <f t="shared" si="50"/>
        <v/>
      </c>
      <c r="N185" s="210"/>
      <c r="O185" s="207"/>
      <c r="P185" s="182" t="str">
        <f t="shared" si="35"/>
        <v/>
      </c>
      <c r="Q185" s="183" t="str">
        <f t="shared" si="46"/>
        <v/>
      </c>
      <c r="R185" s="182" t="str">
        <f>IF(M185&lt;&gt;"",IF(#REF!*F185*10=0,"",#REF!*F185*10),"")</f>
        <v/>
      </c>
      <c r="S185" s="184" t="str">
        <f t="shared" si="47"/>
        <v/>
      </c>
      <c r="T185" s="185" t="str">
        <f t="shared" si="36"/>
        <v/>
      </c>
      <c r="U185" s="183" t="str">
        <f t="shared" si="48"/>
        <v/>
      </c>
      <c r="V185" s="186" t="str">
        <f t="shared" si="37"/>
        <v/>
      </c>
      <c r="W185" s="186" t="str">
        <f t="shared" si="38"/>
        <v/>
      </c>
      <c r="X185" s="187" t="str">
        <f t="shared" si="39"/>
        <v/>
      </c>
      <c r="Y185" s="182" t="str">
        <f t="shared" si="49"/>
        <v/>
      </c>
      <c r="Z185" s="209" t="str">
        <f t="shared" si="40"/>
        <v/>
      </c>
      <c r="AA185" s="209" t="str">
        <f t="shared" si="41"/>
        <v/>
      </c>
      <c r="AB185" s="200"/>
      <c r="AC185" s="192"/>
    </row>
    <row r="186" spans="1:29" ht="11.4">
      <c r="A186" s="211" t="str">
        <f t="shared" si="42"/>
        <v/>
      </c>
      <c r="B186" s="211"/>
      <c r="C186" s="215"/>
      <c r="D186" s="213" t="str">
        <f t="shared" si="43"/>
        <v/>
      </c>
      <c r="E186" s="213" t="str">
        <f t="shared" si="51"/>
        <v/>
      </c>
      <c r="F186" s="214" t="str">
        <f t="shared" si="44"/>
        <v/>
      </c>
      <c r="G186" s="180"/>
      <c r="H186" s="181" t="str">
        <f t="shared" si="45"/>
        <v/>
      </c>
      <c r="I186" s="227"/>
      <c r="J186" s="227"/>
      <c r="K186" s="227"/>
      <c r="L186" s="227"/>
      <c r="M186" s="210" t="str">
        <f t="shared" si="50"/>
        <v/>
      </c>
      <c r="N186" s="210"/>
      <c r="O186" s="207"/>
      <c r="P186" s="182" t="str">
        <f t="shared" si="35"/>
        <v/>
      </c>
      <c r="Q186" s="183" t="str">
        <f t="shared" si="46"/>
        <v/>
      </c>
      <c r="R186" s="182" t="str">
        <f>IF(M186&lt;&gt;"",IF(#REF!*F186*10=0,"",#REF!*F186*10),"")</f>
        <v/>
      </c>
      <c r="S186" s="184" t="str">
        <f t="shared" si="47"/>
        <v/>
      </c>
      <c r="T186" s="185" t="str">
        <f t="shared" si="36"/>
        <v/>
      </c>
      <c r="U186" s="183" t="str">
        <f t="shared" si="48"/>
        <v/>
      </c>
      <c r="V186" s="186" t="str">
        <f t="shared" si="37"/>
        <v/>
      </c>
      <c r="W186" s="186" t="str">
        <f t="shared" si="38"/>
        <v/>
      </c>
      <c r="X186" s="187" t="str">
        <f t="shared" si="39"/>
        <v/>
      </c>
      <c r="Y186" s="182" t="str">
        <f t="shared" si="49"/>
        <v/>
      </c>
      <c r="Z186" s="209" t="str">
        <f t="shared" si="40"/>
        <v/>
      </c>
      <c r="AA186" s="209" t="str">
        <f t="shared" si="41"/>
        <v/>
      </c>
      <c r="AB186" s="200"/>
      <c r="AC186" s="192"/>
    </row>
    <row r="187" spans="1:29" ht="11.4">
      <c r="A187" s="211" t="str">
        <f t="shared" si="42"/>
        <v/>
      </c>
      <c r="B187" s="211"/>
      <c r="C187" s="215"/>
      <c r="D187" s="213" t="str">
        <f t="shared" si="43"/>
        <v/>
      </c>
      <c r="E187" s="213" t="str">
        <f t="shared" si="51"/>
        <v/>
      </c>
      <c r="F187" s="214" t="str">
        <f t="shared" si="44"/>
        <v/>
      </c>
      <c r="G187" s="180"/>
      <c r="H187" s="181" t="str">
        <f t="shared" si="45"/>
        <v/>
      </c>
      <c r="I187" s="227"/>
      <c r="J187" s="227"/>
      <c r="K187" s="227"/>
      <c r="L187" s="227"/>
      <c r="M187" s="210" t="str">
        <f t="shared" si="50"/>
        <v/>
      </c>
      <c r="N187" s="210"/>
      <c r="O187" s="207"/>
      <c r="P187" s="182" t="str">
        <f t="shared" si="35"/>
        <v/>
      </c>
      <c r="Q187" s="183" t="str">
        <f t="shared" si="46"/>
        <v/>
      </c>
      <c r="R187" s="182" t="str">
        <f>IF(M187&lt;&gt;"",IF(#REF!*F187*10=0,"",#REF!*F187*10),"")</f>
        <v/>
      </c>
      <c r="S187" s="184" t="str">
        <f t="shared" si="47"/>
        <v/>
      </c>
      <c r="T187" s="185" t="str">
        <f t="shared" si="36"/>
        <v/>
      </c>
      <c r="U187" s="183" t="str">
        <f t="shared" si="48"/>
        <v/>
      </c>
      <c r="V187" s="186" t="str">
        <f t="shared" si="37"/>
        <v/>
      </c>
      <c r="W187" s="186" t="str">
        <f t="shared" si="38"/>
        <v/>
      </c>
      <c r="X187" s="187" t="str">
        <f t="shared" si="39"/>
        <v/>
      </c>
      <c r="Y187" s="182" t="str">
        <f t="shared" si="49"/>
        <v/>
      </c>
      <c r="Z187" s="209" t="str">
        <f t="shared" si="40"/>
        <v/>
      </c>
      <c r="AA187" s="209" t="str">
        <f t="shared" si="41"/>
        <v/>
      </c>
      <c r="AB187" s="200"/>
      <c r="AC187" s="192"/>
    </row>
    <row r="188" spans="1:29" ht="11.4">
      <c r="A188" s="211" t="str">
        <f t="shared" si="42"/>
        <v/>
      </c>
      <c r="B188" s="211"/>
      <c r="C188" s="215"/>
      <c r="D188" s="213" t="str">
        <f t="shared" si="43"/>
        <v/>
      </c>
      <c r="E188" s="213" t="str">
        <f t="shared" si="51"/>
        <v/>
      </c>
      <c r="F188" s="214" t="str">
        <f t="shared" si="44"/>
        <v/>
      </c>
      <c r="G188" s="180"/>
      <c r="H188" s="181" t="str">
        <f t="shared" si="45"/>
        <v/>
      </c>
      <c r="I188" s="227"/>
      <c r="J188" s="227"/>
      <c r="K188" s="227"/>
      <c r="L188" s="227"/>
      <c r="M188" s="210" t="str">
        <f t="shared" si="50"/>
        <v/>
      </c>
      <c r="N188" s="210"/>
      <c r="O188" s="207"/>
      <c r="P188" s="182" t="str">
        <f t="shared" si="35"/>
        <v/>
      </c>
      <c r="Q188" s="183" t="str">
        <f t="shared" si="46"/>
        <v/>
      </c>
      <c r="R188" s="182" t="str">
        <f>IF(M188&lt;&gt;"",IF(#REF!*F188*10=0,"",#REF!*F188*10),"")</f>
        <v/>
      </c>
      <c r="S188" s="184" t="str">
        <f t="shared" si="47"/>
        <v/>
      </c>
      <c r="T188" s="185" t="str">
        <f t="shared" si="36"/>
        <v/>
      </c>
      <c r="U188" s="183" t="str">
        <f t="shared" si="48"/>
        <v/>
      </c>
      <c r="V188" s="186" t="str">
        <f t="shared" si="37"/>
        <v/>
      </c>
      <c r="W188" s="186" t="str">
        <f t="shared" si="38"/>
        <v/>
      </c>
      <c r="X188" s="187" t="str">
        <f t="shared" si="39"/>
        <v/>
      </c>
      <c r="Y188" s="182" t="str">
        <f t="shared" si="49"/>
        <v/>
      </c>
      <c r="Z188" s="209" t="str">
        <f t="shared" si="40"/>
        <v/>
      </c>
      <c r="AA188" s="209" t="str">
        <f t="shared" si="41"/>
        <v/>
      </c>
      <c r="AB188" s="200"/>
      <c r="AC188" s="192"/>
    </row>
    <row r="189" spans="1:29" ht="11.4">
      <c r="A189" s="211" t="str">
        <f t="shared" si="42"/>
        <v/>
      </c>
      <c r="B189" s="211"/>
      <c r="C189" s="215"/>
      <c r="D189" s="213" t="str">
        <f t="shared" si="43"/>
        <v/>
      </c>
      <c r="E189" s="213" t="str">
        <f t="shared" si="51"/>
        <v/>
      </c>
      <c r="F189" s="214" t="str">
        <f t="shared" si="44"/>
        <v/>
      </c>
      <c r="G189" s="180"/>
      <c r="H189" s="181" t="str">
        <f t="shared" si="45"/>
        <v/>
      </c>
      <c r="I189" s="227"/>
      <c r="J189" s="227"/>
      <c r="K189" s="227"/>
      <c r="L189" s="227"/>
      <c r="M189" s="210" t="str">
        <f t="shared" si="50"/>
        <v/>
      </c>
      <c r="N189" s="210"/>
      <c r="O189" s="207"/>
      <c r="P189" s="182" t="str">
        <f t="shared" si="35"/>
        <v/>
      </c>
      <c r="Q189" s="183" t="str">
        <f t="shared" si="46"/>
        <v/>
      </c>
      <c r="R189" s="182" t="str">
        <f>IF(M189&lt;&gt;"",IF(#REF!*F189*10=0,"",#REF!*F189*10),"")</f>
        <v/>
      </c>
      <c r="S189" s="184" t="str">
        <f t="shared" si="47"/>
        <v/>
      </c>
      <c r="T189" s="185" t="str">
        <f t="shared" si="36"/>
        <v/>
      </c>
      <c r="U189" s="183" t="str">
        <f t="shared" si="48"/>
        <v/>
      </c>
      <c r="V189" s="186" t="str">
        <f t="shared" si="37"/>
        <v/>
      </c>
      <c r="W189" s="186" t="str">
        <f t="shared" si="38"/>
        <v/>
      </c>
      <c r="X189" s="187" t="str">
        <f t="shared" si="39"/>
        <v/>
      </c>
      <c r="Y189" s="182" t="str">
        <f t="shared" si="49"/>
        <v/>
      </c>
      <c r="Z189" s="209" t="str">
        <f t="shared" si="40"/>
        <v/>
      </c>
      <c r="AA189" s="209" t="str">
        <f t="shared" si="41"/>
        <v/>
      </c>
      <c r="AB189" s="200"/>
      <c r="AC189" s="192"/>
    </row>
    <row r="190" spans="1:29" ht="11.4">
      <c r="A190" s="211" t="str">
        <f t="shared" si="42"/>
        <v/>
      </c>
      <c r="B190" s="211"/>
      <c r="C190" s="215"/>
      <c r="D190" s="213" t="str">
        <f t="shared" si="43"/>
        <v/>
      </c>
      <c r="E190" s="213" t="str">
        <f t="shared" si="51"/>
        <v/>
      </c>
      <c r="F190" s="214" t="str">
        <f t="shared" si="44"/>
        <v/>
      </c>
      <c r="G190" s="180"/>
      <c r="H190" s="181" t="str">
        <f t="shared" si="45"/>
        <v/>
      </c>
      <c r="I190" s="227"/>
      <c r="J190" s="227"/>
      <c r="K190" s="227"/>
      <c r="L190" s="227"/>
      <c r="M190" s="210" t="str">
        <f t="shared" si="50"/>
        <v/>
      </c>
      <c r="N190" s="210"/>
      <c r="O190" s="207"/>
      <c r="P190" s="182" t="str">
        <f t="shared" si="35"/>
        <v/>
      </c>
      <c r="Q190" s="183" t="str">
        <f t="shared" si="46"/>
        <v/>
      </c>
      <c r="R190" s="182" t="str">
        <f>IF(M190&lt;&gt;"",IF(#REF!*F190*10=0,"",#REF!*F190*10),"")</f>
        <v/>
      </c>
      <c r="S190" s="184" t="str">
        <f t="shared" si="47"/>
        <v/>
      </c>
      <c r="T190" s="185" t="str">
        <f t="shared" si="36"/>
        <v/>
      </c>
      <c r="U190" s="183" t="str">
        <f t="shared" si="48"/>
        <v/>
      </c>
      <c r="V190" s="186" t="str">
        <f t="shared" si="37"/>
        <v/>
      </c>
      <c r="W190" s="186" t="str">
        <f t="shared" si="38"/>
        <v/>
      </c>
      <c r="X190" s="187" t="str">
        <f t="shared" si="39"/>
        <v/>
      </c>
      <c r="Y190" s="182" t="str">
        <f t="shared" si="49"/>
        <v/>
      </c>
      <c r="Z190" s="209" t="str">
        <f t="shared" si="40"/>
        <v/>
      </c>
      <c r="AA190" s="209" t="str">
        <f t="shared" si="41"/>
        <v/>
      </c>
      <c r="AB190" s="200"/>
      <c r="AC190" s="192"/>
    </row>
    <row r="191" spans="1:29" ht="11.4">
      <c r="A191" s="211" t="str">
        <f t="shared" si="42"/>
        <v/>
      </c>
      <c r="B191" s="211"/>
      <c r="C191" s="215"/>
      <c r="D191" s="213" t="str">
        <f t="shared" si="43"/>
        <v/>
      </c>
      <c r="E191" s="213" t="str">
        <f t="shared" si="51"/>
        <v/>
      </c>
      <c r="F191" s="214" t="str">
        <f t="shared" si="44"/>
        <v/>
      </c>
      <c r="G191" s="180"/>
      <c r="H191" s="181" t="str">
        <f t="shared" si="45"/>
        <v/>
      </c>
      <c r="I191" s="227"/>
      <c r="J191" s="227"/>
      <c r="K191" s="227"/>
      <c r="L191" s="227"/>
      <c r="M191" s="210" t="str">
        <f t="shared" si="50"/>
        <v/>
      </c>
      <c r="N191" s="210"/>
      <c r="O191" s="207"/>
      <c r="P191" s="182" t="str">
        <f t="shared" si="35"/>
        <v/>
      </c>
      <c r="Q191" s="183" t="str">
        <f t="shared" si="46"/>
        <v/>
      </c>
      <c r="R191" s="182" t="str">
        <f>IF(M191&lt;&gt;"",IF(#REF!*F191*10=0,"",#REF!*F191*10),"")</f>
        <v/>
      </c>
      <c r="S191" s="184" t="str">
        <f t="shared" si="47"/>
        <v/>
      </c>
      <c r="T191" s="185" t="str">
        <f t="shared" si="36"/>
        <v/>
      </c>
      <c r="U191" s="183" t="str">
        <f t="shared" si="48"/>
        <v/>
      </c>
      <c r="V191" s="186" t="str">
        <f t="shared" si="37"/>
        <v/>
      </c>
      <c r="W191" s="186" t="str">
        <f t="shared" si="38"/>
        <v/>
      </c>
      <c r="X191" s="187" t="str">
        <f t="shared" si="39"/>
        <v/>
      </c>
      <c r="Y191" s="182" t="str">
        <f t="shared" si="49"/>
        <v/>
      </c>
      <c r="Z191" s="209" t="str">
        <f t="shared" si="40"/>
        <v/>
      </c>
      <c r="AA191" s="209" t="str">
        <f t="shared" si="41"/>
        <v/>
      </c>
      <c r="AB191" s="200"/>
      <c r="AC191" s="192"/>
    </row>
    <row r="192" spans="1:29" ht="11.4">
      <c r="A192" s="211" t="str">
        <f t="shared" si="42"/>
        <v/>
      </c>
      <c r="B192" s="211"/>
      <c r="C192" s="215"/>
      <c r="D192" s="213" t="str">
        <f t="shared" si="43"/>
        <v/>
      </c>
      <c r="E192" s="213" t="str">
        <f t="shared" si="51"/>
        <v/>
      </c>
      <c r="F192" s="214" t="str">
        <f t="shared" si="44"/>
        <v/>
      </c>
      <c r="G192" s="180"/>
      <c r="H192" s="181" t="str">
        <f t="shared" si="45"/>
        <v/>
      </c>
      <c r="I192" s="227"/>
      <c r="J192" s="227"/>
      <c r="K192" s="227"/>
      <c r="L192" s="227"/>
      <c r="M192" s="210" t="str">
        <f t="shared" si="50"/>
        <v/>
      </c>
      <c r="N192" s="210"/>
      <c r="O192" s="207"/>
      <c r="P192" s="182" t="str">
        <f t="shared" si="35"/>
        <v/>
      </c>
      <c r="Q192" s="183" t="str">
        <f t="shared" si="46"/>
        <v/>
      </c>
      <c r="R192" s="182" t="str">
        <f>IF(M192&lt;&gt;"",IF(#REF!*F192*10=0,"",#REF!*F192*10),"")</f>
        <v/>
      </c>
      <c r="S192" s="184" t="str">
        <f t="shared" si="47"/>
        <v/>
      </c>
      <c r="T192" s="185" t="str">
        <f t="shared" si="36"/>
        <v/>
      </c>
      <c r="U192" s="183" t="str">
        <f t="shared" si="48"/>
        <v/>
      </c>
      <c r="V192" s="186" t="str">
        <f t="shared" si="37"/>
        <v/>
      </c>
      <c r="W192" s="186" t="str">
        <f t="shared" si="38"/>
        <v/>
      </c>
      <c r="X192" s="187" t="str">
        <f t="shared" si="39"/>
        <v/>
      </c>
      <c r="Y192" s="182" t="str">
        <f t="shared" si="49"/>
        <v/>
      </c>
      <c r="Z192" s="209" t="str">
        <f t="shared" si="40"/>
        <v/>
      </c>
      <c r="AA192" s="209" t="str">
        <f t="shared" si="41"/>
        <v/>
      </c>
      <c r="AB192" s="200"/>
      <c r="AC192" s="192"/>
    </row>
    <row r="193" spans="1:29" ht="11.4">
      <c r="A193" s="211" t="str">
        <f t="shared" si="42"/>
        <v/>
      </c>
      <c r="B193" s="211"/>
      <c r="C193" s="215"/>
      <c r="D193" s="213" t="str">
        <f t="shared" si="43"/>
        <v/>
      </c>
      <c r="E193" s="213" t="str">
        <f t="shared" si="51"/>
        <v/>
      </c>
      <c r="F193" s="214" t="str">
        <f t="shared" si="44"/>
        <v/>
      </c>
      <c r="G193" s="180"/>
      <c r="H193" s="181" t="str">
        <f t="shared" si="45"/>
        <v/>
      </c>
      <c r="I193" s="227"/>
      <c r="J193" s="227"/>
      <c r="K193" s="227"/>
      <c r="L193" s="227"/>
      <c r="M193" s="210" t="str">
        <f t="shared" si="50"/>
        <v/>
      </c>
      <c r="N193" s="210"/>
      <c r="O193" s="207"/>
      <c r="P193" s="182" t="str">
        <f t="shared" si="35"/>
        <v/>
      </c>
      <c r="Q193" s="183" t="str">
        <f t="shared" si="46"/>
        <v/>
      </c>
      <c r="R193" s="182" t="str">
        <f>IF(M193&lt;&gt;"",IF(#REF!*F193*10=0,"",#REF!*F193*10),"")</f>
        <v/>
      </c>
      <c r="S193" s="184" t="str">
        <f t="shared" si="47"/>
        <v/>
      </c>
      <c r="T193" s="185" t="str">
        <f t="shared" si="36"/>
        <v/>
      </c>
      <c r="U193" s="183" t="str">
        <f t="shared" si="48"/>
        <v/>
      </c>
      <c r="V193" s="186" t="str">
        <f t="shared" si="37"/>
        <v/>
      </c>
      <c r="W193" s="186" t="str">
        <f t="shared" si="38"/>
        <v/>
      </c>
      <c r="X193" s="187" t="str">
        <f t="shared" si="39"/>
        <v/>
      </c>
      <c r="Y193" s="182" t="str">
        <f t="shared" si="49"/>
        <v/>
      </c>
      <c r="Z193" s="209" t="str">
        <f t="shared" si="40"/>
        <v/>
      </c>
      <c r="AA193" s="209" t="str">
        <f t="shared" si="41"/>
        <v/>
      </c>
      <c r="AB193" s="200"/>
      <c r="AC193" s="192"/>
    </row>
    <row r="194" spans="1:29" ht="11.4">
      <c r="A194" s="211" t="str">
        <f t="shared" si="42"/>
        <v/>
      </c>
      <c r="B194" s="211"/>
      <c r="C194" s="215"/>
      <c r="D194" s="213" t="str">
        <f t="shared" si="43"/>
        <v/>
      </c>
      <c r="E194" s="213" t="str">
        <f t="shared" si="51"/>
        <v/>
      </c>
      <c r="F194" s="214" t="str">
        <f t="shared" si="44"/>
        <v/>
      </c>
      <c r="G194" s="180"/>
      <c r="H194" s="181" t="str">
        <f t="shared" si="45"/>
        <v/>
      </c>
      <c r="I194" s="227"/>
      <c r="J194" s="227"/>
      <c r="K194" s="227"/>
      <c r="L194" s="227"/>
      <c r="M194" s="210" t="str">
        <f t="shared" si="50"/>
        <v/>
      </c>
      <c r="N194" s="210"/>
      <c r="O194" s="207"/>
      <c r="P194" s="182" t="str">
        <f t="shared" si="35"/>
        <v/>
      </c>
      <c r="Q194" s="183" t="str">
        <f t="shared" si="46"/>
        <v/>
      </c>
      <c r="R194" s="182" t="str">
        <f>IF(M194&lt;&gt;"",IF(#REF!*F194*10=0,"",#REF!*F194*10),"")</f>
        <v/>
      </c>
      <c r="S194" s="184" t="str">
        <f t="shared" si="47"/>
        <v/>
      </c>
      <c r="T194" s="185" t="str">
        <f t="shared" si="36"/>
        <v/>
      </c>
      <c r="U194" s="183" t="str">
        <f t="shared" si="48"/>
        <v/>
      </c>
      <c r="V194" s="186" t="str">
        <f t="shared" si="37"/>
        <v/>
      </c>
      <c r="W194" s="186" t="str">
        <f t="shared" si="38"/>
        <v/>
      </c>
      <c r="X194" s="187" t="str">
        <f t="shared" si="39"/>
        <v/>
      </c>
      <c r="Y194" s="182" t="str">
        <f t="shared" si="49"/>
        <v/>
      </c>
      <c r="Z194" s="209" t="str">
        <f t="shared" si="40"/>
        <v/>
      </c>
      <c r="AA194" s="209" t="str">
        <f t="shared" si="41"/>
        <v/>
      </c>
      <c r="AB194" s="200"/>
      <c r="AC194" s="192"/>
    </row>
    <row r="195" spans="1:29" ht="11.4">
      <c r="A195" s="211" t="str">
        <f t="shared" si="42"/>
        <v/>
      </c>
      <c r="B195" s="211"/>
      <c r="C195" s="215"/>
      <c r="D195" s="213" t="str">
        <f t="shared" si="43"/>
        <v/>
      </c>
      <c r="E195" s="213" t="str">
        <f t="shared" si="51"/>
        <v/>
      </c>
      <c r="F195" s="214" t="str">
        <f t="shared" si="44"/>
        <v/>
      </c>
      <c r="G195" s="180"/>
      <c r="H195" s="181" t="str">
        <f t="shared" si="45"/>
        <v/>
      </c>
      <c r="I195" s="227"/>
      <c r="J195" s="227"/>
      <c r="K195" s="227"/>
      <c r="L195" s="227"/>
      <c r="M195" s="210" t="str">
        <f t="shared" si="50"/>
        <v/>
      </c>
      <c r="N195" s="210"/>
      <c r="O195" s="207"/>
      <c r="P195" s="182" t="str">
        <f t="shared" si="35"/>
        <v/>
      </c>
      <c r="Q195" s="183" t="str">
        <f t="shared" si="46"/>
        <v/>
      </c>
      <c r="R195" s="182" t="str">
        <f>IF(M195&lt;&gt;"",IF(#REF!*F195*10=0,"",#REF!*F195*10),"")</f>
        <v/>
      </c>
      <c r="S195" s="184" t="str">
        <f t="shared" si="47"/>
        <v/>
      </c>
      <c r="T195" s="185" t="str">
        <f t="shared" si="36"/>
        <v/>
      </c>
      <c r="U195" s="183" t="str">
        <f t="shared" si="48"/>
        <v/>
      </c>
      <c r="V195" s="186" t="str">
        <f t="shared" si="37"/>
        <v/>
      </c>
      <c r="W195" s="186" t="str">
        <f t="shared" si="38"/>
        <v/>
      </c>
      <c r="X195" s="187" t="str">
        <f t="shared" si="39"/>
        <v/>
      </c>
      <c r="Y195" s="182" t="str">
        <f t="shared" si="49"/>
        <v/>
      </c>
      <c r="Z195" s="209" t="str">
        <f t="shared" si="40"/>
        <v/>
      </c>
      <c r="AA195" s="209" t="str">
        <f t="shared" si="41"/>
        <v/>
      </c>
      <c r="AB195" s="200"/>
      <c r="AC195" s="192"/>
    </row>
    <row r="196" spans="1:29" ht="11.4">
      <c r="A196" s="211" t="str">
        <f t="shared" si="42"/>
        <v/>
      </c>
      <c r="B196" s="211"/>
      <c r="C196" s="215"/>
      <c r="D196" s="213" t="str">
        <f t="shared" si="43"/>
        <v/>
      </c>
      <c r="E196" s="213" t="str">
        <f t="shared" si="51"/>
        <v/>
      </c>
      <c r="F196" s="214" t="str">
        <f t="shared" si="44"/>
        <v/>
      </c>
      <c r="G196" s="180"/>
      <c r="H196" s="181" t="str">
        <f t="shared" si="45"/>
        <v/>
      </c>
      <c r="I196" s="227"/>
      <c r="J196" s="227"/>
      <c r="K196" s="227"/>
      <c r="L196" s="227"/>
      <c r="M196" s="210" t="str">
        <f t="shared" si="50"/>
        <v/>
      </c>
      <c r="N196" s="210"/>
      <c r="O196" s="207"/>
      <c r="P196" s="182" t="str">
        <f t="shared" si="35"/>
        <v/>
      </c>
      <c r="Q196" s="183" t="str">
        <f t="shared" si="46"/>
        <v/>
      </c>
      <c r="R196" s="182" t="str">
        <f>IF(M196&lt;&gt;"",IF(#REF!*F196*10=0,"",#REF!*F196*10),"")</f>
        <v/>
      </c>
      <c r="S196" s="184" t="str">
        <f t="shared" si="47"/>
        <v/>
      </c>
      <c r="T196" s="185" t="str">
        <f t="shared" si="36"/>
        <v/>
      </c>
      <c r="U196" s="183" t="str">
        <f t="shared" si="48"/>
        <v/>
      </c>
      <c r="V196" s="186" t="str">
        <f t="shared" si="37"/>
        <v/>
      </c>
      <c r="W196" s="186" t="str">
        <f t="shared" si="38"/>
        <v/>
      </c>
      <c r="X196" s="187" t="str">
        <f t="shared" si="39"/>
        <v/>
      </c>
      <c r="Y196" s="182" t="str">
        <f t="shared" si="49"/>
        <v/>
      </c>
      <c r="Z196" s="209" t="str">
        <f t="shared" si="40"/>
        <v/>
      </c>
      <c r="AA196" s="209" t="str">
        <f t="shared" si="41"/>
        <v/>
      </c>
      <c r="AB196" s="200"/>
      <c r="AC196" s="192"/>
    </row>
    <row r="197" spans="1:29" ht="11.4">
      <c r="A197" s="211" t="str">
        <f t="shared" si="42"/>
        <v/>
      </c>
      <c r="B197" s="211"/>
      <c r="C197" s="215"/>
      <c r="D197" s="213" t="str">
        <f t="shared" si="43"/>
        <v/>
      </c>
      <c r="E197" s="213" t="str">
        <f t="shared" si="51"/>
        <v/>
      </c>
      <c r="F197" s="214" t="str">
        <f t="shared" si="44"/>
        <v/>
      </c>
      <c r="G197" s="180"/>
      <c r="H197" s="181" t="str">
        <f t="shared" si="45"/>
        <v/>
      </c>
      <c r="I197" s="227"/>
      <c r="J197" s="227"/>
      <c r="K197" s="227"/>
      <c r="L197" s="227"/>
      <c r="M197" s="210" t="str">
        <f t="shared" si="50"/>
        <v/>
      </c>
      <c r="N197" s="210"/>
      <c r="O197" s="207"/>
      <c r="P197" s="182" t="str">
        <f t="shared" si="35"/>
        <v/>
      </c>
      <c r="Q197" s="183" t="str">
        <f t="shared" si="46"/>
        <v/>
      </c>
      <c r="R197" s="182" t="str">
        <f>IF(M197&lt;&gt;"",IF(#REF!*F197*10=0,"",#REF!*F197*10),"")</f>
        <v/>
      </c>
      <c r="S197" s="184" t="str">
        <f t="shared" si="47"/>
        <v/>
      </c>
      <c r="T197" s="185" t="str">
        <f t="shared" si="36"/>
        <v/>
      </c>
      <c r="U197" s="183" t="str">
        <f t="shared" si="48"/>
        <v/>
      </c>
      <c r="V197" s="186" t="str">
        <f t="shared" si="37"/>
        <v/>
      </c>
      <c r="W197" s="186" t="str">
        <f t="shared" si="38"/>
        <v/>
      </c>
      <c r="X197" s="187" t="str">
        <f t="shared" si="39"/>
        <v/>
      </c>
      <c r="Y197" s="182" t="str">
        <f t="shared" si="49"/>
        <v/>
      </c>
      <c r="Z197" s="209" t="str">
        <f t="shared" si="40"/>
        <v/>
      </c>
      <c r="AA197" s="209" t="str">
        <f t="shared" si="41"/>
        <v/>
      </c>
      <c r="AB197" s="200"/>
      <c r="AC197" s="192"/>
    </row>
    <row r="198" spans="1:29" ht="11.4">
      <c r="A198" s="211" t="str">
        <f t="shared" si="42"/>
        <v/>
      </c>
      <c r="B198" s="211"/>
      <c r="C198" s="215"/>
      <c r="D198" s="213" t="str">
        <f t="shared" si="43"/>
        <v/>
      </c>
      <c r="E198" s="213" t="str">
        <f t="shared" si="51"/>
        <v/>
      </c>
      <c r="F198" s="214" t="str">
        <f t="shared" si="44"/>
        <v/>
      </c>
      <c r="G198" s="180"/>
      <c r="H198" s="181" t="str">
        <f t="shared" si="45"/>
        <v/>
      </c>
      <c r="I198" s="227"/>
      <c r="J198" s="227"/>
      <c r="K198" s="227"/>
      <c r="L198" s="227"/>
      <c r="M198" s="210" t="str">
        <f t="shared" si="50"/>
        <v/>
      </c>
      <c r="N198" s="210"/>
      <c r="O198" s="207"/>
      <c r="P198" s="182" t="str">
        <f t="shared" si="35"/>
        <v/>
      </c>
      <c r="Q198" s="183" t="str">
        <f t="shared" si="46"/>
        <v/>
      </c>
      <c r="R198" s="182" t="str">
        <f>IF(M198&lt;&gt;"",IF(#REF!*F198*10=0,"",#REF!*F198*10),"")</f>
        <v/>
      </c>
      <c r="S198" s="184" t="str">
        <f t="shared" si="47"/>
        <v/>
      </c>
      <c r="T198" s="185" t="str">
        <f t="shared" si="36"/>
        <v/>
      </c>
      <c r="U198" s="183" t="str">
        <f t="shared" si="48"/>
        <v/>
      </c>
      <c r="V198" s="186" t="str">
        <f t="shared" si="37"/>
        <v/>
      </c>
      <c r="W198" s="186" t="str">
        <f t="shared" si="38"/>
        <v/>
      </c>
      <c r="X198" s="187" t="str">
        <f t="shared" si="39"/>
        <v/>
      </c>
      <c r="Y198" s="182" t="str">
        <f t="shared" si="49"/>
        <v/>
      </c>
      <c r="Z198" s="209" t="str">
        <f t="shared" si="40"/>
        <v/>
      </c>
      <c r="AA198" s="209" t="str">
        <f t="shared" si="41"/>
        <v/>
      </c>
      <c r="AB198" s="200"/>
      <c r="AC198" s="192"/>
    </row>
    <row r="199" spans="1:29" ht="11.4">
      <c r="A199" s="211" t="str">
        <f t="shared" si="42"/>
        <v/>
      </c>
      <c r="B199" s="211"/>
      <c r="C199" s="215"/>
      <c r="D199" s="213" t="str">
        <f t="shared" si="43"/>
        <v/>
      </c>
      <c r="E199" s="213" t="str">
        <f t="shared" si="51"/>
        <v/>
      </c>
      <c r="F199" s="214" t="str">
        <f t="shared" si="44"/>
        <v/>
      </c>
      <c r="G199" s="180"/>
      <c r="H199" s="181" t="str">
        <f t="shared" si="45"/>
        <v/>
      </c>
      <c r="I199" s="227"/>
      <c r="J199" s="227"/>
      <c r="K199" s="227"/>
      <c r="L199" s="227"/>
      <c r="M199" s="210" t="str">
        <f t="shared" si="50"/>
        <v/>
      </c>
      <c r="N199" s="210"/>
      <c r="O199" s="207"/>
      <c r="P199" s="182" t="str">
        <f t="shared" si="35"/>
        <v/>
      </c>
      <c r="Q199" s="183" t="str">
        <f t="shared" si="46"/>
        <v/>
      </c>
      <c r="R199" s="182" t="str">
        <f>IF(M199&lt;&gt;"",IF(#REF!*F199*10=0,"",#REF!*F199*10),"")</f>
        <v/>
      </c>
      <c r="S199" s="184" t="str">
        <f t="shared" si="47"/>
        <v/>
      </c>
      <c r="T199" s="185" t="str">
        <f t="shared" si="36"/>
        <v/>
      </c>
      <c r="U199" s="183" t="str">
        <f t="shared" si="48"/>
        <v/>
      </c>
      <c r="V199" s="186" t="str">
        <f t="shared" si="37"/>
        <v/>
      </c>
      <c r="W199" s="186" t="str">
        <f t="shared" si="38"/>
        <v/>
      </c>
      <c r="X199" s="187" t="str">
        <f t="shared" si="39"/>
        <v/>
      </c>
      <c r="Y199" s="182" t="str">
        <f t="shared" si="49"/>
        <v/>
      </c>
      <c r="Z199" s="209" t="str">
        <f t="shared" si="40"/>
        <v/>
      </c>
      <c r="AA199" s="209" t="str">
        <f t="shared" si="41"/>
        <v/>
      </c>
      <c r="AB199" s="200"/>
      <c r="AC199" s="192"/>
    </row>
    <row r="200" spans="1:29" ht="11.4">
      <c r="A200" s="211" t="str">
        <f t="shared" si="42"/>
        <v/>
      </c>
      <c r="B200" s="211"/>
      <c r="C200" s="215"/>
      <c r="D200" s="213" t="str">
        <f t="shared" si="43"/>
        <v/>
      </c>
      <c r="E200" s="213" t="str">
        <f t="shared" si="51"/>
        <v/>
      </c>
      <c r="F200" s="214" t="str">
        <f t="shared" si="44"/>
        <v/>
      </c>
      <c r="G200" s="180"/>
      <c r="H200" s="181" t="str">
        <f t="shared" si="45"/>
        <v/>
      </c>
      <c r="I200" s="227"/>
      <c r="J200" s="227"/>
      <c r="K200" s="227"/>
      <c r="L200" s="227"/>
      <c r="M200" s="210" t="str">
        <f t="shared" si="50"/>
        <v/>
      </c>
      <c r="N200" s="210"/>
      <c r="O200" s="207"/>
      <c r="P200" s="182" t="str">
        <f t="shared" si="35"/>
        <v/>
      </c>
      <c r="Q200" s="183" t="str">
        <f t="shared" si="46"/>
        <v/>
      </c>
      <c r="R200" s="182" t="str">
        <f>IF(M200&lt;&gt;"",IF(#REF!*F200*10=0,"",#REF!*F200*10),"")</f>
        <v/>
      </c>
      <c r="S200" s="184" t="str">
        <f t="shared" si="47"/>
        <v/>
      </c>
      <c r="T200" s="185" t="str">
        <f t="shared" si="36"/>
        <v/>
      </c>
      <c r="U200" s="183" t="str">
        <f t="shared" si="48"/>
        <v/>
      </c>
      <c r="V200" s="186" t="str">
        <f t="shared" si="37"/>
        <v/>
      </c>
      <c r="W200" s="186" t="str">
        <f t="shared" si="38"/>
        <v/>
      </c>
      <c r="X200" s="187" t="str">
        <f t="shared" si="39"/>
        <v/>
      </c>
      <c r="Y200" s="182" t="str">
        <f t="shared" si="49"/>
        <v/>
      </c>
      <c r="Z200" s="209" t="str">
        <f t="shared" si="40"/>
        <v/>
      </c>
      <c r="AA200" s="209" t="str">
        <f t="shared" si="41"/>
        <v/>
      </c>
      <c r="AB200" s="200"/>
      <c r="AC200" s="192"/>
    </row>
    <row r="201" spans="1:29" ht="11.4">
      <c r="A201" s="211" t="str">
        <f t="shared" si="42"/>
        <v/>
      </c>
      <c r="B201" s="211"/>
      <c r="C201" s="215"/>
      <c r="D201" s="213" t="str">
        <f t="shared" si="43"/>
        <v/>
      </c>
      <c r="E201" s="213" t="str">
        <f t="shared" si="51"/>
        <v/>
      </c>
      <c r="F201" s="214" t="str">
        <f t="shared" si="44"/>
        <v/>
      </c>
      <c r="G201" s="180"/>
      <c r="H201" s="181" t="str">
        <f t="shared" si="45"/>
        <v/>
      </c>
      <c r="I201" s="227"/>
      <c r="J201" s="227"/>
      <c r="K201" s="227"/>
      <c r="L201" s="227"/>
      <c r="M201" s="210" t="str">
        <f t="shared" si="50"/>
        <v/>
      </c>
      <c r="N201" s="210"/>
      <c r="O201" s="207"/>
      <c r="P201" s="182" t="str">
        <f t="shared" si="35"/>
        <v/>
      </c>
      <c r="Q201" s="183" t="str">
        <f t="shared" si="46"/>
        <v/>
      </c>
      <c r="R201" s="182" t="str">
        <f>IF(M201&lt;&gt;"",IF(#REF!*F201*10=0,"",#REF!*F201*10),"")</f>
        <v/>
      </c>
      <c r="S201" s="184" t="str">
        <f t="shared" si="47"/>
        <v/>
      </c>
      <c r="T201" s="185" t="str">
        <f t="shared" si="36"/>
        <v/>
      </c>
      <c r="U201" s="183" t="str">
        <f t="shared" si="48"/>
        <v/>
      </c>
      <c r="V201" s="186" t="str">
        <f t="shared" si="37"/>
        <v/>
      </c>
      <c r="W201" s="186" t="str">
        <f t="shared" si="38"/>
        <v/>
      </c>
      <c r="X201" s="187" t="str">
        <f t="shared" si="39"/>
        <v/>
      </c>
      <c r="Y201" s="182" t="str">
        <f t="shared" si="49"/>
        <v/>
      </c>
      <c r="Z201" s="209" t="str">
        <f t="shared" si="40"/>
        <v/>
      </c>
      <c r="AA201" s="209" t="str">
        <f t="shared" si="41"/>
        <v/>
      </c>
      <c r="AB201" s="200"/>
      <c r="AC201" s="192"/>
    </row>
    <row r="202" spans="1:29" ht="11.4">
      <c r="A202" s="211" t="str">
        <f t="shared" si="42"/>
        <v/>
      </c>
      <c r="B202" s="211"/>
      <c r="C202" s="215"/>
      <c r="D202" s="213" t="str">
        <f t="shared" si="43"/>
        <v/>
      </c>
      <c r="E202" s="213" t="str">
        <f t="shared" si="51"/>
        <v/>
      </c>
      <c r="F202" s="214" t="str">
        <f t="shared" si="44"/>
        <v/>
      </c>
      <c r="G202" s="180"/>
      <c r="H202" s="181" t="str">
        <f t="shared" si="45"/>
        <v/>
      </c>
      <c r="I202" s="227"/>
      <c r="J202" s="227"/>
      <c r="K202" s="227"/>
      <c r="L202" s="227"/>
      <c r="M202" s="210" t="str">
        <f t="shared" si="50"/>
        <v/>
      </c>
      <c r="N202" s="210"/>
      <c r="O202" s="207"/>
      <c r="P202" s="182" t="str">
        <f t="shared" si="35"/>
        <v/>
      </c>
      <c r="Q202" s="183" t="str">
        <f t="shared" si="46"/>
        <v/>
      </c>
      <c r="R202" s="182" t="str">
        <f>IF(M202&lt;&gt;"",IF(#REF!*F202*10=0,"",#REF!*F202*10),"")</f>
        <v/>
      </c>
      <c r="S202" s="184" t="str">
        <f t="shared" si="47"/>
        <v/>
      </c>
      <c r="T202" s="185" t="str">
        <f t="shared" si="36"/>
        <v/>
      </c>
      <c r="U202" s="183" t="str">
        <f t="shared" si="48"/>
        <v/>
      </c>
      <c r="V202" s="186" t="str">
        <f t="shared" si="37"/>
        <v/>
      </c>
      <c r="W202" s="186" t="str">
        <f t="shared" si="38"/>
        <v/>
      </c>
      <c r="X202" s="187" t="str">
        <f t="shared" si="39"/>
        <v/>
      </c>
      <c r="Y202" s="182" t="str">
        <f t="shared" si="49"/>
        <v/>
      </c>
      <c r="Z202" s="209" t="str">
        <f t="shared" si="40"/>
        <v/>
      </c>
      <c r="AA202" s="209" t="str">
        <f t="shared" si="41"/>
        <v/>
      </c>
      <c r="AB202" s="200"/>
      <c r="AC202" s="192"/>
    </row>
    <row r="203" spans="1:29" ht="11.4">
      <c r="A203" s="211" t="str">
        <f t="shared" si="42"/>
        <v/>
      </c>
      <c r="B203" s="211"/>
      <c r="C203" s="215"/>
      <c r="D203" s="213" t="str">
        <f t="shared" si="43"/>
        <v/>
      </c>
      <c r="E203" s="213" t="str">
        <f t="shared" si="51"/>
        <v/>
      </c>
      <c r="F203" s="214" t="str">
        <f t="shared" si="44"/>
        <v/>
      </c>
      <c r="G203" s="180"/>
      <c r="H203" s="181" t="str">
        <f t="shared" si="45"/>
        <v/>
      </c>
      <c r="I203" s="227"/>
      <c r="J203" s="227"/>
      <c r="K203" s="227"/>
      <c r="L203" s="227"/>
      <c r="M203" s="210" t="str">
        <f t="shared" si="50"/>
        <v/>
      </c>
      <c r="N203" s="210"/>
      <c r="O203" s="207"/>
      <c r="P203" s="182" t="str">
        <f t="shared" si="35"/>
        <v/>
      </c>
      <c r="Q203" s="183" t="str">
        <f t="shared" si="46"/>
        <v/>
      </c>
      <c r="R203" s="182" t="str">
        <f>IF(M203&lt;&gt;"",IF(#REF!*F203*10=0,"",#REF!*F203*10),"")</f>
        <v/>
      </c>
      <c r="S203" s="184" t="str">
        <f t="shared" si="47"/>
        <v/>
      </c>
      <c r="T203" s="185" t="str">
        <f t="shared" si="36"/>
        <v/>
      </c>
      <c r="U203" s="183" t="str">
        <f t="shared" si="48"/>
        <v/>
      </c>
      <c r="V203" s="186" t="str">
        <f t="shared" si="37"/>
        <v/>
      </c>
      <c r="W203" s="186" t="str">
        <f t="shared" si="38"/>
        <v/>
      </c>
      <c r="X203" s="187" t="str">
        <f t="shared" si="39"/>
        <v/>
      </c>
      <c r="Y203" s="182" t="str">
        <f t="shared" si="49"/>
        <v/>
      </c>
      <c r="Z203" s="209" t="str">
        <f t="shared" si="40"/>
        <v/>
      </c>
      <c r="AA203" s="209" t="str">
        <f t="shared" si="41"/>
        <v/>
      </c>
      <c r="AB203" s="200"/>
      <c r="AC203" s="192"/>
    </row>
    <row r="204" spans="1:29" ht="11.4">
      <c r="A204" s="211" t="str">
        <f t="shared" si="42"/>
        <v/>
      </c>
      <c r="B204" s="211"/>
      <c r="C204" s="215"/>
      <c r="D204" s="213" t="str">
        <f t="shared" si="43"/>
        <v/>
      </c>
      <c r="E204" s="213" t="str">
        <f t="shared" si="51"/>
        <v/>
      </c>
      <c r="F204" s="214" t="str">
        <f t="shared" si="44"/>
        <v/>
      </c>
      <c r="G204" s="180"/>
      <c r="H204" s="181" t="str">
        <f t="shared" si="45"/>
        <v/>
      </c>
      <c r="I204" s="227"/>
      <c r="J204" s="227"/>
      <c r="K204" s="227"/>
      <c r="L204" s="227"/>
      <c r="M204" s="210" t="str">
        <f t="shared" si="50"/>
        <v/>
      </c>
      <c r="N204" s="210"/>
      <c r="O204" s="207"/>
      <c r="P204" s="182" t="str">
        <f t="shared" ref="P204:P267" si="52">IF(M204="","",IF(L204*F204*$D$3=0,0,L204*F204*$D$3))</f>
        <v/>
      </c>
      <c r="Q204" s="183" t="str">
        <f t="shared" si="46"/>
        <v/>
      </c>
      <c r="R204" s="182" t="str">
        <f>IF(M204&lt;&gt;"",IF(#REF!*F204*10=0,"",#REF!*F204*10),"")</f>
        <v/>
      </c>
      <c r="S204" s="184" t="str">
        <f t="shared" si="47"/>
        <v/>
      </c>
      <c r="T204" s="185" t="str">
        <f t="shared" ref="T204:T267" si="53">IF(X204="","",X204*F204*$D$3)</f>
        <v/>
      </c>
      <c r="U204" s="183" t="str">
        <f t="shared" si="48"/>
        <v/>
      </c>
      <c r="V204" s="186" t="str">
        <f t="shared" ref="V204:V267" si="54">IF(M204="","",IF(AND(M204&gt;I204,H204="L"),1, IF(AND(I204&gt;M204,H204="S"),1,0)))</f>
        <v/>
      </c>
      <c r="W204" s="186" t="str">
        <f t="shared" ref="W204:W267" si="55">IF(M204="","",IF(AND(M204&lt;I204,H204="L"),1, IF(AND(I204&lt;M204,H204="S"),1,0)))</f>
        <v/>
      </c>
      <c r="X204" s="187" t="str">
        <f t="shared" ref="X204:X267" si="56">IF((M204=""),"",IF(H204="Buy",1,-1)*(M204-I204)*IF(LEN(RIGHT(I204,LEN(I204)-FIND(".",I204)))&gt;3,10000,100))</f>
        <v/>
      </c>
      <c r="Y204" s="182" t="str">
        <f t="shared" si="49"/>
        <v/>
      </c>
      <c r="Z204" s="209" t="str">
        <f t="shared" ref="Z204:Z267" si="57">IF(C204="","",MONTH(LEFT(C204,8)))</f>
        <v/>
      </c>
      <c r="AA204" s="209" t="str">
        <f t="shared" ref="AA204:AA267" si="58">IF(C204="","",YEAR(LEFT(C204,8)))</f>
        <v/>
      </c>
      <c r="AB204" s="200"/>
      <c r="AC204" s="192"/>
    </row>
    <row r="205" spans="1:29" ht="11.4">
      <c r="A205" s="211" t="str">
        <f t="shared" ref="A205:A268" si="59">IF(D205="","",1)</f>
        <v/>
      </c>
      <c r="B205" s="211"/>
      <c r="C205" s="215"/>
      <c r="D205" s="213" t="str">
        <f t="shared" ref="D205:D268" si="60">IF(G205="","","SUGAR")</f>
        <v/>
      </c>
      <c r="E205" s="213" t="str">
        <f t="shared" si="51"/>
        <v/>
      </c>
      <c r="F205" s="214" t="str">
        <f t="shared" ref="F205:F268" si="61">IF(G205="","",0.01)</f>
        <v/>
      </c>
      <c r="G205" s="180"/>
      <c r="H205" s="181" t="str">
        <f t="shared" ref="H205:H268" si="62">IF(G205="","",IF(OR(G205="第二类买点",G205="第三类买点"),"Buy","Sell"))</f>
        <v/>
      </c>
      <c r="I205" s="227"/>
      <c r="J205" s="227"/>
      <c r="K205" s="227"/>
      <c r="L205" s="227"/>
      <c r="M205" s="210" t="str">
        <f t="shared" si="50"/>
        <v/>
      </c>
      <c r="N205" s="210"/>
      <c r="O205" s="207"/>
      <c r="P205" s="182" t="str">
        <f t="shared" si="52"/>
        <v/>
      </c>
      <c r="Q205" s="183" t="str">
        <f t="shared" ref="Q205:Q268" si="63">IF(P205="","",IF(P205=0,0,P205/$I$4))</f>
        <v/>
      </c>
      <c r="R205" s="182" t="str">
        <f>IF(M205&lt;&gt;"",IF(#REF!*F205*10=0,"",#REF!*F205*10),"")</f>
        <v/>
      </c>
      <c r="S205" s="184" t="str">
        <f t="shared" ref="S205:S268" si="64">IF(P205="","",IF(P205=0,0,R205/P205))</f>
        <v/>
      </c>
      <c r="T205" s="185" t="str">
        <f t="shared" si="53"/>
        <v/>
      </c>
      <c r="U205" s="183" t="str">
        <f t="shared" ref="U205:U268" si="65">IF(T205="","",IF($I$4="","",T205/$I$4))</f>
        <v/>
      </c>
      <c r="V205" s="186" t="str">
        <f t="shared" si="54"/>
        <v/>
      </c>
      <c r="W205" s="186" t="str">
        <f t="shared" si="55"/>
        <v/>
      </c>
      <c r="X205" s="187" t="str">
        <f t="shared" si="56"/>
        <v/>
      </c>
      <c r="Y205" s="182" t="str">
        <f t="shared" si="49"/>
        <v/>
      </c>
      <c r="Z205" s="209" t="str">
        <f t="shared" si="57"/>
        <v/>
      </c>
      <c r="AA205" s="209" t="str">
        <f t="shared" si="58"/>
        <v/>
      </c>
      <c r="AB205" s="200"/>
      <c r="AC205" s="192"/>
    </row>
    <row r="206" spans="1:29" ht="11.4">
      <c r="A206" s="211" t="str">
        <f t="shared" si="59"/>
        <v/>
      </c>
      <c r="B206" s="211"/>
      <c r="C206" s="215"/>
      <c r="D206" s="213" t="str">
        <f t="shared" si="60"/>
        <v/>
      </c>
      <c r="E206" s="213" t="str">
        <f t="shared" si="51"/>
        <v/>
      </c>
      <c r="F206" s="214" t="str">
        <f t="shared" si="61"/>
        <v/>
      </c>
      <c r="G206" s="180"/>
      <c r="H206" s="181" t="str">
        <f t="shared" si="62"/>
        <v/>
      </c>
      <c r="I206" s="227"/>
      <c r="J206" s="227"/>
      <c r="K206" s="227"/>
      <c r="L206" s="227"/>
      <c r="M206" s="210" t="str">
        <f t="shared" si="50"/>
        <v/>
      </c>
      <c r="N206" s="210"/>
      <c r="O206" s="207"/>
      <c r="P206" s="182" t="str">
        <f t="shared" si="52"/>
        <v/>
      </c>
      <c r="Q206" s="183" t="str">
        <f t="shared" si="63"/>
        <v/>
      </c>
      <c r="R206" s="182" t="str">
        <f>IF(M206&lt;&gt;"",IF(#REF!*F206*10=0,"",#REF!*F206*10),"")</f>
        <v/>
      </c>
      <c r="S206" s="184" t="str">
        <f t="shared" si="64"/>
        <v/>
      </c>
      <c r="T206" s="185" t="str">
        <f t="shared" si="53"/>
        <v/>
      </c>
      <c r="U206" s="183" t="str">
        <f t="shared" si="65"/>
        <v/>
      </c>
      <c r="V206" s="186" t="str">
        <f t="shared" si="54"/>
        <v/>
      </c>
      <c r="W206" s="186" t="str">
        <f t="shared" si="55"/>
        <v/>
      </c>
      <c r="X206" s="187" t="str">
        <f t="shared" si="56"/>
        <v/>
      </c>
      <c r="Y206" s="182" t="str">
        <f t="shared" ref="Y206:Y269" si="66">IF(Y205="","",IF(T206="","",Y205+T206))</f>
        <v/>
      </c>
      <c r="Z206" s="209" t="str">
        <f t="shared" si="57"/>
        <v/>
      </c>
      <c r="AA206" s="209" t="str">
        <f t="shared" si="58"/>
        <v/>
      </c>
      <c r="AB206" s="200"/>
      <c r="AC206" s="192"/>
    </row>
    <row r="207" spans="1:29" ht="11.4">
      <c r="A207" s="211" t="str">
        <f t="shared" si="59"/>
        <v/>
      </c>
      <c r="B207" s="211"/>
      <c r="C207" s="215"/>
      <c r="D207" s="213" t="str">
        <f t="shared" si="60"/>
        <v/>
      </c>
      <c r="E207" s="213" t="str">
        <f t="shared" si="51"/>
        <v/>
      </c>
      <c r="F207" s="214" t="str">
        <f t="shared" si="61"/>
        <v/>
      </c>
      <c r="G207" s="180"/>
      <c r="H207" s="181" t="str">
        <f t="shared" si="62"/>
        <v/>
      </c>
      <c r="I207" s="227"/>
      <c r="J207" s="227"/>
      <c r="K207" s="227"/>
      <c r="L207" s="227"/>
      <c r="M207" s="210" t="str">
        <f t="shared" ref="M207:M270" si="67">IF(J207="","",J207)</f>
        <v/>
      </c>
      <c r="N207" s="210"/>
      <c r="O207" s="207"/>
      <c r="P207" s="182" t="str">
        <f t="shared" si="52"/>
        <v/>
      </c>
      <c r="Q207" s="183" t="str">
        <f t="shared" si="63"/>
        <v/>
      </c>
      <c r="R207" s="182" t="str">
        <f>IF(M207&lt;&gt;"",IF(#REF!*F207*10=0,"",#REF!*F207*10),"")</f>
        <v/>
      </c>
      <c r="S207" s="184" t="str">
        <f t="shared" si="64"/>
        <v/>
      </c>
      <c r="T207" s="185" t="str">
        <f t="shared" si="53"/>
        <v/>
      </c>
      <c r="U207" s="183" t="str">
        <f t="shared" si="65"/>
        <v/>
      </c>
      <c r="V207" s="186" t="str">
        <f t="shared" si="54"/>
        <v/>
      </c>
      <c r="W207" s="186" t="str">
        <f t="shared" si="55"/>
        <v/>
      </c>
      <c r="X207" s="187" t="str">
        <f t="shared" si="56"/>
        <v/>
      </c>
      <c r="Y207" s="182" t="str">
        <f t="shared" si="66"/>
        <v/>
      </c>
      <c r="Z207" s="209" t="str">
        <f t="shared" si="57"/>
        <v/>
      </c>
      <c r="AA207" s="209" t="str">
        <f t="shared" si="58"/>
        <v/>
      </c>
      <c r="AB207" s="200"/>
      <c r="AC207" s="192"/>
    </row>
    <row r="208" spans="1:29" ht="11.4">
      <c r="A208" s="211" t="str">
        <f t="shared" si="59"/>
        <v/>
      </c>
      <c r="B208" s="211"/>
      <c r="C208" s="215"/>
      <c r="D208" s="213" t="str">
        <f t="shared" si="60"/>
        <v/>
      </c>
      <c r="E208" s="213" t="str">
        <f t="shared" ref="E208:E271" si="68">IF(G208="","","M30")</f>
        <v/>
      </c>
      <c r="F208" s="214" t="str">
        <f t="shared" si="61"/>
        <v/>
      </c>
      <c r="G208" s="180"/>
      <c r="H208" s="181" t="str">
        <f t="shared" si="62"/>
        <v/>
      </c>
      <c r="I208" s="227"/>
      <c r="J208" s="227"/>
      <c r="K208" s="227"/>
      <c r="L208" s="227"/>
      <c r="M208" s="210" t="str">
        <f t="shared" si="67"/>
        <v/>
      </c>
      <c r="N208" s="210"/>
      <c r="O208" s="207"/>
      <c r="P208" s="182" t="str">
        <f t="shared" si="52"/>
        <v/>
      </c>
      <c r="Q208" s="183" t="str">
        <f t="shared" si="63"/>
        <v/>
      </c>
      <c r="R208" s="182" t="str">
        <f>IF(M208&lt;&gt;"",IF(#REF!*F208*10=0,"",#REF!*F208*10),"")</f>
        <v/>
      </c>
      <c r="S208" s="184" t="str">
        <f t="shared" si="64"/>
        <v/>
      </c>
      <c r="T208" s="185" t="str">
        <f t="shared" si="53"/>
        <v/>
      </c>
      <c r="U208" s="183" t="str">
        <f t="shared" si="65"/>
        <v/>
      </c>
      <c r="V208" s="186" t="str">
        <f t="shared" si="54"/>
        <v/>
      </c>
      <c r="W208" s="186" t="str">
        <f t="shared" si="55"/>
        <v/>
      </c>
      <c r="X208" s="187" t="str">
        <f t="shared" si="56"/>
        <v/>
      </c>
      <c r="Y208" s="182" t="str">
        <f t="shared" si="66"/>
        <v/>
      </c>
      <c r="Z208" s="209" t="str">
        <f t="shared" si="57"/>
        <v/>
      </c>
      <c r="AA208" s="209" t="str">
        <f t="shared" si="58"/>
        <v/>
      </c>
      <c r="AB208" s="200"/>
      <c r="AC208" s="192"/>
    </row>
    <row r="209" spans="1:29" ht="11.4">
      <c r="A209" s="211" t="str">
        <f t="shared" si="59"/>
        <v/>
      </c>
      <c r="B209" s="211"/>
      <c r="C209" s="215"/>
      <c r="D209" s="213" t="str">
        <f t="shared" si="60"/>
        <v/>
      </c>
      <c r="E209" s="213" t="str">
        <f t="shared" si="68"/>
        <v/>
      </c>
      <c r="F209" s="214" t="str">
        <f t="shared" si="61"/>
        <v/>
      </c>
      <c r="G209" s="180"/>
      <c r="H209" s="181" t="str">
        <f t="shared" si="62"/>
        <v/>
      </c>
      <c r="I209" s="227"/>
      <c r="J209" s="227"/>
      <c r="K209" s="227"/>
      <c r="L209" s="227"/>
      <c r="M209" s="210" t="str">
        <f t="shared" si="67"/>
        <v/>
      </c>
      <c r="N209" s="210"/>
      <c r="O209" s="207"/>
      <c r="P209" s="182" t="str">
        <f t="shared" si="52"/>
        <v/>
      </c>
      <c r="Q209" s="183" t="str">
        <f t="shared" si="63"/>
        <v/>
      </c>
      <c r="R209" s="182" t="str">
        <f>IF(M209&lt;&gt;"",IF(#REF!*F209*10=0,"",#REF!*F209*10),"")</f>
        <v/>
      </c>
      <c r="S209" s="184" t="str">
        <f t="shared" si="64"/>
        <v/>
      </c>
      <c r="T209" s="185" t="str">
        <f t="shared" si="53"/>
        <v/>
      </c>
      <c r="U209" s="183" t="str">
        <f t="shared" si="65"/>
        <v/>
      </c>
      <c r="V209" s="186" t="str">
        <f t="shared" si="54"/>
        <v/>
      </c>
      <c r="W209" s="186" t="str">
        <f t="shared" si="55"/>
        <v/>
      </c>
      <c r="X209" s="187" t="str">
        <f t="shared" si="56"/>
        <v/>
      </c>
      <c r="Y209" s="182" t="str">
        <f t="shared" si="66"/>
        <v/>
      </c>
      <c r="Z209" s="209" t="str">
        <f t="shared" si="57"/>
        <v/>
      </c>
      <c r="AA209" s="209" t="str">
        <f t="shared" si="58"/>
        <v/>
      </c>
      <c r="AB209" s="200"/>
      <c r="AC209" s="192"/>
    </row>
    <row r="210" spans="1:29" ht="11.4">
      <c r="A210" s="211" t="str">
        <f t="shared" si="59"/>
        <v/>
      </c>
      <c r="B210" s="211"/>
      <c r="C210" s="215"/>
      <c r="D210" s="213" t="str">
        <f t="shared" si="60"/>
        <v/>
      </c>
      <c r="E210" s="213" t="str">
        <f t="shared" si="68"/>
        <v/>
      </c>
      <c r="F210" s="214" t="str">
        <f t="shared" si="61"/>
        <v/>
      </c>
      <c r="G210" s="180"/>
      <c r="H210" s="181" t="str">
        <f t="shared" si="62"/>
        <v/>
      </c>
      <c r="I210" s="227"/>
      <c r="J210" s="227"/>
      <c r="K210" s="227"/>
      <c r="L210" s="227"/>
      <c r="M210" s="210" t="str">
        <f t="shared" si="67"/>
        <v/>
      </c>
      <c r="N210" s="210"/>
      <c r="O210" s="207"/>
      <c r="P210" s="182" t="str">
        <f t="shared" si="52"/>
        <v/>
      </c>
      <c r="Q210" s="183" t="str">
        <f t="shared" si="63"/>
        <v/>
      </c>
      <c r="R210" s="182" t="str">
        <f>IF(M210&lt;&gt;"",IF(#REF!*F210*10=0,"",#REF!*F210*10),"")</f>
        <v/>
      </c>
      <c r="S210" s="184" t="str">
        <f t="shared" si="64"/>
        <v/>
      </c>
      <c r="T210" s="185" t="str">
        <f t="shared" si="53"/>
        <v/>
      </c>
      <c r="U210" s="183" t="str">
        <f t="shared" si="65"/>
        <v/>
      </c>
      <c r="V210" s="186" t="str">
        <f t="shared" si="54"/>
        <v/>
      </c>
      <c r="W210" s="186" t="str">
        <f t="shared" si="55"/>
        <v/>
      </c>
      <c r="X210" s="187" t="str">
        <f t="shared" si="56"/>
        <v/>
      </c>
      <c r="Y210" s="182" t="str">
        <f t="shared" si="66"/>
        <v/>
      </c>
      <c r="Z210" s="209" t="str">
        <f t="shared" si="57"/>
        <v/>
      </c>
      <c r="AA210" s="209" t="str">
        <f t="shared" si="58"/>
        <v/>
      </c>
      <c r="AB210" s="200"/>
      <c r="AC210" s="192"/>
    </row>
    <row r="211" spans="1:29" ht="11.4">
      <c r="A211" s="211" t="str">
        <f t="shared" si="59"/>
        <v/>
      </c>
      <c r="B211" s="211"/>
      <c r="C211" s="215"/>
      <c r="D211" s="213" t="str">
        <f t="shared" si="60"/>
        <v/>
      </c>
      <c r="E211" s="213" t="str">
        <f t="shared" si="68"/>
        <v/>
      </c>
      <c r="F211" s="214" t="str">
        <f t="shared" si="61"/>
        <v/>
      </c>
      <c r="G211" s="180"/>
      <c r="H211" s="181" t="str">
        <f t="shared" si="62"/>
        <v/>
      </c>
      <c r="I211" s="227"/>
      <c r="J211" s="227"/>
      <c r="K211" s="227"/>
      <c r="L211" s="227"/>
      <c r="M211" s="210" t="str">
        <f t="shared" si="67"/>
        <v/>
      </c>
      <c r="N211" s="210"/>
      <c r="O211" s="207"/>
      <c r="P211" s="182" t="str">
        <f t="shared" si="52"/>
        <v/>
      </c>
      <c r="Q211" s="183" t="str">
        <f t="shared" si="63"/>
        <v/>
      </c>
      <c r="R211" s="182" t="str">
        <f>IF(M211&lt;&gt;"",IF(#REF!*F211*10=0,"",#REF!*F211*10),"")</f>
        <v/>
      </c>
      <c r="S211" s="184" t="str">
        <f t="shared" si="64"/>
        <v/>
      </c>
      <c r="T211" s="185" t="str">
        <f t="shared" si="53"/>
        <v/>
      </c>
      <c r="U211" s="183" t="str">
        <f t="shared" si="65"/>
        <v/>
      </c>
      <c r="V211" s="186" t="str">
        <f t="shared" si="54"/>
        <v/>
      </c>
      <c r="W211" s="186" t="str">
        <f t="shared" si="55"/>
        <v/>
      </c>
      <c r="X211" s="187" t="str">
        <f t="shared" si="56"/>
        <v/>
      </c>
      <c r="Y211" s="182" t="str">
        <f t="shared" si="66"/>
        <v/>
      </c>
      <c r="Z211" s="209" t="str">
        <f t="shared" si="57"/>
        <v/>
      </c>
      <c r="AA211" s="209" t="str">
        <f t="shared" si="58"/>
        <v/>
      </c>
      <c r="AB211" s="200"/>
      <c r="AC211" s="192"/>
    </row>
    <row r="212" spans="1:29" ht="11.4">
      <c r="A212" s="211" t="str">
        <f t="shared" si="59"/>
        <v/>
      </c>
      <c r="B212" s="211"/>
      <c r="C212" s="215"/>
      <c r="D212" s="213" t="str">
        <f t="shared" si="60"/>
        <v/>
      </c>
      <c r="E212" s="213" t="str">
        <f t="shared" si="68"/>
        <v/>
      </c>
      <c r="F212" s="214" t="str">
        <f t="shared" si="61"/>
        <v/>
      </c>
      <c r="G212" s="180"/>
      <c r="H212" s="181" t="str">
        <f t="shared" si="62"/>
        <v/>
      </c>
      <c r="I212" s="227"/>
      <c r="J212" s="227"/>
      <c r="K212" s="227"/>
      <c r="L212" s="227"/>
      <c r="M212" s="210" t="str">
        <f t="shared" si="67"/>
        <v/>
      </c>
      <c r="N212" s="210"/>
      <c r="O212" s="207"/>
      <c r="P212" s="182" t="str">
        <f t="shared" si="52"/>
        <v/>
      </c>
      <c r="Q212" s="183" t="str">
        <f t="shared" si="63"/>
        <v/>
      </c>
      <c r="R212" s="182" t="str">
        <f>IF(M212&lt;&gt;"",IF(#REF!*F212*10=0,"",#REF!*F212*10),"")</f>
        <v/>
      </c>
      <c r="S212" s="184" t="str">
        <f t="shared" si="64"/>
        <v/>
      </c>
      <c r="T212" s="185" t="str">
        <f t="shared" si="53"/>
        <v/>
      </c>
      <c r="U212" s="183" t="str">
        <f t="shared" si="65"/>
        <v/>
      </c>
      <c r="V212" s="186" t="str">
        <f t="shared" si="54"/>
        <v/>
      </c>
      <c r="W212" s="186" t="str">
        <f t="shared" si="55"/>
        <v/>
      </c>
      <c r="X212" s="187" t="str">
        <f t="shared" si="56"/>
        <v/>
      </c>
      <c r="Y212" s="182" t="str">
        <f t="shared" si="66"/>
        <v/>
      </c>
      <c r="Z212" s="209" t="str">
        <f t="shared" si="57"/>
        <v/>
      </c>
      <c r="AA212" s="209" t="str">
        <f t="shared" si="58"/>
        <v/>
      </c>
      <c r="AB212" s="200"/>
      <c r="AC212" s="192"/>
    </row>
    <row r="213" spans="1:29" ht="11.4">
      <c r="A213" s="211" t="str">
        <f t="shared" si="59"/>
        <v/>
      </c>
      <c r="B213" s="211"/>
      <c r="C213" s="215"/>
      <c r="D213" s="213" t="str">
        <f t="shared" si="60"/>
        <v/>
      </c>
      <c r="E213" s="213" t="str">
        <f t="shared" si="68"/>
        <v/>
      </c>
      <c r="F213" s="214" t="str">
        <f t="shared" si="61"/>
        <v/>
      </c>
      <c r="G213" s="180"/>
      <c r="H213" s="181" t="str">
        <f t="shared" si="62"/>
        <v/>
      </c>
      <c r="I213" s="227"/>
      <c r="J213" s="227"/>
      <c r="K213" s="227"/>
      <c r="L213" s="227"/>
      <c r="M213" s="210" t="str">
        <f t="shared" si="67"/>
        <v/>
      </c>
      <c r="N213" s="210"/>
      <c r="O213" s="207"/>
      <c r="P213" s="182" t="str">
        <f t="shared" si="52"/>
        <v/>
      </c>
      <c r="Q213" s="183" t="str">
        <f t="shared" si="63"/>
        <v/>
      </c>
      <c r="R213" s="182" t="str">
        <f>IF(M213&lt;&gt;"",IF(#REF!*F213*10=0,"",#REF!*F213*10),"")</f>
        <v/>
      </c>
      <c r="S213" s="184" t="str">
        <f t="shared" si="64"/>
        <v/>
      </c>
      <c r="T213" s="185" t="str">
        <f t="shared" si="53"/>
        <v/>
      </c>
      <c r="U213" s="183" t="str">
        <f t="shared" si="65"/>
        <v/>
      </c>
      <c r="V213" s="186" t="str">
        <f t="shared" si="54"/>
        <v/>
      </c>
      <c r="W213" s="186" t="str">
        <f t="shared" si="55"/>
        <v/>
      </c>
      <c r="X213" s="187" t="str">
        <f t="shared" si="56"/>
        <v/>
      </c>
      <c r="Y213" s="182" t="str">
        <f t="shared" si="66"/>
        <v/>
      </c>
      <c r="Z213" s="209" t="str">
        <f t="shared" si="57"/>
        <v/>
      </c>
      <c r="AA213" s="209" t="str">
        <f t="shared" si="58"/>
        <v/>
      </c>
      <c r="AB213" s="200"/>
      <c r="AC213" s="192"/>
    </row>
    <row r="214" spans="1:29" ht="11.4">
      <c r="A214" s="211" t="str">
        <f t="shared" si="59"/>
        <v/>
      </c>
      <c r="B214" s="211"/>
      <c r="C214" s="215"/>
      <c r="D214" s="213" t="str">
        <f t="shared" si="60"/>
        <v/>
      </c>
      <c r="E214" s="213" t="str">
        <f t="shared" si="68"/>
        <v/>
      </c>
      <c r="F214" s="214" t="str">
        <f t="shared" si="61"/>
        <v/>
      </c>
      <c r="G214" s="180"/>
      <c r="H214" s="181" t="str">
        <f t="shared" si="62"/>
        <v/>
      </c>
      <c r="I214" s="227"/>
      <c r="J214" s="227"/>
      <c r="K214" s="227"/>
      <c r="L214" s="227"/>
      <c r="M214" s="210" t="str">
        <f t="shared" si="67"/>
        <v/>
      </c>
      <c r="N214" s="210"/>
      <c r="O214" s="207"/>
      <c r="P214" s="182" t="str">
        <f t="shared" si="52"/>
        <v/>
      </c>
      <c r="Q214" s="183" t="str">
        <f t="shared" si="63"/>
        <v/>
      </c>
      <c r="R214" s="182" t="str">
        <f>IF(M214&lt;&gt;"",IF(#REF!*F214*10=0,"",#REF!*F214*10),"")</f>
        <v/>
      </c>
      <c r="S214" s="184" t="str">
        <f t="shared" si="64"/>
        <v/>
      </c>
      <c r="T214" s="185" t="str">
        <f t="shared" si="53"/>
        <v/>
      </c>
      <c r="U214" s="183" t="str">
        <f t="shared" si="65"/>
        <v/>
      </c>
      <c r="V214" s="186" t="str">
        <f t="shared" si="54"/>
        <v/>
      </c>
      <c r="W214" s="186" t="str">
        <f t="shared" si="55"/>
        <v/>
      </c>
      <c r="X214" s="187" t="str">
        <f t="shared" si="56"/>
        <v/>
      </c>
      <c r="Y214" s="182" t="str">
        <f t="shared" si="66"/>
        <v/>
      </c>
      <c r="Z214" s="209" t="str">
        <f t="shared" si="57"/>
        <v/>
      </c>
      <c r="AA214" s="209" t="str">
        <f t="shared" si="58"/>
        <v/>
      </c>
      <c r="AB214" s="200"/>
      <c r="AC214" s="192"/>
    </row>
    <row r="215" spans="1:29" ht="11.4">
      <c r="A215" s="211" t="str">
        <f t="shared" si="59"/>
        <v/>
      </c>
      <c r="B215" s="211"/>
      <c r="C215" s="215"/>
      <c r="D215" s="213" t="str">
        <f t="shared" si="60"/>
        <v/>
      </c>
      <c r="E215" s="213" t="str">
        <f t="shared" si="68"/>
        <v/>
      </c>
      <c r="F215" s="214" t="str">
        <f t="shared" si="61"/>
        <v/>
      </c>
      <c r="G215" s="180"/>
      <c r="H215" s="181" t="str">
        <f t="shared" si="62"/>
        <v/>
      </c>
      <c r="I215" s="227"/>
      <c r="J215" s="227"/>
      <c r="K215" s="227"/>
      <c r="L215" s="227"/>
      <c r="M215" s="210" t="str">
        <f t="shared" si="67"/>
        <v/>
      </c>
      <c r="N215" s="210"/>
      <c r="O215" s="207"/>
      <c r="P215" s="182" t="str">
        <f t="shared" si="52"/>
        <v/>
      </c>
      <c r="Q215" s="183" t="str">
        <f t="shared" si="63"/>
        <v/>
      </c>
      <c r="R215" s="182" t="str">
        <f>IF(M215&lt;&gt;"",IF(#REF!*F215*10=0,"",#REF!*F215*10),"")</f>
        <v/>
      </c>
      <c r="S215" s="184" t="str">
        <f t="shared" si="64"/>
        <v/>
      </c>
      <c r="T215" s="185" t="str">
        <f t="shared" si="53"/>
        <v/>
      </c>
      <c r="U215" s="183" t="str">
        <f t="shared" si="65"/>
        <v/>
      </c>
      <c r="V215" s="186" t="str">
        <f t="shared" si="54"/>
        <v/>
      </c>
      <c r="W215" s="186" t="str">
        <f t="shared" si="55"/>
        <v/>
      </c>
      <c r="X215" s="187" t="str">
        <f t="shared" si="56"/>
        <v/>
      </c>
      <c r="Y215" s="182" t="str">
        <f t="shared" si="66"/>
        <v/>
      </c>
      <c r="Z215" s="209" t="str">
        <f t="shared" si="57"/>
        <v/>
      </c>
      <c r="AA215" s="209" t="str">
        <f t="shared" si="58"/>
        <v/>
      </c>
      <c r="AB215" s="200"/>
      <c r="AC215" s="192"/>
    </row>
    <row r="216" spans="1:29" ht="11.4">
      <c r="A216" s="211" t="str">
        <f t="shared" si="59"/>
        <v/>
      </c>
      <c r="B216" s="211"/>
      <c r="C216" s="215"/>
      <c r="D216" s="213" t="str">
        <f t="shared" si="60"/>
        <v/>
      </c>
      <c r="E216" s="213" t="str">
        <f t="shared" si="68"/>
        <v/>
      </c>
      <c r="F216" s="214" t="str">
        <f t="shared" si="61"/>
        <v/>
      </c>
      <c r="G216" s="180"/>
      <c r="H216" s="181" t="str">
        <f t="shared" si="62"/>
        <v/>
      </c>
      <c r="I216" s="227"/>
      <c r="J216" s="227"/>
      <c r="K216" s="227"/>
      <c r="L216" s="227"/>
      <c r="M216" s="210" t="str">
        <f t="shared" si="67"/>
        <v/>
      </c>
      <c r="N216" s="210"/>
      <c r="O216" s="207"/>
      <c r="P216" s="182" t="str">
        <f t="shared" si="52"/>
        <v/>
      </c>
      <c r="Q216" s="183" t="str">
        <f t="shared" si="63"/>
        <v/>
      </c>
      <c r="R216" s="182" t="str">
        <f>IF(M216&lt;&gt;"",IF(#REF!*F216*10=0,"",#REF!*F216*10),"")</f>
        <v/>
      </c>
      <c r="S216" s="184" t="str">
        <f t="shared" si="64"/>
        <v/>
      </c>
      <c r="T216" s="185" t="str">
        <f t="shared" si="53"/>
        <v/>
      </c>
      <c r="U216" s="183" t="str">
        <f t="shared" si="65"/>
        <v/>
      </c>
      <c r="V216" s="186" t="str">
        <f t="shared" si="54"/>
        <v/>
      </c>
      <c r="W216" s="186" t="str">
        <f t="shared" si="55"/>
        <v/>
      </c>
      <c r="X216" s="187" t="str">
        <f t="shared" si="56"/>
        <v/>
      </c>
      <c r="Y216" s="182" t="str">
        <f t="shared" si="66"/>
        <v/>
      </c>
      <c r="Z216" s="209" t="str">
        <f t="shared" si="57"/>
        <v/>
      </c>
      <c r="AA216" s="209" t="str">
        <f t="shared" si="58"/>
        <v/>
      </c>
      <c r="AB216" s="200"/>
      <c r="AC216" s="192"/>
    </row>
    <row r="217" spans="1:29" ht="11.4">
      <c r="A217" s="211" t="str">
        <f t="shared" si="59"/>
        <v/>
      </c>
      <c r="B217" s="211"/>
      <c r="C217" s="215"/>
      <c r="D217" s="213" t="str">
        <f t="shared" si="60"/>
        <v/>
      </c>
      <c r="E217" s="213" t="str">
        <f t="shared" si="68"/>
        <v/>
      </c>
      <c r="F217" s="214" t="str">
        <f t="shared" si="61"/>
        <v/>
      </c>
      <c r="G217" s="180"/>
      <c r="H217" s="181" t="str">
        <f t="shared" si="62"/>
        <v/>
      </c>
      <c r="I217" s="227"/>
      <c r="J217" s="227"/>
      <c r="K217" s="227"/>
      <c r="L217" s="227"/>
      <c r="M217" s="210" t="str">
        <f t="shared" si="67"/>
        <v/>
      </c>
      <c r="N217" s="210"/>
      <c r="O217" s="207"/>
      <c r="P217" s="182" t="str">
        <f t="shared" si="52"/>
        <v/>
      </c>
      <c r="Q217" s="183" t="str">
        <f t="shared" si="63"/>
        <v/>
      </c>
      <c r="R217" s="182" t="str">
        <f>IF(M217&lt;&gt;"",IF(#REF!*F217*10=0,"",#REF!*F217*10),"")</f>
        <v/>
      </c>
      <c r="S217" s="184" t="str">
        <f t="shared" si="64"/>
        <v/>
      </c>
      <c r="T217" s="185" t="str">
        <f t="shared" si="53"/>
        <v/>
      </c>
      <c r="U217" s="183" t="str">
        <f t="shared" si="65"/>
        <v/>
      </c>
      <c r="V217" s="186" t="str">
        <f t="shared" si="54"/>
        <v/>
      </c>
      <c r="W217" s="186" t="str">
        <f t="shared" si="55"/>
        <v/>
      </c>
      <c r="X217" s="187" t="str">
        <f t="shared" si="56"/>
        <v/>
      </c>
      <c r="Y217" s="182" t="str">
        <f t="shared" si="66"/>
        <v/>
      </c>
      <c r="Z217" s="209" t="str">
        <f t="shared" si="57"/>
        <v/>
      </c>
      <c r="AA217" s="209" t="str">
        <f t="shared" si="58"/>
        <v/>
      </c>
      <c r="AB217" s="200"/>
      <c r="AC217" s="192"/>
    </row>
    <row r="218" spans="1:29" ht="11.4">
      <c r="A218" s="211" t="str">
        <f t="shared" si="59"/>
        <v/>
      </c>
      <c r="B218" s="211"/>
      <c r="C218" s="215"/>
      <c r="D218" s="213" t="str">
        <f t="shared" si="60"/>
        <v/>
      </c>
      <c r="E218" s="213" t="str">
        <f t="shared" si="68"/>
        <v/>
      </c>
      <c r="F218" s="214" t="str">
        <f t="shared" si="61"/>
        <v/>
      </c>
      <c r="G218" s="180"/>
      <c r="H218" s="181" t="str">
        <f t="shared" si="62"/>
        <v/>
      </c>
      <c r="I218" s="227"/>
      <c r="J218" s="227"/>
      <c r="K218" s="227"/>
      <c r="L218" s="227"/>
      <c r="M218" s="210" t="str">
        <f t="shared" si="67"/>
        <v/>
      </c>
      <c r="N218" s="210"/>
      <c r="O218" s="207"/>
      <c r="P218" s="182" t="str">
        <f t="shared" si="52"/>
        <v/>
      </c>
      <c r="Q218" s="183" t="str">
        <f t="shared" si="63"/>
        <v/>
      </c>
      <c r="R218" s="182" t="str">
        <f>IF(M218&lt;&gt;"",IF(#REF!*F218*10=0,"",#REF!*F218*10),"")</f>
        <v/>
      </c>
      <c r="S218" s="184" t="str">
        <f t="shared" si="64"/>
        <v/>
      </c>
      <c r="T218" s="185" t="str">
        <f t="shared" si="53"/>
        <v/>
      </c>
      <c r="U218" s="183" t="str">
        <f t="shared" si="65"/>
        <v/>
      </c>
      <c r="V218" s="186" t="str">
        <f t="shared" si="54"/>
        <v/>
      </c>
      <c r="W218" s="186" t="str">
        <f t="shared" si="55"/>
        <v/>
      </c>
      <c r="X218" s="187" t="str">
        <f t="shared" si="56"/>
        <v/>
      </c>
      <c r="Y218" s="182" t="str">
        <f t="shared" si="66"/>
        <v/>
      </c>
      <c r="Z218" s="209" t="str">
        <f t="shared" si="57"/>
        <v/>
      </c>
      <c r="AA218" s="209" t="str">
        <f t="shared" si="58"/>
        <v/>
      </c>
      <c r="AB218" s="200"/>
      <c r="AC218" s="192"/>
    </row>
    <row r="219" spans="1:29" ht="11.4">
      <c r="A219" s="211" t="str">
        <f t="shared" si="59"/>
        <v/>
      </c>
      <c r="B219" s="211"/>
      <c r="C219" s="215"/>
      <c r="D219" s="213" t="str">
        <f t="shared" si="60"/>
        <v/>
      </c>
      <c r="E219" s="213" t="str">
        <f t="shared" si="68"/>
        <v/>
      </c>
      <c r="F219" s="214" t="str">
        <f t="shared" si="61"/>
        <v/>
      </c>
      <c r="G219" s="180"/>
      <c r="H219" s="181" t="str">
        <f t="shared" si="62"/>
        <v/>
      </c>
      <c r="I219" s="227"/>
      <c r="J219" s="227"/>
      <c r="K219" s="227"/>
      <c r="L219" s="227"/>
      <c r="M219" s="210" t="str">
        <f t="shared" si="67"/>
        <v/>
      </c>
      <c r="N219" s="210"/>
      <c r="O219" s="207"/>
      <c r="P219" s="182" t="str">
        <f t="shared" si="52"/>
        <v/>
      </c>
      <c r="Q219" s="183" t="str">
        <f t="shared" si="63"/>
        <v/>
      </c>
      <c r="R219" s="182" t="str">
        <f>IF(M219&lt;&gt;"",IF(#REF!*F219*10=0,"",#REF!*F219*10),"")</f>
        <v/>
      </c>
      <c r="S219" s="184" t="str">
        <f t="shared" si="64"/>
        <v/>
      </c>
      <c r="T219" s="185" t="str">
        <f t="shared" si="53"/>
        <v/>
      </c>
      <c r="U219" s="183" t="str">
        <f t="shared" si="65"/>
        <v/>
      </c>
      <c r="V219" s="186" t="str">
        <f t="shared" si="54"/>
        <v/>
      </c>
      <c r="W219" s="186" t="str">
        <f t="shared" si="55"/>
        <v/>
      </c>
      <c r="X219" s="187" t="str">
        <f t="shared" si="56"/>
        <v/>
      </c>
      <c r="Y219" s="182" t="str">
        <f t="shared" si="66"/>
        <v/>
      </c>
      <c r="Z219" s="209" t="str">
        <f t="shared" si="57"/>
        <v/>
      </c>
      <c r="AA219" s="209" t="str">
        <f t="shared" si="58"/>
        <v/>
      </c>
      <c r="AB219" s="200"/>
      <c r="AC219" s="192"/>
    </row>
    <row r="220" spans="1:29" ht="11.4">
      <c r="A220" s="211" t="str">
        <f t="shared" si="59"/>
        <v/>
      </c>
      <c r="B220" s="211"/>
      <c r="C220" s="215"/>
      <c r="D220" s="213" t="str">
        <f t="shared" si="60"/>
        <v/>
      </c>
      <c r="E220" s="213" t="str">
        <f t="shared" si="68"/>
        <v/>
      </c>
      <c r="F220" s="214" t="str">
        <f t="shared" si="61"/>
        <v/>
      </c>
      <c r="G220" s="180"/>
      <c r="H220" s="181" t="str">
        <f t="shared" si="62"/>
        <v/>
      </c>
      <c r="I220" s="227"/>
      <c r="J220" s="227"/>
      <c r="K220" s="227"/>
      <c r="L220" s="227"/>
      <c r="M220" s="210" t="str">
        <f t="shared" si="67"/>
        <v/>
      </c>
      <c r="N220" s="210"/>
      <c r="O220" s="207"/>
      <c r="P220" s="182" t="str">
        <f t="shared" si="52"/>
        <v/>
      </c>
      <c r="Q220" s="183" t="str">
        <f t="shared" si="63"/>
        <v/>
      </c>
      <c r="R220" s="182" t="str">
        <f>IF(M220&lt;&gt;"",IF(#REF!*F220*10=0,"",#REF!*F220*10),"")</f>
        <v/>
      </c>
      <c r="S220" s="184" t="str">
        <f t="shared" si="64"/>
        <v/>
      </c>
      <c r="T220" s="185" t="str">
        <f t="shared" si="53"/>
        <v/>
      </c>
      <c r="U220" s="183" t="str">
        <f t="shared" si="65"/>
        <v/>
      </c>
      <c r="V220" s="186" t="str">
        <f t="shared" si="54"/>
        <v/>
      </c>
      <c r="W220" s="186" t="str">
        <f t="shared" si="55"/>
        <v/>
      </c>
      <c r="X220" s="187" t="str">
        <f t="shared" si="56"/>
        <v/>
      </c>
      <c r="Y220" s="182" t="str">
        <f t="shared" si="66"/>
        <v/>
      </c>
      <c r="Z220" s="209" t="str">
        <f t="shared" si="57"/>
        <v/>
      </c>
      <c r="AA220" s="209" t="str">
        <f t="shared" si="58"/>
        <v/>
      </c>
      <c r="AB220" s="200"/>
      <c r="AC220" s="192"/>
    </row>
    <row r="221" spans="1:29" ht="11.4">
      <c r="A221" s="211" t="str">
        <f t="shared" si="59"/>
        <v/>
      </c>
      <c r="B221" s="211"/>
      <c r="C221" s="215"/>
      <c r="D221" s="213" t="str">
        <f t="shared" si="60"/>
        <v/>
      </c>
      <c r="E221" s="213" t="str">
        <f t="shared" si="68"/>
        <v/>
      </c>
      <c r="F221" s="214" t="str">
        <f t="shared" si="61"/>
        <v/>
      </c>
      <c r="G221" s="180"/>
      <c r="H221" s="181" t="str">
        <f t="shared" si="62"/>
        <v/>
      </c>
      <c r="I221" s="227"/>
      <c r="J221" s="227"/>
      <c r="K221" s="227"/>
      <c r="L221" s="227"/>
      <c r="M221" s="210" t="str">
        <f t="shared" si="67"/>
        <v/>
      </c>
      <c r="N221" s="210"/>
      <c r="O221" s="207"/>
      <c r="P221" s="182" t="str">
        <f t="shared" si="52"/>
        <v/>
      </c>
      <c r="Q221" s="183" t="str">
        <f t="shared" si="63"/>
        <v/>
      </c>
      <c r="R221" s="182" t="str">
        <f>IF(M221&lt;&gt;"",IF(#REF!*F221*10=0,"",#REF!*F221*10),"")</f>
        <v/>
      </c>
      <c r="S221" s="184" t="str">
        <f t="shared" si="64"/>
        <v/>
      </c>
      <c r="T221" s="185" t="str">
        <f t="shared" si="53"/>
        <v/>
      </c>
      <c r="U221" s="183" t="str">
        <f t="shared" si="65"/>
        <v/>
      </c>
      <c r="V221" s="186" t="str">
        <f t="shared" si="54"/>
        <v/>
      </c>
      <c r="W221" s="186" t="str">
        <f t="shared" si="55"/>
        <v/>
      </c>
      <c r="X221" s="187" t="str">
        <f t="shared" si="56"/>
        <v/>
      </c>
      <c r="Y221" s="182" t="str">
        <f t="shared" si="66"/>
        <v/>
      </c>
      <c r="Z221" s="209" t="str">
        <f t="shared" si="57"/>
        <v/>
      </c>
      <c r="AA221" s="209" t="str">
        <f t="shared" si="58"/>
        <v/>
      </c>
      <c r="AB221" s="200"/>
      <c r="AC221" s="192"/>
    </row>
    <row r="222" spans="1:29" ht="11.4">
      <c r="A222" s="211" t="str">
        <f t="shared" si="59"/>
        <v/>
      </c>
      <c r="B222" s="211"/>
      <c r="C222" s="215"/>
      <c r="D222" s="213" t="str">
        <f t="shared" si="60"/>
        <v/>
      </c>
      <c r="E222" s="213" t="str">
        <f t="shared" si="68"/>
        <v/>
      </c>
      <c r="F222" s="214" t="str">
        <f t="shared" si="61"/>
        <v/>
      </c>
      <c r="G222" s="180"/>
      <c r="H222" s="181" t="str">
        <f t="shared" si="62"/>
        <v/>
      </c>
      <c r="I222" s="227"/>
      <c r="J222" s="227"/>
      <c r="K222" s="227"/>
      <c r="L222" s="227"/>
      <c r="M222" s="210" t="str">
        <f t="shared" si="67"/>
        <v/>
      </c>
      <c r="N222" s="210"/>
      <c r="O222" s="207"/>
      <c r="P222" s="182" t="str">
        <f t="shared" si="52"/>
        <v/>
      </c>
      <c r="Q222" s="183" t="str">
        <f t="shared" si="63"/>
        <v/>
      </c>
      <c r="R222" s="182" t="str">
        <f>IF(M222&lt;&gt;"",IF(#REF!*F222*10=0,"",#REF!*F222*10),"")</f>
        <v/>
      </c>
      <c r="S222" s="184" t="str">
        <f t="shared" si="64"/>
        <v/>
      </c>
      <c r="T222" s="185" t="str">
        <f t="shared" si="53"/>
        <v/>
      </c>
      <c r="U222" s="183" t="str">
        <f t="shared" si="65"/>
        <v/>
      </c>
      <c r="V222" s="186" t="str">
        <f t="shared" si="54"/>
        <v/>
      </c>
      <c r="W222" s="186" t="str">
        <f t="shared" si="55"/>
        <v/>
      </c>
      <c r="X222" s="187" t="str">
        <f t="shared" si="56"/>
        <v/>
      </c>
      <c r="Y222" s="182" t="str">
        <f t="shared" si="66"/>
        <v/>
      </c>
      <c r="Z222" s="209" t="str">
        <f t="shared" si="57"/>
        <v/>
      </c>
      <c r="AA222" s="209" t="str">
        <f t="shared" si="58"/>
        <v/>
      </c>
      <c r="AB222" s="200"/>
      <c r="AC222" s="192"/>
    </row>
    <row r="223" spans="1:29" ht="11.4">
      <c r="A223" s="211" t="str">
        <f t="shared" si="59"/>
        <v/>
      </c>
      <c r="B223" s="211"/>
      <c r="C223" s="215"/>
      <c r="D223" s="213" t="str">
        <f t="shared" si="60"/>
        <v/>
      </c>
      <c r="E223" s="213" t="str">
        <f t="shared" si="68"/>
        <v/>
      </c>
      <c r="F223" s="214" t="str">
        <f t="shared" si="61"/>
        <v/>
      </c>
      <c r="G223" s="180"/>
      <c r="H223" s="181" t="str">
        <f t="shared" si="62"/>
        <v/>
      </c>
      <c r="I223" s="227"/>
      <c r="J223" s="227"/>
      <c r="K223" s="227"/>
      <c r="L223" s="227"/>
      <c r="M223" s="210" t="str">
        <f t="shared" si="67"/>
        <v/>
      </c>
      <c r="N223" s="210"/>
      <c r="O223" s="207"/>
      <c r="P223" s="182" t="str">
        <f t="shared" si="52"/>
        <v/>
      </c>
      <c r="Q223" s="183" t="str">
        <f t="shared" si="63"/>
        <v/>
      </c>
      <c r="R223" s="182" t="str">
        <f>IF(M223&lt;&gt;"",IF(#REF!*F223*10=0,"",#REF!*F223*10),"")</f>
        <v/>
      </c>
      <c r="S223" s="184" t="str">
        <f t="shared" si="64"/>
        <v/>
      </c>
      <c r="T223" s="185" t="str">
        <f t="shared" si="53"/>
        <v/>
      </c>
      <c r="U223" s="183" t="str">
        <f t="shared" si="65"/>
        <v/>
      </c>
      <c r="V223" s="186" t="str">
        <f t="shared" si="54"/>
        <v/>
      </c>
      <c r="W223" s="186" t="str">
        <f t="shared" si="55"/>
        <v/>
      </c>
      <c r="X223" s="187" t="str">
        <f t="shared" si="56"/>
        <v/>
      </c>
      <c r="Y223" s="182" t="str">
        <f t="shared" si="66"/>
        <v/>
      </c>
      <c r="Z223" s="209" t="str">
        <f t="shared" si="57"/>
        <v/>
      </c>
      <c r="AA223" s="209" t="str">
        <f t="shared" si="58"/>
        <v/>
      </c>
      <c r="AB223" s="200"/>
      <c r="AC223" s="192"/>
    </row>
    <row r="224" spans="1:29" ht="11.4">
      <c r="A224" s="211" t="str">
        <f t="shared" si="59"/>
        <v/>
      </c>
      <c r="B224" s="211"/>
      <c r="C224" s="215"/>
      <c r="D224" s="213" t="str">
        <f t="shared" si="60"/>
        <v/>
      </c>
      <c r="E224" s="213" t="str">
        <f t="shared" si="68"/>
        <v/>
      </c>
      <c r="F224" s="214" t="str">
        <f t="shared" si="61"/>
        <v/>
      </c>
      <c r="G224" s="180"/>
      <c r="H224" s="181" t="str">
        <f t="shared" si="62"/>
        <v/>
      </c>
      <c r="I224" s="227"/>
      <c r="J224" s="227"/>
      <c r="K224" s="227"/>
      <c r="L224" s="227"/>
      <c r="M224" s="210" t="str">
        <f t="shared" si="67"/>
        <v/>
      </c>
      <c r="N224" s="210"/>
      <c r="O224" s="207"/>
      <c r="P224" s="182" t="str">
        <f t="shared" si="52"/>
        <v/>
      </c>
      <c r="Q224" s="183" t="str">
        <f t="shared" si="63"/>
        <v/>
      </c>
      <c r="R224" s="182" t="str">
        <f>IF(M224&lt;&gt;"",IF(#REF!*F224*10=0,"",#REF!*F224*10),"")</f>
        <v/>
      </c>
      <c r="S224" s="184" t="str">
        <f t="shared" si="64"/>
        <v/>
      </c>
      <c r="T224" s="185" t="str">
        <f t="shared" si="53"/>
        <v/>
      </c>
      <c r="U224" s="183" t="str">
        <f t="shared" si="65"/>
        <v/>
      </c>
      <c r="V224" s="186" t="str">
        <f t="shared" si="54"/>
        <v/>
      </c>
      <c r="W224" s="186" t="str">
        <f t="shared" si="55"/>
        <v/>
      </c>
      <c r="X224" s="187" t="str">
        <f t="shared" si="56"/>
        <v/>
      </c>
      <c r="Y224" s="182" t="str">
        <f t="shared" si="66"/>
        <v/>
      </c>
      <c r="Z224" s="209" t="str">
        <f t="shared" si="57"/>
        <v/>
      </c>
      <c r="AA224" s="209" t="str">
        <f t="shared" si="58"/>
        <v/>
      </c>
      <c r="AB224" s="200"/>
      <c r="AC224" s="192"/>
    </row>
    <row r="225" spans="1:29" ht="11.4">
      <c r="A225" s="211" t="str">
        <f t="shared" si="59"/>
        <v/>
      </c>
      <c r="B225" s="211"/>
      <c r="C225" s="215"/>
      <c r="D225" s="213" t="str">
        <f t="shared" si="60"/>
        <v/>
      </c>
      <c r="E225" s="213" t="str">
        <f t="shared" si="68"/>
        <v/>
      </c>
      <c r="F225" s="214" t="str">
        <f t="shared" si="61"/>
        <v/>
      </c>
      <c r="G225" s="180"/>
      <c r="H225" s="181" t="str">
        <f t="shared" si="62"/>
        <v/>
      </c>
      <c r="I225" s="227"/>
      <c r="J225" s="227"/>
      <c r="K225" s="227"/>
      <c r="L225" s="227"/>
      <c r="M225" s="210" t="str">
        <f t="shared" si="67"/>
        <v/>
      </c>
      <c r="N225" s="210"/>
      <c r="O225" s="207"/>
      <c r="P225" s="182" t="str">
        <f t="shared" si="52"/>
        <v/>
      </c>
      <c r="Q225" s="183" t="str">
        <f t="shared" si="63"/>
        <v/>
      </c>
      <c r="R225" s="182" t="str">
        <f>IF(M225&lt;&gt;"",IF(#REF!*F225*10=0,"",#REF!*F225*10),"")</f>
        <v/>
      </c>
      <c r="S225" s="184" t="str">
        <f t="shared" si="64"/>
        <v/>
      </c>
      <c r="T225" s="185" t="str">
        <f t="shared" si="53"/>
        <v/>
      </c>
      <c r="U225" s="183" t="str">
        <f t="shared" si="65"/>
        <v/>
      </c>
      <c r="V225" s="186" t="str">
        <f t="shared" si="54"/>
        <v/>
      </c>
      <c r="W225" s="186" t="str">
        <f t="shared" si="55"/>
        <v/>
      </c>
      <c r="X225" s="187" t="str">
        <f t="shared" si="56"/>
        <v/>
      </c>
      <c r="Y225" s="182" t="str">
        <f t="shared" si="66"/>
        <v/>
      </c>
      <c r="Z225" s="209" t="str">
        <f t="shared" si="57"/>
        <v/>
      </c>
      <c r="AA225" s="209" t="str">
        <f t="shared" si="58"/>
        <v/>
      </c>
      <c r="AB225" s="200"/>
      <c r="AC225" s="192"/>
    </row>
    <row r="226" spans="1:29" ht="11.4">
      <c r="A226" s="211" t="str">
        <f t="shared" si="59"/>
        <v/>
      </c>
      <c r="B226" s="211"/>
      <c r="C226" s="215"/>
      <c r="D226" s="213" t="str">
        <f t="shared" si="60"/>
        <v/>
      </c>
      <c r="E226" s="213" t="str">
        <f t="shared" si="68"/>
        <v/>
      </c>
      <c r="F226" s="214" t="str">
        <f t="shared" si="61"/>
        <v/>
      </c>
      <c r="G226" s="180"/>
      <c r="H226" s="181" t="str">
        <f t="shared" si="62"/>
        <v/>
      </c>
      <c r="I226" s="227"/>
      <c r="J226" s="227"/>
      <c r="K226" s="227"/>
      <c r="L226" s="227"/>
      <c r="M226" s="210" t="str">
        <f t="shared" si="67"/>
        <v/>
      </c>
      <c r="N226" s="210"/>
      <c r="O226" s="207"/>
      <c r="P226" s="182" t="str">
        <f t="shared" si="52"/>
        <v/>
      </c>
      <c r="Q226" s="183" t="str">
        <f t="shared" si="63"/>
        <v/>
      </c>
      <c r="R226" s="182" t="str">
        <f>IF(M226&lt;&gt;"",IF(#REF!*F226*10=0,"",#REF!*F226*10),"")</f>
        <v/>
      </c>
      <c r="S226" s="184" t="str">
        <f t="shared" si="64"/>
        <v/>
      </c>
      <c r="T226" s="185" t="str">
        <f t="shared" si="53"/>
        <v/>
      </c>
      <c r="U226" s="183" t="str">
        <f t="shared" si="65"/>
        <v/>
      </c>
      <c r="V226" s="186" t="str">
        <f t="shared" si="54"/>
        <v/>
      </c>
      <c r="W226" s="186" t="str">
        <f t="shared" si="55"/>
        <v/>
      </c>
      <c r="X226" s="187" t="str">
        <f t="shared" si="56"/>
        <v/>
      </c>
      <c r="Y226" s="182" t="str">
        <f t="shared" si="66"/>
        <v/>
      </c>
      <c r="Z226" s="209" t="str">
        <f t="shared" si="57"/>
        <v/>
      </c>
      <c r="AA226" s="209" t="str">
        <f t="shared" si="58"/>
        <v/>
      </c>
      <c r="AB226" s="200"/>
      <c r="AC226" s="192"/>
    </row>
    <row r="227" spans="1:29" ht="11.4">
      <c r="A227" s="211" t="str">
        <f t="shared" si="59"/>
        <v/>
      </c>
      <c r="B227" s="211"/>
      <c r="C227" s="215"/>
      <c r="D227" s="213" t="str">
        <f t="shared" si="60"/>
        <v/>
      </c>
      <c r="E227" s="213" t="str">
        <f t="shared" si="68"/>
        <v/>
      </c>
      <c r="F227" s="214" t="str">
        <f t="shared" si="61"/>
        <v/>
      </c>
      <c r="G227" s="180"/>
      <c r="H227" s="181" t="str">
        <f t="shared" si="62"/>
        <v/>
      </c>
      <c r="I227" s="227"/>
      <c r="J227" s="227"/>
      <c r="K227" s="227"/>
      <c r="L227" s="227"/>
      <c r="M227" s="210" t="str">
        <f t="shared" si="67"/>
        <v/>
      </c>
      <c r="N227" s="210"/>
      <c r="O227" s="207"/>
      <c r="P227" s="182" t="str">
        <f t="shared" si="52"/>
        <v/>
      </c>
      <c r="Q227" s="183" t="str">
        <f t="shared" si="63"/>
        <v/>
      </c>
      <c r="R227" s="182" t="str">
        <f>IF(M227&lt;&gt;"",IF(#REF!*F227*10=0,"",#REF!*F227*10),"")</f>
        <v/>
      </c>
      <c r="S227" s="184" t="str">
        <f t="shared" si="64"/>
        <v/>
      </c>
      <c r="T227" s="185" t="str">
        <f t="shared" si="53"/>
        <v/>
      </c>
      <c r="U227" s="183" t="str">
        <f t="shared" si="65"/>
        <v/>
      </c>
      <c r="V227" s="186" t="str">
        <f t="shared" si="54"/>
        <v/>
      </c>
      <c r="W227" s="186" t="str">
        <f t="shared" si="55"/>
        <v/>
      </c>
      <c r="X227" s="187" t="str">
        <f t="shared" si="56"/>
        <v/>
      </c>
      <c r="Y227" s="182" t="str">
        <f t="shared" si="66"/>
        <v/>
      </c>
      <c r="Z227" s="209" t="str">
        <f t="shared" si="57"/>
        <v/>
      </c>
      <c r="AA227" s="209" t="str">
        <f t="shared" si="58"/>
        <v/>
      </c>
      <c r="AB227" s="200"/>
      <c r="AC227" s="192"/>
    </row>
    <row r="228" spans="1:29" ht="11.4">
      <c r="A228" s="211" t="str">
        <f t="shared" si="59"/>
        <v/>
      </c>
      <c r="B228" s="211"/>
      <c r="C228" s="215"/>
      <c r="D228" s="213" t="str">
        <f t="shared" si="60"/>
        <v/>
      </c>
      <c r="E228" s="213" t="str">
        <f t="shared" si="68"/>
        <v/>
      </c>
      <c r="F228" s="214" t="str">
        <f t="shared" si="61"/>
        <v/>
      </c>
      <c r="G228" s="180"/>
      <c r="H228" s="181" t="str">
        <f t="shared" si="62"/>
        <v/>
      </c>
      <c r="I228" s="227"/>
      <c r="J228" s="227"/>
      <c r="K228" s="227"/>
      <c r="L228" s="227"/>
      <c r="M228" s="210" t="str">
        <f t="shared" si="67"/>
        <v/>
      </c>
      <c r="N228" s="210"/>
      <c r="O228" s="207"/>
      <c r="P228" s="182" t="str">
        <f t="shared" si="52"/>
        <v/>
      </c>
      <c r="Q228" s="183" t="str">
        <f t="shared" si="63"/>
        <v/>
      </c>
      <c r="R228" s="182" t="str">
        <f>IF(M228&lt;&gt;"",IF(#REF!*F228*10=0,"",#REF!*F228*10),"")</f>
        <v/>
      </c>
      <c r="S228" s="184" t="str">
        <f t="shared" si="64"/>
        <v/>
      </c>
      <c r="T228" s="185" t="str">
        <f t="shared" si="53"/>
        <v/>
      </c>
      <c r="U228" s="183" t="str">
        <f t="shared" si="65"/>
        <v/>
      </c>
      <c r="V228" s="186" t="str">
        <f t="shared" si="54"/>
        <v/>
      </c>
      <c r="W228" s="186" t="str">
        <f t="shared" si="55"/>
        <v/>
      </c>
      <c r="X228" s="187" t="str">
        <f t="shared" si="56"/>
        <v/>
      </c>
      <c r="Y228" s="182" t="str">
        <f t="shared" si="66"/>
        <v/>
      </c>
      <c r="Z228" s="209" t="str">
        <f t="shared" si="57"/>
        <v/>
      </c>
      <c r="AA228" s="209" t="str">
        <f t="shared" si="58"/>
        <v/>
      </c>
      <c r="AB228" s="200"/>
      <c r="AC228" s="192"/>
    </row>
    <row r="229" spans="1:29" ht="11.4">
      <c r="A229" s="211" t="str">
        <f t="shared" si="59"/>
        <v/>
      </c>
      <c r="B229" s="211"/>
      <c r="C229" s="215"/>
      <c r="D229" s="213" t="str">
        <f t="shared" si="60"/>
        <v/>
      </c>
      <c r="E229" s="213" t="str">
        <f t="shared" si="68"/>
        <v/>
      </c>
      <c r="F229" s="214" t="str">
        <f t="shared" si="61"/>
        <v/>
      </c>
      <c r="G229" s="180"/>
      <c r="H229" s="181" t="str">
        <f t="shared" si="62"/>
        <v/>
      </c>
      <c r="I229" s="227"/>
      <c r="J229" s="227"/>
      <c r="K229" s="227"/>
      <c r="L229" s="227"/>
      <c r="M229" s="210" t="str">
        <f t="shared" si="67"/>
        <v/>
      </c>
      <c r="N229" s="210"/>
      <c r="O229" s="207"/>
      <c r="P229" s="182" t="str">
        <f t="shared" si="52"/>
        <v/>
      </c>
      <c r="Q229" s="183" t="str">
        <f t="shared" si="63"/>
        <v/>
      </c>
      <c r="R229" s="182" t="str">
        <f>IF(M229&lt;&gt;"",IF(#REF!*F229*10=0,"",#REF!*F229*10),"")</f>
        <v/>
      </c>
      <c r="S229" s="184" t="str">
        <f t="shared" si="64"/>
        <v/>
      </c>
      <c r="T229" s="185" t="str">
        <f t="shared" si="53"/>
        <v/>
      </c>
      <c r="U229" s="183" t="str">
        <f t="shared" si="65"/>
        <v/>
      </c>
      <c r="V229" s="186" t="str">
        <f t="shared" si="54"/>
        <v/>
      </c>
      <c r="W229" s="186" t="str">
        <f t="shared" si="55"/>
        <v/>
      </c>
      <c r="X229" s="187" t="str">
        <f t="shared" si="56"/>
        <v/>
      </c>
      <c r="Y229" s="182" t="str">
        <f t="shared" si="66"/>
        <v/>
      </c>
      <c r="Z229" s="209" t="str">
        <f t="shared" si="57"/>
        <v/>
      </c>
      <c r="AA229" s="209" t="str">
        <f t="shared" si="58"/>
        <v/>
      </c>
      <c r="AB229" s="200"/>
      <c r="AC229" s="192"/>
    </row>
    <row r="230" spans="1:29" ht="11.4">
      <c r="A230" s="211" t="str">
        <f t="shared" si="59"/>
        <v/>
      </c>
      <c r="B230" s="211"/>
      <c r="C230" s="215"/>
      <c r="D230" s="213" t="str">
        <f t="shared" si="60"/>
        <v/>
      </c>
      <c r="E230" s="213" t="str">
        <f t="shared" si="68"/>
        <v/>
      </c>
      <c r="F230" s="214" t="str">
        <f t="shared" si="61"/>
        <v/>
      </c>
      <c r="G230" s="180"/>
      <c r="H230" s="181" t="str">
        <f t="shared" si="62"/>
        <v/>
      </c>
      <c r="I230" s="227"/>
      <c r="J230" s="227"/>
      <c r="K230" s="227"/>
      <c r="L230" s="227"/>
      <c r="M230" s="210" t="str">
        <f t="shared" si="67"/>
        <v/>
      </c>
      <c r="N230" s="210"/>
      <c r="O230" s="207"/>
      <c r="P230" s="182" t="str">
        <f t="shared" si="52"/>
        <v/>
      </c>
      <c r="Q230" s="183" t="str">
        <f t="shared" si="63"/>
        <v/>
      </c>
      <c r="R230" s="182" t="str">
        <f>IF(M230&lt;&gt;"",IF(#REF!*F230*10=0,"",#REF!*F230*10),"")</f>
        <v/>
      </c>
      <c r="S230" s="184" t="str">
        <f t="shared" si="64"/>
        <v/>
      </c>
      <c r="T230" s="185" t="str">
        <f t="shared" si="53"/>
        <v/>
      </c>
      <c r="U230" s="183" t="str">
        <f t="shared" si="65"/>
        <v/>
      </c>
      <c r="V230" s="186" t="str">
        <f t="shared" si="54"/>
        <v/>
      </c>
      <c r="W230" s="186" t="str">
        <f t="shared" si="55"/>
        <v/>
      </c>
      <c r="X230" s="187" t="str">
        <f t="shared" si="56"/>
        <v/>
      </c>
      <c r="Y230" s="182" t="str">
        <f t="shared" si="66"/>
        <v/>
      </c>
      <c r="Z230" s="209" t="str">
        <f t="shared" si="57"/>
        <v/>
      </c>
      <c r="AA230" s="209" t="str">
        <f t="shared" si="58"/>
        <v/>
      </c>
      <c r="AB230" s="200"/>
      <c r="AC230" s="192"/>
    </row>
    <row r="231" spans="1:29" ht="11.4">
      <c r="A231" s="211" t="str">
        <f t="shared" si="59"/>
        <v/>
      </c>
      <c r="B231" s="211"/>
      <c r="C231" s="215"/>
      <c r="D231" s="213" t="str">
        <f t="shared" si="60"/>
        <v/>
      </c>
      <c r="E231" s="213" t="str">
        <f t="shared" si="68"/>
        <v/>
      </c>
      <c r="F231" s="214" t="str">
        <f t="shared" si="61"/>
        <v/>
      </c>
      <c r="G231" s="180"/>
      <c r="H231" s="181" t="str">
        <f t="shared" si="62"/>
        <v/>
      </c>
      <c r="I231" s="227"/>
      <c r="J231" s="227"/>
      <c r="K231" s="227"/>
      <c r="L231" s="227"/>
      <c r="M231" s="210" t="str">
        <f t="shared" si="67"/>
        <v/>
      </c>
      <c r="N231" s="210"/>
      <c r="O231" s="207"/>
      <c r="P231" s="182" t="str">
        <f t="shared" si="52"/>
        <v/>
      </c>
      <c r="Q231" s="183" t="str">
        <f t="shared" si="63"/>
        <v/>
      </c>
      <c r="R231" s="182" t="str">
        <f>IF(M231&lt;&gt;"",IF(#REF!*F231*10=0,"",#REF!*F231*10),"")</f>
        <v/>
      </c>
      <c r="S231" s="184" t="str">
        <f t="shared" si="64"/>
        <v/>
      </c>
      <c r="T231" s="185" t="str">
        <f t="shared" si="53"/>
        <v/>
      </c>
      <c r="U231" s="183" t="str">
        <f t="shared" si="65"/>
        <v/>
      </c>
      <c r="V231" s="186" t="str">
        <f t="shared" si="54"/>
        <v/>
      </c>
      <c r="W231" s="186" t="str">
        <f t="shared" si="55"/>
        <v/>
      </c>
      <c r="X231" s="187" t="str">
        <f t="shared" si="56"/>
        <v/>
      </c>
      <c r="Y231" s="182" t="str">
        <f t="shared" si="66"/>
        <v/>
      </c>
      <c r="Z231" s="209" t="str">
        <f t="shared" si="57"/>
        <v/>
      </c>
      <c r="AA231" s="209" t="str">
        <f t="shared" si="58"/>
        <v/>
      </c>
      <c r="AB231" s="200"/>
      <c r="AC231" s="192"/>
    </row>
    <row r="232" spans="1:29" ht="11.4">
      <c r="A232" s="211" t="str">
        <f t="shared" si="59"/>
        <v/>
      </c>
      <c r="B232" s="211"/>
      <c r="C232" s="215"/>
      <c r="D232" s="213" t="str">
        <f t="shared" si="60"/>
        <v/>
      </c>
      <c r="E232" s="213" t="str">
        <f t="shared" si="68"/>
        <v/>
      </c>
      <c r="F232" s="214" t="str">
        <f t="shared" si="61"/>
        <v/>
      </c>
      <c r="G232" s="180"/>
      <c r="H232" s="181" t="str">
        <f t="shared" si="62"/>
        <v/>
      </c>
      <c r="I232" s="227"/>
      <c r="J232" s="227"/>
      <c r="K232" s="227"/>
      <c r="L232" s="227"/>
      <c r="M232" s="210" t="str">
        <f t="shared" si="67"/>
        <v/>
      </c>
      <c r="N232" s="210"/>
      <c r="O232" s="207"/>
      <c r="P232" s="182" t="str">
        <f t="shared" si="52"/>
        <v/>
      </c>
      <c r="Q232" s="183" t="str">
        <f t="shared" si="63"/>
        <v/>
      </c>
      <c r="R232" s="182" t="str">
        <f>IF(M232&lt;&gt;"",IF(#REF!*F232*10=0,"",#REF!*F232*10),"")</f>
        <v/>
      </c>
      <c r="S232" s="184" t="str">
        <f t="shared" si="64"/>
        <v/>
      </c>
      <c r="T232" s="185" t="str">
        <f t="shared" si="53"/>
        <v/>
      </c>
      <c r="U232" s="183" t="str">
        <f t="shared" si="65"/>
        <v/>
      </c>
      <c r="V232" s="186" t="str">
        <f t="shared" si="54"/>
        <v/>
      </c>
      <c r="W232" s="186" t="str">
        <f t="shared" si="55"/>
        <v/>
      </c>
      <c r="X232" s="187" t="str">
        <f t="shared" si="56"/>
        <v/>
      </c>
      <c r="Y232" s="182" t="str">
        <f t="shared" si="66"/>
        <v/>
      </c>
      <c r="Z232" s="209" t="str">
        <f t="shared" si="57"/>
        <v/>
      </c>
      <c r="AA232" s="209" t="str">
        <f t="shared" si="58"/>
        <v/>
      </c>
      <c r="AB232" s="200"/>
      <c r="AC232" s="192"/>
    </row>
    <row r="233" spans="1:29" ht="11.4">
      <c r="A233" s="211" t="str">
        <f t="shared" si="59"/>
        <v/>
      </c>
      <c r="B233" s="211"/>
      <c r="C233" s="215"/>
      <c r="D233" s="213" t="str">
        <f t="shared" si="60"/>
        <v/>
      </c>
      <c r="E233" s="213" t="str">
        <f t="shared" si="68"/>
        <v/>
      </c>
      <c r="F233" s="214" t="str">
        <f t="shared" si="61"/>
        <v/>
      </c>
      <c r="G233" s="180"/>
      <c r="H233" s="181" t="str">
        <f t="shared" si="62"/>
        <v/>
      </c>
      <c r="I233" s="227"/>
      <c r="J233" s="227"/>
      <c r="K233" s="227"/>
      <c r="L233" s="227"/>
      <c r="M233" s="210" t="str">
        <f t="shared" si="67"/>
        <v/>
      </c>
      <c r="N233" s="210"/>
      <c r="O233" s="207"/>
      <c r="P233" s="182" t="str">
        <f t="shared" si="52"/>
        <v/>
      </c>
      <c r="Q233" s="183" t="str">
        <f t="shared" si="63"/>
        <v/>
      </c>
      <c r="R233" s="182" t="str">
        <f>IF(M233&lt;&gt;"",IF(#REF!*F233*10=0,"",#REF!*F233*10),"")</f>
        <v/>
      </c>
      <c r="S233" s="184" t="str">
        <f t="shared" si="64"/>
        <v/>
      </c>
      <c r="T233" s="185" t="str">
        <f t="shared" si="53"/>
        <v/>
      </c>
      <c r="U233" s="183" t="str">
        <f t="shared" si="65"/>
        <v/>
      </c>
      <c r="V233" s="186" t="str">
        <f t="shared" si="54"/>
        <v/>
      </c>
      <c r="W233" s="186" t="str">
        <f t="shared" si="55"/>
        <v/>
      </c>
      <c r="X233" s="187" t="str">
        <f t="shared" si="56"/>
        <v/>
      </c>
      <c r="Y233" s="182" t="str">
        <f t="shared" si="66"/>
        <v/>
      </c>
      <c r="Z233" s="209" t="str">
        <f t="shared" si="57"/>
        <v/>
      </c>
      <c r="AA233" s="209" t="str">
        <f t="shared" si="58"/>
        <v/>
      </c>
      <c r="AB233" s="200"/>
      <c r="AC233" s="192"/>
    </row>
    <row r="234" spans="1:29" ht="11.4">
      <c r="A234" s="211" t="str">
        <f t="shared" si="59"/>
        <v/>
      </c>
      <c r="B234" s="211"/>
      <c r="C234" s="215"/>
      <c r="D234" s="213" t="str">
        <f t="shared" si="60"/>
        <v/>
      </c>
      <c r="E234" s="213" t="str">
        <f t="shared" si="68"/>
        <v/>
      </c>
      <c r="F234" s="214" t="str">
        <f t="shared" si="61"/>
        <v/>
      </c>
      <c r="G234" s="180"/>
      <c r="H234" s="181" t="str">
        <f t="shared" si="62"/>
        <v/>
      </c>
      <c r="I234" s="227"/>
      <c r="J234" s="227"/>
      <c r="K234" s="227"/>
      <c r="L234" s="227"/>
      <c r="M234" s="210" t="str">
        <f t="shared" si="67"/>
        <v/>
      </c>
      <c r="N234" s="210"/>
      <c r="O234" s="207"/>
      <c r="P234" s="182" t="str">
        <f t="shared" si="52"/>
        <v/>
      </c>
      <c r="Q234" s="183" t="str">
        <f t="shared" si="63"/>
        <v/>
      </c>
      <c r="R234" s="182" t="str">
        <f>IF(M234&lt;&gt;"",IF(#REF!*F234*10=0,"",#REF!*F234*10),"")</f>
        <v/>
      </c>
      <c r="S234" s="184" t="str">
        <f t="shared" si="64"/>
        <v/>
      </c>
      <c r="T234" s="185" t="str">
        <f t="shared" si="53"/>
        <v/>
      </c>
      <c r="U234" s="183" t="str">
        <f t="shared" si="65"/>
        <v/>
      </c>
      <c r="V234" s="186" t="str">
        <f t="shared" si="54"/>
        <v/>
      </c>
      <c r="W234" s="186" t="str">
        <f t="shared" si="55"/>
        <v/>
      </c>
      <c r="X234" s="187" t="str">
        <f t="shared" si="56"/>
        <v/>
      </c>
      <c r="Y234" s="182" t="str">
        <f t="shared" si="66"/>
        <v/>
      </c>
      <c r="Z234" s="209" t="str">
        <f t="shared" si="57"/>
        <v/>
      </c>
      <c r="AA234" s="209" t="str">
        <f t="shared" si="58"/>
        <v/>
      </c>
      <c r="AB234" s="200"/>
      <c r="AC234" s="192"/>
    </row>
    <row r="235" spans="1:29" ht="11.4">
      <c r="A235" s="211" t="str">
        <f t="shared" si="59"/>
        <v/>
      </c>
      <c r="B235" s="211"/>
      <c r="C235" s="215"/>
      <c r="D235" s="213" t="str">
        <f t="shared" si="60"/>
        <v/>
      </c>
      <c r="E235" s="213" t="str">
        <f t="shared" si="68"/>
        <v/>
      </c>
      <c r="F235" s="214" t="str">
        <f t="shared" si="61"/>
        <v/>
      </c>
      <c r="G235" s="180"/>
      <c r="H235" s="181" t="str">
        <f t="shared" si="62"/>
        <v/>
      </c>
      <c r="I235" s="227"/>
      <c r="J235" s="227"/>
      <c r="K235" s="227"/>
      <c r="L235" s="227"/>
      <c r="M235" s="210" t="str">
        <f t="shared" si="67"/>
        <v/>
      </c>
      <c r="N235" s="210"/>
      <c r="O235" s="207"/>
      <c r="P235" s="182" t="str">
        <f t="shared" si="52"/>
        <v/>
      </c>
      <c r="Q235" s="183" t="str">
        <f t="shared" si="63"/>
        <v/>
      </c>
      <c r="R235" s="182" t="str">
        <f>IF(M235&lt;&gt;"",IF(#REF!*F235*10=0,"",#REF!*F235*10),"")</f>
        <v/>
      </c>
      <c r="S235" s="184" t="str">
        <f t="shared" si="64"/>
        <v/>
      </c>
      <c r="T235" s="185" t="str">
        <f t="shared" si="53"/>
        <v/>
      </c>
      <c r="U235" s="183" t="str">
        <f t="shared" si="65"/>
        <v/>
      </c>
      <c r="V235" s="186" t="str">
        <f t="shared" si="54"/>
        <v/>
      </c>
      <c r="W235" s="186" t="str">
        <f t="shared" si="55"/>
        <v/>
      </c>
      <c r="X235" s="187" t="str">
        <f t="shared" si="56"/>
        <v/>
      </c>
      <c r="Y235" s="182" t="str">
        <f t="shared" si="66"/>
        <v/>
      </c>
      <c r="Z235" s="209" t="str">
        <f t="shared" si="57"/>
        <v/>
      </c>
      <c r="AA235" s="209" t="str">
        <f t="shared" si="58"/>
        <v/>
      </c>
      <c r="AB235" s="200"/>
      <c r="AC235" s="192"/>
    </row>
    <row r="236" spans="1:29" ht="11.4">
      <c r="A236" s="211" t="str">
        <f t="shared" si="59"/>
        <v/>
      </c>
      <c r="B236" s="211"/>
      <c r="C236" s="215"/>
      <c r="D236" s="213" t="str">
        <f t="shared" si="60"/>
        <v/>
      </c>
      <c r="E236" s="213" t="str">
        <f t="shared" si="68"/>
        <v/>
      </c>
      <c r="F236" s="214" t="str">
        <f t="shared" si="61"/>
        <v/>
      </c>
      <c r="G236" s="180"/>
      <c r="H236" s="181" t="str">
        <f t="shared" si="62"/>
        <v/>
      </c>
      <c r="I236" s="227"/>
      <c r="J236" s="227"/>
      <c r="K236" s="227"/>
      <c r="L236" s="227"/>
      <c r="M236" s="210" t="str">
        <f t="shared" si="67"/>
        <v/>
      </c>
      <c r="N236" s="210"/>
      <c r="O236" s="207"/>
      <c r="P236" s="182" t="str">
        <f t="shared" si="52"/>
        <v/>
      </c>
      <c r="Q236" s="183" t="str">
        <f t="shared" si="63"/>
        <v/>
      </c>
      <c r="R236" s="182" t="str">
        <f>IF(M236&lt;&gt;"",IF(#REF!*F236*10=0,"",#REF!*F236*10),"")</f>
        <v/>
      </c>
      <c r="S236" s="184" t="str">
        <f t="shared" si="64"/>
        <v/>
      </c>
      <c r="T236" s="185" t="str">
        <f t="shared" si="53"/>
        <v/>
      </c>
      <c r="U236" s="183" t="str">
        <f t="shared" si="65"/>
        <v/>
      </c>
      <c r="V236" s="186" t="str">
        <f t="shared" si="54"/>
        <v/>
      </c>
      <c r="W236" s="186" t="str">
        <f t="shared" si="55"/>
        <v/>
      </c>
      <c r="X236" s="187" t="str">
        <f t="shared" si="56"/>
        <v/>
      </c>
      <c r="Y236" s="182" t="str">
        <f t="shared" si="66"/>
        <v/>
      </c>
      <c r="Z236" s="209" t="str">
        <f t="shared" si="57"/>
        <v/>
      </c>
      <c r="AA236" s="209" t="str">
        <f t="shared" si="58"/>
        <v/>
      </c>
      <c r="AB236" s="200"/>
      <c r="AC236" s="192"/>
    </row>
    <row r="237" spans="1:29" ht="11.4">
      <c r="A237" s="211" t="str">
        <f t="shared" si="59"/>
        <v/>
      </c>
      <c r="B237" s="211"/>
      <c r="C237" s="215"/>
      <c r="D237" s="213" t="str">
        <f t="shared" si="60"/>
        <v/>
      </c>
      <c r="E237" s="213" t="str">
        <f t="shared" si="68"/>
        <v/>
      </c>
      <c r="F237" s="214" t="str">
        <f t="shared" si="61"/>
        <v/>
      </c>
      <c r="G237" s="180"/>
      <c r="H237" s="181" t="str">
        <f t="shared" si="62"/>
        <v/>
      </c>
      <c r="I237" s="227"/>
      <c r="J237" s="227"/>
      <c r="K237" s="227"/>
      <c r="L237" s="227"/>
      <c r="M237" s="210" t="str">
        <f t="shared" si="67"/>
        <v/>
      </c>
      <c r="N237" s="210"/>
      <c r="O237" s="207"/>
      <c r="P237" s="182" t="str">
        <f t="shared" si="52"/>
        <v/>
      </c>
      <c r="Q237" s="183" t="str">
        <f t="shared" si="63"/>
        <v/>
      </c>
      <c r="R237" s="182" t="str">
        <f>IF(M237&lt;&gt;"",IF(#REF!*F237*10=0,"",#REF!*F237*10),"")</f>
        <v/>
      </c>
      <c r="S237" s="184" t="str">
        <f t="shared" si="64"/>
        <v/>
      </c>
      <c r="T237" s="185" t="str">
        <f t="shared" si="53"/>
        <v/>
      </c>
      <c r="U237" s="183" t="str">
        <f t="shared" si="65"/>
        <v/>
      </c>
      <c r="V237" s="186" t="str">
        <f t="shared" si="54"/>
        <v/>
      </c>
      <c r="W237" s="186" t="str">
        <f t="shared" si="55"/>
        <v/>
      </c>
      <c r="X237" s="187" t="str">
        <f t="shared" si="56"/>
        <v/>
      </c>
      <c r="Y237" s="182" t="str">
        <f t="shared" si="66"/>
        <v/>
      </c>
      <c r="Z237" s="209" t="str">
        <f t="shared" si="57"/>
        <v/>
      </c>
      <c r="AA237" s="209" t="str">
        <f t="shared" si="58"/>
        <v/>
      </c>
      <c r="AB237" s="200"/>
      <c r="AC237" s="192"/>
    </row>
    <row r="238" spans="1:29" ht="11.4">
      <c r="A238" s="211" t="str">
        <f t="shared" si="59"/>
        <v/>
      </c>
      <c r="B238" s="211"/>
      <c r="C238" s="215"/>
      <c r="D238" s="213" t="str">
        <f t="shared" si="60"/>
        <v/>
      </c>
      <c r="E238" s="213" t="str">
        <f t="shared" si="68"/>
        <v/>
      </c>
      <c r="F238" s="214" t="str">
        <f t="shared" si="61"/>
        <v/>
      </c>
      <c r="G238" s="180"/>
      <c r="H238" s="181" t="str">
        <f t="shared" si="62"/>
        <v/>
      </c>
      <c r="I238" s="227"/>
      <c r="J238" s="227"/>
      <c r="K238" s="227"/>
      <c r="L238" s="227"/>
      <c r="M238" s="210" t="str">
        <f t="shared" si="67"/>
        <v/>
      </c>
      <c r="N238" s="210"/>
      <c r="O238" s="207"/>
      <c r="P238" s="182" t="str">
        <f t="shared" si="52"/>
        <v/>
      </c>
      <c r="Q238" s="183" t="str">
        <f t="shared" si="63"/>
        <v/>
      </c>
      <c r="R238" s="182" t="str">
        <f>IF(M238&lt;&gt;"",IF(#REF!*F238*10=0,"",#REF!*F238*10),"")</f>
        <v/>
      </c>
      <c r="S238" s="184" t="str">
        <f t="shared" si="64"/>
        <v/>
      </c>
      <c r="T238" s="185" t="str">
        <f t="shared" si="53"/>
        <v/>
      </c>
      <c r="U238" s="183" t="str">
        <f t="shared" si="65"/>
        <v/>
      </c>
      <c r="V238" s="186" t="str">
        <f t="shared" si="54"/>
        <v/>
      </c>
      <c r="W238" s="186" t="str">
        <f t="shared" si="55"/>
        <v/>
      </c>
      <c r="X238" s="187" t="str">
        <f t="shared" si="56"/>
        <v/>
      </c>
      <c r="Y238" s="182" t="str">
        <f t="shared" si="66"/>
        <v/>
      </c>
      <c r="Z238" s="209" t="str">
        <f t="shared" si="57"/>
        <v/>
      </c>
      <c r="AA238" s="209" t="str">
        <f t="shared" si="58"/>
        <v/>
      </c>
      <c r="AB238" s="200"/>
      <c r="AC238" s="192"/>
    </row>
    <row r="239" spans="1:29" ht="11.4">
      <c r="A239" s="211" t="str">
        <f t="shared" si="59"/>
        <v/>
      </c>
      <c r="B239" s="211"/>
      <c r="C239" s="215"/>
      <c r="D239" s="213" t="str">
        <f t="shared" si="60"/>
        <v/>
      </c>
      <c r="E239" s="213" t="str">
        <f t="shared" si="68"/>
        <v/>
      </c>
      <c r="F239" s="214" t="str">
        <f t="shared" si="61"/>
        <v/>
      </c>
      <c r="G239" s="180"/>
      <c r="H239" s="181" t="str">
        <f t="shared" si="62"/>
        <v/>
      </c>
      <c r="I239" s="227"/>
      <c r="J239" s="227"/>
      <c r="K239" s="227"/>
      <c r="L239" s="227"/>
      <c r="M239" s="210" t="str">
        <f t="shared" si="67"/>
        <v/>
      </c>
      <c r="N239" s="210"/>
      <c r="O239" s="207"/>
      <c r="P239" s="182" t="str">
        <f t="shared" si="52"/>
        <v/>
      </c>
      <c r="Q239" s="183" t="str">
        <f t="shared" si="63"/>
        <v/>
      </c>
      <c r="R239" s="182" t="str">
        <f>IF(M239&lt;&gt;"",IF(#REF!*F239*10=0,"",#REF!*F239*10),"")</f>
        <v/>
      </c>
      <c r="S239" s="184" t="str">
        <f t="shared" si="64"/>
        <v/>
      </c>
      <c r="T239" s="185" t="str">
        <f t="shared" si="53"/>
        <v/>
      </c>
      <c r="U239" s="183" t="str">
        <f t="shared" si="65"/>
        <v/>
      </c>
      <c r="V239" s="186" t="str">
        <f t="shared" si="54"/>
        <v/>
      </c>
      <c r="W239" s="186" t="str">
        <f t="shared" si="55"/>
        <v/>
      </c>
      <c r="X239" s="187" t="str">
        <f t="shared" si="56"/>
        <v/>
      </c>
      <c r="Y239" s="182" t="str">
        <f t="shared" si="66"/>
        <v/>
      </c>
      <c r="Z239" s="209" t="str">
        <f t="shared" si="57"/>
        <v/>
      </c>
      <c r="AA239" s="209" t="str">
        <f t="shared" si="58"/>
        <v/>
      </c>
      <c r="AB239" s="200"/>
      <c r="AC239" s="192"/>
    </row>
    <row r="240" spans="1:29" ht="11.4">
      <c r="A240" s="211" t="str">
        <f t="shared" si="59"/>
        <v/>
      </c>
      <c r="B240" s="211"/>
      <c r="C240" s="215"/>
      <c r="D240" s="213" t="str">
        <f t="shared" si="60"/>
        <v/>
      </c>
      <c r="E240" s="213" t="str">
        <f t="shared" si="68"/>
        <v/>
      </c>
      <c r="F240" s="214" t="str">
        <f t="shared" si="61"/>
        <v/>
      </c>
      <c r="G240" s="180"/>
      <c r="H240" s="181" t="str">
        <f t="shared" si="62"/>
        <v/>
      </c>
      <c r="I240" s="227"/>
      <c r="J240" s="227"/>
      <c r="K240" s="227"/>
      <c r="L240" s="227"/>
      <c r="M240" s="210" t="str">
        <f t="shared" si="67"/>
        <v/>
      </c>
      <c r="N240" s="210"/>
      <c r="O240" s="207"/>
      <c r="P240" s="182" t="str">
        <f t="shared" si="52"/>
        <v/>
      </c>
      <c r="Q240" s="183" t="str">
        <f t="shared" si="63"/>
        <v/>
      </c>
      <c r="R240" s="182" t="str">
        <f>IF(M240&lt;&gt;"",IF(#REF!*F240*10=0,"",#REF!*F240*10),"")</f>
        <v/>
      </c>
      <c r="S240" s="184" t="str">
        <f t="shared" si="64"/>
        <v/>
      </c>
      <c r="T240" s="185" t="str">
        <f t="shared" si="53"/>
        <v/>
      </c>
      <c r="U240" s="183" t="str">
        <f t="shared" si="65"/>
        <v/>
      </c>
      <c r="V240" s="186" t="str">
        <f t="shared" si="54"/>
        <v/>
      </c>
      <c r="W240" s="186" t="str">
        <f t="shared" si="55"/>
        <v/>
      </c>
      <c r="X240" s="187" t="str">
        <f t="shared" si="56"/>
        <v/>
      </c>
      <c r="Y240" s="182" t="str">
        <f t="shared" si="66"/>
        <v/>
      </c>
      <c r="Z240" s="209" t="str">
        <f t="shared" si="57"/>
        <v/>
      </c>
      <c r="AA240" s="209" t="str">
        <f t="shared" si="58"/>
        <v/>
      </c>
      <c r="AB240" s="200"/>
      <c r="AC240" s="192"/>
    </row>
    <row r="241" spans="1:29" ht="11.4">
      <c r="A241" s="211" t="str">
        <f t="shared" si="59"/>
        <v/>
      </c>
      <c r="B241" s="211"/>
      <c r="C241" s="215"/>
      <c r="D241" s="213" t="str">
        <f t="shared" si="60"/>
        <v/>
      </c>
      <c r="E241" s="213" t="str">
        <f t="shared" si="68"/>
        <v/>
      </c>
      <c r="F241" s="214" t="str">
        <f t="shared" si="61"/>
        <v/>
      </c>
      <c r="G241" s="180"/>
      <c r="H241" s="181" t="str">
        <f t="shared" si="62"/>
        <v/>
      </c>
      <c r="I241" s="227"/>
      <c r="J241" s="227"/>
      <c r="K241" s="227"/>
      <c r="L241" s="227"/>
      <c r="M241" s="210" t="str">
        <f t="shared" si="67"/>
        <v/>
      </c>
      <c r="N241" s="210"/>
      <c r="O241" s="207"/>
      <c r="P241" s="182" t="str">
        <f t="shared" si="52"/>
        <v/>
      </c>
      <c r="Q241" s="183" t="str">
        <f t="shared" si="63"/>
        <v/>
      </c>
      <c r="R241" s="182" t="str">
        <f>IF(M241&lt;&gt;"",IF(#REF!*F241*10=0,"",#REF!*F241*10),"")</f>
        <v/>
      </c>
      <c r="S241" s="184" t="str">
        <f t="shared" si="64"/>
        <v/>
      </c>
      <c r="T241" s="185" t="str">
        <f t="shared" si="53"/>
        <v/>
      </c>
      <c r="U241" s="183" t="str">
        <f t="shared" si="65"/>
        <v/>
      </c>
      <c r="V241" s="186" t="str">
        <f t="shared" si="54"/>
        <v/>
      </c>
      <c r="W241" s="186" t="str">
        <f t="shared" si="55"/>
        <v/>
      </c>
      <c r="X241" s="187" t="str">
        <f t="shared" si="56"/>
        <v/>
      </c>
      <c r="Y241" s="182" t="str">
        <f t="shared" si="66"/>
        <v/>
      </c>
      <c r="Z241" s="209" t="str">
        <f t="shared" si="57"/>
        <v/>
      </c>
      <c r="AA241" s="209" t="str">
        <f t="shared" si="58"/>
        <v/>
      </c>
      <c r="AB241" s="200"/>
      <c r="AC241" s="192"/>
    </row>
    <row r="242" spans="1:29" ht="11.4">
      <c r="A242" s="211" t="str">
        <f t="shared" si="59"/>
        <v/>
      </c>
      <c r="B242" s="211"/>
      <c r="C242" s="215"/>
      <c r="D242" s="213" t="str">
        <f t="shared" si="60"/>
        <v/>
      </c>
      <c r="E242" s="213" t="str">
        <f t="shared" si="68"/>
        <v/>
      </c>
      <c r="F242" s="214" t="str">
        <f t="shared" si="61"/>
        <v/>
      </c>
      <c r="G242" s="180"/>
      <c r="H242" s="181" t="str">
        <f t="shared" si="62"/>
        <v/>
      </c>
      <c r="I242" s="227"/>
      <c r="J242" s="227"/>
      <c r="K242" s="227"/>
      <c r="L242" s="227"/>
      <c r="M242" s="210" t="str">
        <f t="shared" si="67"/>
        <v/>
      </c>
      <c r="N242" s="210"/>
      <c r="O242" s="207"/>
      <c r="P242" s="182" t="str">
        <f t="shared" si="52"/>
        <v/>
      </c>
      <c r="Q242" s="183" t="str">
        <f t="shared" si="63"/>
        <v/>
      </c>
      <c r="R242" s="182" t="str">
        <f>IF(M242&lt;&gt;"",IF(#REF!*F242*10=0,"",#REF!*F242*10),"")</f>
        <v/>
      </c>
      <c r="S242" s="184" t="str">
        <f t="shared" si="64"/>
        <v/>
      </c>
      <c r="T242" s="185" t="str">
        <f t="shared" si="53"/>
        <v/>
      </c>
      <c r="U242" s="183" t="str">
        <f t="shared" si="65"/>
        <v/>
      </c>
      <c r="V242" s="186" t="str">
        <f t="shared" si="54"/>
        <v/>
      </c>
      <c r="W242" s="186" t="str">
        <f t="shared" si="55"/>
        <v/>
      </c>
      <c r="X242" s="187" t="str">
        <f t="shared" si="56"/>
        <v/>
      </c>
      <c r="Y242" s="182" t="str">
        <f t="shared" si="66"/>
        <v/>
      </c>
      <c r="Z242" s="209" t="str">
        <f t="shared" si="57"/>
        <v/>
      </c>
      <c r="AA242" s="209" t="str">
        <f t="shared" si="58"/>
        <v/>
      </c>
      <c r="AB242" s="200"/>
      <c r="AC242" s="192"/>
    </row>
    <row r="243" spans="1:29" ht="11.4">
      <c r="A243" s="211" t="str">
        <f t="shared" si="59"/>
        <v/>
      </c>
      <c r="B243" s="211"/>
      <c r="C243" s="215"/>
      <c r="D243" s="213" t="str">
        <f t="shared" si="60"/>
        <v/>
      </c>
      <c r="E243" s="213" t="str">
        <f t="shared" si="68"/>
        <v/>
      </c>
      <c r="F243" s="214" t="str">
        <f t="shared" si="61"/>
        <v/>
      </c>
      <c r="G243" s="180"/>
      <c r="H243" s="181" t="str">
        <f t="shared" si="62"/>
        <v/>
      </c>
      <c r="I243" s="227"/>
      <c r="J243" s="227"/>
      <c r="K243" s="227"/>
      <c r="L243" s="227"/>
      <c r="M243" s="210" t="str">
        <f t="shared" si="67"/>
        <v/>
      </c>
      <c r="N243" s="210"/>
      <c r="O243" s="207"/>
      <c r="P243" s="182" t="str">
        <f t="shared" si="52"/>
        <v/>
      </c>
      <c r="Q243" s="183" t="str">
        <f t="shared" si="63"/>
        <v/>
      </c>
      <c r="R243" s="182" t="str">
        <f>IF(M243&lt;&gt;"",IF(#REF!*F243*10=0,"",#REF!*F243*10),"")</f>
        <v/>
      </c>
      <c r="S243" s="184" t="str">
        <f t="shared" si="64"/>
        <v/>
      </c>
      <c r="T243" s="185" t="str">
        <f t="shared" si="53"/>
        <v/>
      </c>
      <c r="U243" s="183" t="str">
        <f t="shared" si="65"/>
        <v/>
      </c>
      <c r="V243" s="186" t="str">
        <f t="shared" si="54"/>
        <v/>
      </c>
      <c r="W243" s="186" t="str">
        <f t="shared" si="55"/>
        <v/>
      </c>
      <c r="X243" s="187" t="str">
        <f t="shared" si="56"/>
        <v/>
      </c>
      <c r="Y243" s="182" t="str">
        <f t="shared" si="66"/>
        <v/>
      </c>
      <c r="Z243" s="209" t="str">
        <f t="shared" si="57"/>
        <v/>
      </c>
      <c r="AA243" s="209" t="str">
        <f t="shared" si="58"/>
        <v/>
      </c>
      <c r="AB243" s="200"/>
      <c r="AC243" s="192"/>
    </row>
    <row r="244" spans="1:29" ht="11.4">
      <c r="A244" s="211" t="str">
        <f t="shared" si="59"/>
        <v/>
      </c>
      <c r="B244" s="211"/>
      <c r="C244" s="215"/>
      <c r="D244" s="213" t="str">
        <f t="shared" si="60"/>
        <v/>
      </c>
      <c r="E244" s="213" t="str">
        <f t="shared" si="68"/>
        <v/>
      </c>
      <c r="F244" s="214" t="str">
        <f t="shared" si="61"/>
        <v/>
      </c>
      <c r="G244" s="180"/>
      <c r="H244" s="181" t="str">
        <f t="shared" si="62"/>
        <v/>
      </c>
      <c r="I244" s="227"/>
      <c r="J244" s="227"/>
      <c r="K244" s="227"/>
      <c r="L244" s="227"/>
      <c r="M244" s="210" t="str">
        <f t="shared" si="67"/>
        <v/>
      </c>
      <c r="N244" s="210"/>
      <c r="O244" s="207"/>
      <c r="P244" s="182" t="str">
        <f t="shared" si="52"/>
        <v/>
      </c>
      <c r="Q244" s="183" t="str">
        <f t="shared" si="63"/>
        <v/>
      </c>
      <c r="R244" s="182" t="str">
        <f>IF(M244&lt;&gt;"",IF(#REF!*F244*10=0,"",#REF!*F244*10),"")</f>
        <v/>
      </c>
      <c r="S244" s="184" t="str">
        <f t="shared" si="64"/>
        <v/>
      </c>
      <c r="T244" s="185" t="str">
        <f t="shared" si="53"/>
        <v/>
      </c>
      <c r="U244" s="183" t="str">
        <f t="shared" si="65"/>
        <v/>
      </c>
      <c r="V244" s="186" t="str">
        <f t="shared" si="54"/>
        <v/>
      </c>
      <c r="W244" s="186" t="str">
        <f t="shared" si="55"/>
        <v/>
      </c>
      <c r="X244" s="187" t="str">
        <f t="shared" si="56"/>
        <v/>
      </c>
      <c r="Y244" s="182" t="str">
        <f t="shared" si="66"/>
        <v/>
      </c>
      <c r="Z244" s="209" t="str">
        <f t="shared" si="57"/>
        <v/>
      </c>
      <c r="AA244" s="209" t="str">
        <f t="shared" si="58"/>
        <v/>
      </c>
      <c r="AB244" s="200"/>
      <c r="AC244" s="192"/>
    </row>
    <row r="245" spans="1:29" ht="11.4">
      <c r="A245" s="211" t="str">
        <f t="shared" si="59"/>
        <v/>
      </c>
      <c r="B245" s="211"/>
      <c r="C245" s="215"/>
      <c r="D245" s="213" t="str">
        <f t="shared" si="60"/>
        <v/>
      </c>
      <c r="E245" s="213" t="str">
        <f t="shared" si="68"/>
        <v/>
      </c>
      <c r="F245" s="214" t="str">
        <f t="shared" si="61"/>
        <v/>
      </c>
      <c r="G245" s="180"/>
      <c r="H245" s="181" t="str">
        <f t="shared" si="62"/>
        <v/>
      </c>
      <c r="I245" s="227"/>
      <c r="J245" s="227"/>
      <c r="K245" s="227"/>
      <c r="L245" s="227"/>
      <c r="M245" s="210" t="str">
        <f t="shared" si="67"/>
        <v/>
      </c>
      <c r="N245" s="210"/>
      <c r="O245" s="207"/>
      <c r="P245" s="182" t="str">
        <f t="shared" si="52"/>
        <v/>
      </c>
      <c r="Q245" s="183" t="str">
        <f t="shared" si="63"/>
        <v/>
      </c>
      <c r="R245" s="182" t="str">
        <f>IF(M245&lt;&gt;"",IF(#REF!*F245*10=0,"",#REF!*F245*10),"")</f>
        <v/>
      </c>
      <c r="S245" s="184" t="str">
        <f t="shared" si="64"/>
        <v/>
      </c>
      <c r="T245" s="185" t="str">
        <f t="shared" si="53"/>
        <v/>
      </c>
      <c r="U245" s="183" t="str">
        <f t="shared" si="65"/>
        <v/>
      </c>
      <c r="V245" s="186" t="str">
        <f t="shared" si="54"/>
        <v/>
      </c>
      <c r="W245" s="186" t="str">
        <f t="shared" si="55"/>
        <v/>
      </c>
      <c r="X245" s="187" t="str">
        <f t="shared" si="56"/>
        <v/>
      </c>
      <c r="Y245" s="182" t="str">
        <f t="shared" si="66"/>
        <v/>
      </c>
      <c r="Z245" s="209" t="str">
        <f t="shared" si="57"/>
        <v/>
      </c>
      <c r="AA245" s="209" t="str">
        <f t="shared" si="58"/>
        <v/>
      </c>
      <c r="AB245" s="200"/>
      <c r="AC245" s="192"/>
    </row>
    <row r="246" spans="1:29" ht="11.4">
      <c r="A246" s="211" t="str">
        <f t="shared" si="59"/>
        <v/>
      </c>
      <c r="B246" s="211"/>
      <c r="C246" s="215"/>
      <c r="D246" s="213" t="str">
        <f t="shared" si="60"/>
        <v/>
      </c>
      <c r="E246" s="213" t="str">
        <f t="shared" si="68"/>
        <v/>
      </c>
      <c r="F246" s="214" t="str">
        <f t="shared" si="61"/>
        <v/>
      </c>
      <c r="G246" s="180"/>
      <c r="H246" s="181" t="str">
        <f t="shared" si="62"/>
        <v/>
      </c>
      <c r="I246" s="227"/>
      <c r="J246" s="227"/>
      <c r="K246" s="227"/>
      <c r="L246" s="227"/>
      <c r="M246" s="210" t="str">
        <f t="shared" si="67"/>
        <v/>
      </c>
      <c r="N246" s="210"/>
      <c r="O246" s="207"/>
      <c r="P246" s="182" t="str">
        <f t="shared" si="52"/>
        <v/>
      </c>
      <c r="Q246" s="183" t="str">
        <f t="shared" si="63"/>
        <v/>
      </c>
      <c r="R246" s="182" t="str">
        <f>IF(M246&lt;&gt;"",IF(#REF!*F246*10=0,"",#REF!*F246*10),"")</f>
        <v/>
      </c>
      <c r="S246" s="184" t="str">
        <f t="shared" si="64"/>
        <v/>
      </c>
      <c r="T246" s="185" t="str">
        <f t="shared" si="53"/>
        <v/>
      </c>
      <c r="U246" s="183" t="str">
        <f t="shared" si="65"/>
        <v/>
      </c>
      <c r="V246" s="186" t="str">
        <f t="shared" si="54"/>
        <v/>
      </c>
      <c r="W246" s="186" t="str">
        <f t="shared" si="55"/>
        <v/>
      </c>
      <c r="X246" s="187" t="str">
        <f t="shared" si="56"/>
        <v/>
      </c>
      <c r="Y246" s="182" t="str">
        <f t="shared" si="66"/>
        <v/>
      </c>
      <c r="Z246" s="209" t="str">
        <f t="shared" si="57"/>
        <v/>
      </c>
      <c r="AA246" s="209" t="str">
        <f t="shared" si="58"/>
        <v/>
      </c>
      <c r="AB246" s="200"/>
      <c r="AC246" s="192"/>
    </row>
    <row r="247" spans="1:29" ht="11.4">
      <c r="A247" s="211" t="str">
        <f t="shared" si="59"/>
        <v/>
      </c>
      <c r="B247" s="211"/>
      <c r="C247" s="215"/>
      <c r="D247" s="213" t="str">
        <f t="shared" si="60"/>
        <v/>
      </c>
      <c r="E247" s="213" t="str">
        <f t="shared" si="68"/>
        <v/>
      </c>
      <c r="F247" s="214" t="str">
        <f t="shared" si="61"/>
        <v/>
      </c>
      <c r="G247" s="180"/>
      <c r="H247" s="181" t="str">
        <f t="shared" si="62"/>
        <v/>
      </c>
      <c r="I247" s="227"/>
      <c r="J247" s="227"/>
      <c r="K247" s="227"/>
      <c r="L247" s="227"/>
      <c r="M247" s="210" t="str">
        <f t="shared" si="67"/>
        <v/>
      </c>
      <c r="N247" s="210"/>
      <c r="O247" s="207"/>
      <c r="P247" s="182" t="str">
        <f t="shared" si="52"/>
        <v/>
      </c>
      <c r="Q247" s="183" t="str">
        <f t="shared" si="63"/>
        <v/>
      </c>
      <c r="R247" s="182" t="str">
        <f>IF(M247&lt;&gt;"",IF(#REF!*F247*10=0,"",#REF!*F247*10),"")</f>
        <v/>
      </c>
      <c r="S247" s="184" t="str">
        <f t="shared" si="64"/>
        <v/>
      </c>
      <c r="T247" s="185" t="str">
        <f t="shared" si="53"/>
        <v/>
      </c>
      <c r="U247" s="183" t="str">
        <f t="shared" si="65"/>
        <v/>
      </c>
      <c r="V247" s="186" t="str">
        <f t="shared" si="54"/>
        <v/>
      </c>
      <c r="W247" s="186" t="str">
        <f t="shared" si="55"/>
        <v/>
      </c>
      <c r="X247" s="187" t="str">
        <f t="shared" si="56"/>
        <v/>
      </c>
      <c r="Y247" s="182" t="str">
        <f t="shared" si="66"/>
        <v/>
      </c>
      <c r="Z247" s="209" t="str">
        <f t="shared" si="57"/>
        <v/>
      </c>
      <c r="AA247" s="209" t="str">
        <f t="shared" si="58"/>
        <v/>
      </c>
      <c r="AB247" s="200"/>
      <c r="AC247" s="192"/>
    </row>
    <row r="248" spans="1:29" ht="11.4">
      <c r="A248" s="211" t="str">
        <f t="shared" si="59"/>
        <v/>
      </c>
      <c r="B248" s="211"/>
      <c r="C248" s="215"/>
      <c r="D248" s="213" t="str">
        <f t="shared" si="60"/>
        <v/>
      </c>
      <c r="E248" s="213" t="str">
        <f t="shared" si="68"/>
        <v/>
      </c>
      <c r="F248" s="214" t="str">
        <f t="shared" si="61"/>
        <v/>
      </c>
      <c r="G248" s="180"/>
      <c r="H248" s="181" t="str">
        <f t="shared" si="62"/>
        <v/>
      </c>
      <c r="I248" s="227"/>
      <c r="J248" s="227"/>
      <c r="K248" s="227"/>
      <c r="L248" s="227"/>
      <c r="M248" s="210" t="str">
        <f t="shared" si="67"/>
        <v/>
      </c>
      <c r="N248" s="210"/>
      <c r="O248" s="207"/>
      <c r="P248" s="182" t="str">
        <f t="shared" si="52"/>
        <v/>
      </c>
      <c r="Q248" s="183" t="str">
        <f t="shared" si="63"/>
        <v/>
      </c>
      <c r="R248" s="182" t="str">
        <f>IF(M248&lt;&gt;"",IF(#REF!*F248*10=0,"",#REF!*F248*10),"")</f>
        <v/>
      </c>
      <c r="S248" s="184" t="str">
        <f t="shared" si="64"/>
        <v/>
      </c>
      <c r="T248" s="185" t="str">
        <f t="shared" si="53"/>
        <v/>
      </c>
      <c r="U248" s="183" t="str">
        <f t="shared" si="65"/>
        <v/>
      </c>
      <c r="V248" s="186" t="str">
        <f t="shared" si="54"/>
        <v/>
      </c>
      <c r="W248" s="186" t="str">
        <f t="shared" si="55"/>
        <v/>
      </c>
      <c r="X248" s="187" t="str">
        <f t="shared" si="56"/>
        <v/>
      </c>
      <c r="Y248" s="182" t="str">
        <f t="shared" si="66"/>
        <v/>
      </c>
      <c r="Z248" s="209" t="str">
        <f t="shared" si="57"/>
        <v/>
      </c>
      <c r="AA248" s="209" t="str">
        <f t="shared" si="58"/>
        <v/>
      </c>
      <c r="AB248" s="200"/>
      <c r="AC248" s="192"/>
    </row>
    <row r="249" spans="1:29" ht="11.4">
      <c r="A249" s="211" t="str">
        <f t="shared" si="59"/>
        <v/>
      </c>
      <c r="B249" s="211"/>
      <c r="C249" s="215"/>
      <c r="D249" s="213" t="str">
        <f t="shared" si="60"/>
        <v/>
      </c>
      <c r="E249" s="213" t="str">
        <f t="shared" si="68"/>
        <v/>
      </c>
      <c r="F249" s="214" t="str">
        <f t="shared" si="61"/>
        <v/>
      </c>
      <c r="G249" s="180"/>
      <c r="H249" s="181" t="str">
        <f t="shared" si="62"/>
        <v/>
      </c>
      <c r="I249" s="227"/>
      <c r="J249" s="227"/>
      <c r="K249" s="227"/>
      <c r="L249" s="227"/>
      <c r="M249" s="210" t="str">
        <f t="shared" si="67"/>
        <v/>
      </c>
      <c r="N249" s="210"/>
      <c r="O249" s="207"/>
      <c r="P249" s="182" t="str">
        <f t="shared" si="52"/>
        <v/>
      </c>
      <c r="Q249" s="183" t="str">
        <f t="shared" si="63"/>
        <v/>
      </c>
      <c r="R249" s="182" t="str">
        <f>IF(M249&lt;&gt;"",IF(#REF!*F249*10=0,"",#REF!*F249*10),"")</f>
        <v/>
      </c>
      <c r="S249" s="184" t="str">
        <f t="shared" si="64"/>
        <v/>
      </c>
      <c r="T249" s="185" t="str">
        <f t="shared" si="53"/>
        <v/>
      </c>
      <c r="U249" s="183" t="str">
        <f t="shared" si="65"/>
        <v/>
      </c>
      <c r="V249" s="186" t="str">
        <f t="shared" si="54"/>
        <v/>
      </c>
      <c r="W249" s="186" t="str">
        <f t="shared" si="55"/>
        <v/>
      </c>
      <c r="X249" s="187" t="str">
        <f t="shared" si="56"/>
        <v/>
      </c>
      <c r="Y249" s="182" t="str">
        <f t="shared" si="66"/>
        <v/>
      </c>
      <c r="Z249" s="209" t="str">
        <f t="shared" si="57"/>
        <v/>
      </c>
      <c r="AA249" s="209" t="str">
        <f t="shared" si="58"/>
        <v/>
      </c>
      <c r="AB249" s="200"/>
      <c r="AC249" s="192"/>
    </row>
    <row r="250" spans="1:29" ht="11.4">
      <c r="A250" s="211" t="str">
        <f t="shared" si="59"/>
        <v/>
      </c>
      <c r="B250" s="211"/>
      <c r="C250" s="215"/>
      <c r="D250" s="213" t="str">
        <f t="shared" si="60"/>
        <v/>
      </c>
      <c r="E250" s="213" t="str">
        <f t="shared" si="68"/>
        <v/>
      </c>
      <c r="F250" s="214" t="str">
        <f t="shared" si="61"/>
        <v/>
      </c>
      <c r="G250" s="180"/>
      <c r="H250" s="181" t="str">
        <f t="shared" si="62"/>
        <v/>
      </c>
      <c r="I250" s="227"/>
      <c r="J250" s="227"/>
      <c r="K250" s="227"/>
      <c r="L250" s="227"/>
      <c r="M250" s="210" t="str">
        <f t="shared" si="67"/>
        <v/>
      </c>
      <c r="N250" s="210"/>
      <c r="O250" s="207"/>
      <c r="P250" s="182" t="str">
        <f t="shared" si="52"/>
        <v/>
      </c>
      <c r="Q250" s="183" t="str">
        <f t="shared" si="63"/>
        <v/>
      </c>
      <c r="R250" s="182" t="str">
        <f>IF(M250&lt;&gt;"",IF(#REF!*F250*10=0,"",#REF!*F250*10),"")</f>
        <v/>
      </c>
      <c r="S250" s="184" t="str">
        <f t="shared" si="64"/>
        <v/>
      </c>
      <c r="T250" s="185" t="str">
        <f t="shared" si="53"/>
        <v/>
      </c>
      <c r="U250" s="183" t="str">
        <f t="shared" si="65"/>
        <v/>
      </c>
      <c r="V250" s="186" t="str">
        <f t="shared" si="54"/>
        <v/>
      </c>
      <c r="W250" s="186" t="str">
        <f t="shared" si="55"/>
        <v/>
      </c>
      <c r="X250" s="187" t="str">
        <f t="shared" si="56"/>
        <v/>
      </c>
      <c r="Y250" s="182" t="str">
        <f t="shared" si="66"/>
        <v/>
      </c>
      <c r="Z250" s="209" t="str">
        <f t="shared" si="57"/>
        <v/>
      </c>
      <c r="AA250" s="209" t="str">
        <f t="shared" si="58"/>
        <v/>
      </c>
      <c r="AB250" s="200"/>
      <c r="AC250" s="192"/>
    </row>
    <row r="251" spans="1:29" ht="11.4">
      <c r="A251" s="211" t="str">
        <f t="shared" si="59"/>
        <v/>
      </c>
      <c r="B251" s="211"/>
      <c r="C251" s="215"/>
      <c r="D251" s="213" t="str">
        <f t="shared" si="60"/>
        <v/>
      </c>
      <c r="E251" s="213" t="str">
        <f t="shared" si="68"/>
        <v/>
      </c>
      <c r="F251" s="214" t="str">
        <f t="shared" si="61"/>
        <v/>
      </c>
      <c r="G251" s="180"/>
      <c r="H251" s="181" t="str">
        <f t="shared" si="62"/>
        <v/>
      </c>
      <c r="I251" s="227"/>
      <c r="J251" s="227"/>
      <c r="K251" s="227"/>
      <c r="L251" s="227"/>
      <c r="M251" s="210" t="str">
        <f t="shared" si="67"/>
        <v/>
      </c>
      <c r="N251" s="210"/>
      <c r="O251" s="207"/>
      <c r="P251" s="182" t="str">
        <f t="shared" si="52"/>
        <v/>
      </c>
      <c r="Q251" s="183" t="str">
        <f t="shared" si="63"/>
        <v/>
      </c>
      <c r="R251" s="182" t="str">
        <f>IF(M251&lt;&gt;"",IF(#REF!*F251*10=0,"",#REF!*F251*10),"")</f>
        <v/>
      </c>
      <c r="S251" s="184" t="str">
        <f t="shared" si="64"/>
        <v/>
      </c>
      <c r="T251" s="185" t="str">
        <f t="shared" si="53"/>
        <v/>
      </c>
      <c r="U251" s="183" t="str">
        <f t="shared" si="65"/>
        <v/>
      </c>
      <c r="V251" s="186" t="str">
        <f t="shared" si="54"/>
        <v/>
      </c>
      <c r="W251" s="186" t="str">
        <f t="shared" si="55"/>
        <v/>
      </c>
      <c r="X251" s="187" t="str">
        <f t="shared" si="56"/>
        <v/>
      </c>
      <c r="Y251" s="182" t="str">
        <f t="shared" si="66"/>
        <v/>
      </c>
      <c r="Z251" s="209" t="str">
        <f t="shared" si="57"/>
        <v/>
      </c>
      <c r="AA251" s="209" t="str">
        <f t="shared" si="58"/>
        <v/>
      </c>
      <c r="AB251" s="200"/>
      <c r="AC251" s="192"/>
    </row>
    <row r="252" spans="1:29" ht="11.4">
      <c r="A252" s="211" t="str">
        <f t="shared" si="59"/>
        <v/>
      </c>
      <c r="B252" s="211"/>
      <c r="C252" s="215"/>
      <c r="D252" s="213" t="str">
        <f t="shared" si="60"/>
        <v/>
      </c>
      <c r="E252" s="213" t="str">
        <f t="shared" si="68"/>
        <v/>
      </c>
      <c r="F252" s="214" t="str">
        <f t="shared" si="61"/>
        <v/>
      </c>
      <c r="G252" s="180"/>
      <c r="H252" s="181" t="str">
        <f t="shared" si="62"/>
        <v/>
      </c>
      <c r="I252" s="227"/>
      <c r="J252" s="227"/>
      <c r="K252" s="227"/>
      <c r="L252" s="227"/>
      <c r="M252" s="210" t="str">
        <f t="shared" si="67"/>
        <v/>
      </c>
      <c r="N252" s="210"/>
      <c r="O252" s="207"/>
      <c r="P252" s="182" t="str">
        <f t="shared" si="52"/>
        <v/>
      </c>
      <c r="Q252" s="183" t="str">
        <f t="shared" si="63"/>
        <v/>
      </c>
      <c r="R252" s="182" t="str">
        <f>IF(M252&lt;&gt;"",IF(#REF!*F252*10=0,"",#REF!*F252*10),"")</f>
        <v/>
      </c>
      <c r="S252" s="184" t="str">
        <f t="shared" si="64"/>
        <v/>
      </c>
      <c r="T252" s="185" t="str">
        <f t="shared" si="53"/>
        <v/>
      </c>
      <c r="U252" s="183" t="str">
        <f t="shared" si="65"/>
        <v/>
      </c>
      <c r="V252" s="186" t="str">
        <f t="shared" si="54"/>
        <v/>
      </c>
      <c r="W252" s="186" t="str">
        <f t="shared" si="55"/>
        <v/>
      </c>
      <c r="X252" s="187" t="str">
        <f t="shared" si="56"/>
        <v/>
      </c>
      <c r="Y252" s="182" t="str">
        <f t="shared" si="66"/>
        <v/>
      </c>
      <c r="Z252" s="209" t="str">
        <f t="shared" si="57"/>
        <v/>
      </c>
      <c r="AA252" s="209" t="str">
        <f t="shared" si="58"/>
        <v/>
      </c>
      <c r="AB252" s="200"/>
      <c r="AC252" s="192"/>
    </row>
    <row r="253" spans="1:29" ht="11.4">
      <c r="A253" s="211" t="str">
        <f t="shared" si="59"/>
        <v/>
      </c>
      <c r="B253" s="211"/>
      <c r="C253" s="215"/>
      <c r="D253" s="213" t="str">
        <f t="shared" si="60"/>
        <v/>
      </c>
      <c r="E253" s="213" t="str">
        <f t="shared" si="68"/>
        <v/>
      </c>
      <c r="F253" s="214" t="str">
        <f t="shared" si="61"/>
        <v/>
      </c>
      <c r="G253" s="180"/>
      <c r="H253" s="181" t="str">
        <f t="shared" si="62"/>
        <v/>
      </c>
      <c r="I253" s="227"/>
      <c r="J253" s="227"/>
      <c r="K253" s="227"/>
      <c r="L253" s="227"/>
      <c r="M253" s="210" t="str">
        <f t="shared" si="67"/>
        <v/>
      </c>
      <c r="N253" s="210"/>
      <c r="O253" s="207"/>
      <c r="P253" s="182" t="str">
        <f t="shared" si="52"/>
        <v/>
      </c>
      <c r="Q253" s="183" t="str">
        <f t="shared" si="63"/>
        <v/>
      </c>
      <c r="R253" s="182" t="str">
        <f>IF(M253&lt;&gt;"",IF(#REF!*F253*10=0,"",#REF!*F253*10),"")</f>
        <v/>
      </c>
      <c r="S253" s="184" t="str">
        <f t="shared" si="64"/>
        <v/>
      </c>
      <c r="T253" s="185" t="str">
        <f t="shared" si="53"/>
        <v/>
      </c>
      <c r="U253" s="183" t="str">
        <f t="shared" si="65"/>
        <v/>
      </c>
      <c r="V253" s="186" t="str">
        <f t="shared" si="54"/>
        <v/>
      </c>
      <c r="W253" s="186" t="str">
        <f t="shared" si="55"/>
        <v/>
      </c>
      <c r="X253" s="187" t="str">
        <f t="shared" si="56"/>
        <v/>
      </c>
      <c r="Y253" s="182" t="str">
        <f t="shared" si="66"/>
        <v/>
      </c>
      <c r="Z253" s="209" t="str">
        <f t="shared" si="57"/>
        <v/>
      </c>
      <c r="AA253" s="209" t="str">
        <f t="shared" si="58"/>
        <v/>
      </c>
      <c r="AB253" s="200"/>
      <c r="AC253" s="192"/>
    </row>
    <row r="254" spans="1:29" ht="11.4">
      <c r="A254" s="211" t="str">
        <f t="shared" si="59"/>
        <v/>
      </c>
      <c r="B254" s="211"/>
      <c r="C254" s="215"/>
      <c r="D254" s="213" t="str">
        <f t="shared" si="60"/>
        <v/>
      </c>
      <c r="E254" s="213" t="str">
        <f t="shared" si="68"/>
        <v/>
      </c>
      <c r="F254" s="214" t="str">
        <f t="shared" si="61"/>
        <v/>
      </c>
      <c r="G254" s="180"/>
      <c r="H254" s="181" t="str">
        <f t="shared" si="62"/>
        <v/>
      </c>
      <c r="I254" s="227"/>
      <c r="J254" s="227"/>
      <c r="K254" s="227"/>
      <c r="L254" s="227"/>
      <c r="M254" s="210" t="str">
        <f t="shared" si="67"/>
        <v/>
      </c>
      <c r="N254" s="210"/>
      <c r="O254" s="207"/>
      <c r="P254" s="182" t="str">
        <f t="shared" si="52"/>
        <v/>
      </c>
      <c r="Q254" s="183" t="str">
        <f t="shared" si="63"/>
        <v/>
      </c>
      <c r="R254" s="182" t="str">
        <f>IF(M254&lt;&gt;"",IF(#REF!*F254*10=0,"",#REF!*F254*10),"")</f>
        <v/>
      </c>
      <c r="S254" s="184" t="str">
        <f t="shared" si="64"/>
        <v/>
      </c>
      <c r="T254" s="185" t="str">
        <f t="shared" si="53"/>
        <v/>
      </c>
      <c r="U254" s="183" t="str">
        <f t="shared" si="65"/>
        <v/>
      </c>
      <c r="V254" s="186" t="str">
        <f t="shared" si="54"/>
        <v/>
      </c>
      <c r="W254" s="186" t="str">
        <f t="shared" si="55"/>
        <v/>
      </c>
      <c r="X254" s="187" t="str">
        <f t="shared" si="56"/>
        <v/>
      </c>
      <c r="Y254" s="182" t="str">
        <f t="shared" si="66"/>
        <v/>
      </c>
      <c r="Z254" s="209" t="str">
        <f t="shared" si="57"/>
        <v/>
      </c>
      <c r="AA254" s="209" t="str">
        <f t="shared" si="58"/>
        <v/>
      </c>
      <c r="AB254" s="200"/>
      <c r="AC254" s="192"/>
    </row>
    <row r="255" spans="1:29" ht="11.4">
      <c r="A255" s="211" t="str">
        <f t="shared" si="59"/>
        <v/>
      </c>
      <c r="B255" s="211"/>
      <c r="C255" s="215"/>
      <c r="D255" s="213" t="str">
        <f t="shared" si="60"/>
        <v/>
      </c>
      <c r="E255" s="213" t="str">
        <f t="shared" si="68"/>
        <v/>
      </c>
      <c r="F255" s="214" t="str">
        <f t="shared" si="61"/>
        <v/>
      </c>
      <c r="G255" s="180"/>
      <c r="H255" s="181" t="str">
        <f t="shared" si="62"/>
        <v/>
      </c>
      <c r="I255" s="227"/>
      <c r="J255" s="227"/>
      <c r="K255" s="227"/>
      <c r="L255" s="227"/>
      <c r="M255" s="210" t="str">
        <f t="shared" si="67"/>
        <v/>
      </c>
      <c r="N255" s="210"/>
      <c r="O255" s="207"/>
      <c r="P255" s="182" t="str">
        <f t="shared" si="52"/>
        <v/>
      </c>
      <c r="Q255" s="183" t="str">
        <f t="shared" si="63"/>
        <v/>
      </c>
      <c r="R255" s="182" t="str">
        <f>IF(M255&lt;&gt;"",IF(#REF!*F255*10=0,"",#REF!*F255*10),"")</f>
        <v/>
      </c>
      <c r="S255" s="184" t="str">
        <f t="shared" si="64"/>
        <v/>
      </c>
      <c r="T255" s="185" t="str">
        <f t="shared" si="53"/>
        <v/>
      </c>
      <c r="U255" s="183" t="str">
        <f t="shared" si="65"/>
        <v/>
      </c>
      <c r="V255" s="186" t="str">
        <f t="shared" si="54"/>
        <v/>
      </c>
      <c r="W255" s="186" t="str">
        <f t="shared" si="55"/>
        <v/>
      </c>
      <c r="X255" s="187" t="str">
        <f t="shared" si="56"/>
        <v/>
      </c>
      <c r="Y255" s="182" t="str">
        <f t="shared" si="66"/>
        <v/>
      </c>
      <c r="Z255" s="209" t="str">
        <f t="shared" si="57"/>
        <v/>
      </c>
      <c r="AA255" s="209" t="str">
        <f t="shared" si="58"/>
        <v/>
      </c>
      <c r="AB255" s="200"/>
      <c r="AC255" s="192"/>
    </row>
    <row r="256" spans="1:29" ht="11.4">
      <c r="A256" s="211" t="str">
        <f t="shared" si="59"/>
        <v/>
      </c>
      <c r="B256" s="211"/>
      <c r="C256" s="215"/>
      <c r="D256" s="213" t="str">
        <f t="shared" si="60"/>
        <v/>
      </c>
      <c r="E256" s="213" t="str">
        <f t="shared" si="68"/>
        <v/>
      </c>
      <c r="F256" s="214" t="str">
        <f t="shared" si="61"/>
        <v/>
      </c>
      <c r="G256" s="180"/>
      <c r="H256" s="181" t="str">
        <f t="shared" si="62"/>
        <v/>
      </c>
      <c r="I256" s="227"/>
      <c r="J256" s="227"/>
      <c r="K256" s="227"/>
      <c r="L256" s="227"/>
      <c r="M256" s="210" t="str">
        <f t="shared" si="67"/>
        <v/>
      </c>
      <c r="N256" s="210"/>
      <c r="O256" s="207"/>
      <c r="P256" s="182" t="str">
        <f t="shared" si="52"/>
        <v/>
      </c>
      <c r="Q256" s="183" t="str">
        <f t="shared" si="63"/>
        <v/>
      </c>
      <c r="R256" s="182" t="str">
        <f>IF(M256&lt;&gt;"",IF(#REF!*F256*10=0,"",#REF!*F256*10),"")</f>
        <v/>
      </c>
      <c r="S256" s="184" t="str">
        <f t="shared" si="64"/>
        <v/>
      </c>
      <c r="T256" s="185" t="str">
        <f t="shared" si="53"/>
        <v/>
      </c>
      <c r="U256" s="183" t="str">
        <f t="shared" si="65"/>
        <v/>
      </c>
      <c r="V256" s="186" t="str">
        <f t="shared" si="54"/>
        <v/>
      </c>
      <c r="W256" s="186" t="str">
        <f t="shared" si="55"/>
        <v/>
      </c>
      <c r="X256" s="187" t="str">
        <f t="shared" si="56"/>
        <v/>
      </c>
      <c r="Y256" s="182" t="str">
        <f t="shared" si="66"/>
        <v/>
      </c>
      <c r="Z256" s="209" t="str">
        <f t="shared" si="57"/>
        <v/>
      </c>
      <c r="AA256" s="209" t="str">
        <f t="shared" si="58"/>
        <v/>
      </c>
      <c r="AB256" s="200"/>
      <c r="AC256" s="192"/>
    </row>
    <row r="257" spans="1:29" ht="11.4">
      <c r="A257" s="211" t="str">
        <f t="shared" si="59"/>
        <v/>
      </c>
      <c r="B257" s="211"/>
      <c r="C257" s="215"/>
      <c r="D257" s="213" t="str">
        <f t="shared" si="60"/>
        <v/>
      </c>
      <c r="E257" s="213" t="str">
        <f t="shared" si="68"/>
        <v/>
      </c>
      <c r="F257" s="214" t="str">
        <f t="shared" si="61"/>
        <v/>
      </c>
      <c r="G257" s="180"/>
      <c r="H257" s="181" t="str">
        <f t="shared" si="62"/>
        <v/>
      </c>
      <c r="I257" s="227"/>
      <c r="J257" s="227"/>
      <c r="K257" s="227"/>
      <c r="L257" s="227"/>
      <c r="M257" s="210" t="str">
        <f t="shared" si="67"/>
        <v/>
      </c>
      <c r="N257" s="210"/>
      <c r="O257" s="207"/>
      <c r="P257" s="182" t="str">
        <f t="shared" si="52"/>
        <v/>
      </c>
      <c r="Q257" s="183" t="str">
        <f t="shared" si="63"/>
        <v/>
      </c>
      <c r="R257" s="182" t="str">
        <f>IF(M257&lt;&gt;"",IF(#REF!*F257*10=0,"",#REF!*F257*10),"")</f>
        <v/>
      </c>
      <c r="S257" s="184" t="str">
        <f t="shared" si="64"/>
        <v/>
      </c>
      <c r="T257" s="185" t="str">
        <f t="shared" si="53"/>
        <v/>
      </c>
      <c r="U257" s="183" t="str">
        <f t="shared" si="65"/>
        <v/>
      </c>
      <c r="V257" s="186" t="str">
        <f t="shared" si="54"/>
        <v/>
      </c>
      <c r="W257" s="186" t="str">
        <f t="shared" si="55"/>
        <v/>
      </c>
      <c r="X257" s="187" t="str">
        <f t="shared" si="56"/>
        <v/>
      </c>
      <c r="Y257" s="182" t="str">
        <f t="shared" si="66"/>
        <v/>
      </c>
      <c r="Z257" s="209" t="str">
        <f t="shared" si="57"/>
        <v/>
      </c>
      <c r="AA257" s="209" t="str">
        <f t="shared" si="58"/>
        <v/>
      </c>
      <c r="AB257" s="200"/>
      <c r="AC257" s="192"/>
    </row>
    <row r="258" spans="1:29" ht="11.4">
      <c r="A258" s="211" t="str">
        <f t="shared" si="59"/>
        <v/>
      </c>
      <c r="B258" s="211"/>
      <c r="C258" s="215"/>
      <c r="D258" s="213" t="str">
        <f t="shared" si="60"/>
        <v/>
      </c>
      <c r="E258" s="213" t="str">
        <f t="shared" si="68"/>
        <v/>
      </c>
      <c r="F258" s="214" t="str">
        <f t="shared" si="61"/>
        <v/>
      </c>
      <c r="G258" s="180"/>
      <c r="H258" s="181" t="str">
        <f t="shared" si="62"/>
        <v/>
      </c>
      <c r="I258" s="227"/>
      <c r="J258" s="227"/>
      <c r="K258" s="227"/>
      <c r="L258" s="227"/>
      <c r="M258" s="210" t="str">
        <f t="shared" si="67"/>
        <v/>
      </c>
      <c r="N258" s="210"/>
      <c r="O258" s="207"/>
      <c r="P258" s="182" t="str">
        <f t="shared" si="52"/>
        <v/>
      </c>
      <c r="Q258" s="183" t="str">
        <f t="shared" si="63"/>
        <v/>
      </c>
      <c r="R258" s="182" t="str">
        <f>IF(M258&lt;&gt;"",IF(#REF!*F258*10=0,"",#REF!*F258*10),"")</f>
        <v/>
      </c>
      <c r="S258" s="184" t="str">
        <f t="shared" si="64"/>
        <v/>
      </c>
      <c r="T258" s="185" t="str">
        <f t="shared" si="53"/>
        <v/>
      </c>
      <c r="U258" s="183" t="str">
        <f t="shared" si="65"/>
        <v/>
      </c>
      <c r="V258" s="186" t="str">
        <f t="shared" si="54"/>
        <v/>
      </c>
      <c r="W258" s="186" t="str">
        <f t="shared" si="55"/>
        <v/>
      </c>
      <c r="X258" s="187" t="str">
        <f t="shared" si="56"/>
        <v/>
      </c>
      <c r="Y258" s="182" t="str">
        <f t="shared" si="66"/>
        <v/>
      </c>
      <c r="Z258" s="209" t="str">
        <f t="shared" si="57"/>
        <v/>
      </c>
      <c r="AA258" s="209" t="str">
        <f t="shared" si="58"/>
        <v/>
      </c>
      <c r="AB258" s="200"/>
      <c r="AC258" s="192"/>
    </row>
    <row r="259" spans="1:29" ht="11.4">
      <c r="A259" s="211" t="str">
        <f t="shared" si="59"/>
        <v/>
      </c>
      <c r="B259" s="211"/>
      <c r="C259" s="215"/>
      <c r="D259" s="213" t="str">
        <f t="shared" si="60"/>
        <v/>
      </c>
      <c r="E259" s="213" t="str">
        <f t="shared" si="68"/>
        <v/>
      </c>
      <c r="F259" s="214" t="str">
        <f t="shared" si="61"/>
        <v/>
      </c>
      <c r="G259" s="180"/>
      <c r="H259" s="181" t="str">
        <f t="shared" si="62"/>
        <v/>
      </c>
      <c r="I259" s="227"/>
      <c r="J259" s="227"/>
      <c r="K259" s="227"/>
      <c r="L259" s="227"/>
      <c r="M259" s="210" t="str">
        <f t="shared" si="67"/>
        <v/>
      </c>
      <c r="N259" s="210"/>
      <c r="O259" s="207"/>
      <c r="P259" s="182" t="str">
        <f t="shared" si="52"/>
        <v/>
      </c>
      <c r="Q259" s="183" t="str">
        <f t="shared" si="63"/>
        <v/>
      </c>
      <c r="R259" s="182" t="str">
        <f>IF(M259&lt;&gt;"",IF(#REF!*F259*10=0,"",#REF!*F259*10),"")</f>
        <v/>
      </c>
      <c r="S259" s="184" t="str">
        <f t="shared" si="64"/>
        <v/>
      </c>
      <c r="T259" s="185" t="str">
        <f t="shared" si="53"/>
        <v/>
      </c>
      <c r="U259" s="183" t="str">
        <f t="shared" si="65"/>
        <v/>
      </c>
      <c r="V259" s="186" t="str">
        <f t="shared" si="54"/>
        <v/>
      </c>
      <c r="W259" s="186" t="str">
        <f t="shared" si="55"/>
        <v/>
      </c>
      <c r="X259" s="187" t="str">
        <f t="shared" si="56"/>
        <v/>
      </c>
      <c r="Y259" s="182" t="str">
        <f t="shared" si="66"/>
        <v/>
      </c>
      <c r="Z259" s="209" t="str">
        <f t="shared" si="57"/>
        <v/>
      </c>
      <c r="AA259" s="209" t="str">
        <f t="shared" si="58"/>
        <v/>
      </c>
      <c r="AB259" s="200"/>
      <c r="AC259" s="192"/>
    </row>
    <row r="260" spans="1:29" ht="11.4">
      <c r="A260" s="211" t="str">
        <f t="shared" si="59"/>
        <v/>
      </c>
      <c r="B260" s="211"/>
      <c r="C260" s="215"/>
      <c r="D260" s="213" t="str">
        <f t="shared" si="60"/>
        <v/>
      </c>
      <c r="E260" s="213" t="str">
        <f t="shared" si="68"/>
        <v/>
      </c>
      <c r="F260" s="214" t="str">
        <f t="shared" si="61"/>
        <v/>
      </c>
      <c r="G260" s="180"/>
      <c r="H260" s="181" t="str">
        <f t="shared" si="62"/>
        <v/>
      </c>
      <c r="I260" s="227"/>
      <c r="J260" s="227"/>
      <c r="K260" s="227"/>
      <c r="L260" s="227"/>
      <c r="M260" s="210" t="str">
        <f t="shared" si="67"/>
        <v/>
      </c>
      <c r="N260" s="210"/>
      <c r="O260" s="207"/>
      <c r="P260" s="182" t="str">
        <f t="shared" si="52"/>
        <v/>
      </c>
      <c r="Q260" s="183" t="str">
        <f t="shared" si="63"/>
        <v/>
      </c>
      <c r="R260" s="182" t="str">
        <f>IF(M260&lt;&gt;"",IF(#REF!*F260*10=0,"",#REF!*F260*10),"")</f>
        <v/>
      </c>
      <c r="S260" s="184" t="str">
        <f t="shared" si="64"/>
        <v/>
      </c>
      <c r="T260" s="185" t="str">
        <f t="shared" si="53"/>
        <v/>
      </c>
      <c r="U260" s="183" t="str">
        <f t="shared" si="65"/>
        <v/>
      </c>
      <c r="V260" s="186" t="str">
        <f t="shared" si="54"/>
        <v/>
      </c>
      <c r="W260" s="186" t="str">
        <f t="shared" si="55"/>
        <v/>
      </c>
      <c r="X260" s="187" t="str">
        <f t="shared" si="56"/>
        <v/>
      </c>
      <c r="Y260" s="182" t="str">
        <f t="shared" si="66"/>
        <v/>
      </c>
      <c r="Z260" s="209" t="str">
        <f t="shared" si="57"/>
        <v/>
      </c>
      <c r="AA260" s="209" t="str">
        <f t="shared" si="58"/>
        <v/>
      </c>
      <c r="AB260" s="200"/>
      <c r="AC260" s="192"/>
    </row>
    <row r="261" spans="1:29" ht="11.4">
      <c r="A261" s="211" t="str">
        <f t="shared" si="59"/>
        <v/>
      </c>
      <c r="B261" s="211"/>
      <c r="C261" s="215"/>
      <c r="D261" s="213" t="str">
        <f t="shared" si="60"/>
        <v/>
      </c>
      <c r="E261" s="213" t="str">
        <f t="shared" si="68"/>
        <v/>
      </c>
      <c r="F261" s="214" t="str">
        <f t="shared" si="61"/>
        <v/>
      </c>
      <c r="G261" s="180"/>
      <c r="H261" s="181" t="str">
        <f t="shared" si="62"/>
        <v/>
      </c>
      <c r="I261" s="227"/>
      <c r="J261" s="227"/>
      <c r="K261" s="227"/>
      <c r="L261" s="227"/>
      <c r="M261" s="210" t="str">
        <f t="shared" si="67"/>
        <v/>
      </c>
      <c r="N261" s="210"/>
      <c r="O261" s="207"/>
      <c r="P261" s="182" t="str">
        <f t="shared" si="52"/>
        <v/>
      </c>
      <c r="Q261" s="183" t="str">
        <f t="shared" si="63"/>
        <v/>
      </c>
      <c r="R261" s="182" t="str">
        <f>IF(M261&lt;&gt;"",IF(#REF!*F261*10=0,"",#REF!*F261*10),"")</f>
        <v/>
      </c>
      <c r="S261" s="184" t="str">
        <f t="shared" si="64"/>
        <v/>
      </c>
      <c r="T261" s="185" t="str">
        <f t="shared" si="53"/>
        <v/>
      </c>
      <c r="U261" s="183" t="str">
        <f t="shared" si="65"/>
        <v/>
      </c>
      <c r="V261" s="186" t="str">
        <f t="shared" si="54"/>
        <v/>
      </c>
      <c r="W261" s="186" t="str">
        <f t="shared" si="55"/>
        <v/>
      </c>
      <c r="X261" s="187" t="str">
        <f t="shared" si="56"/>
        <v/>
      </c>
      <c r="Y261" s="182" t="str">
        <f t="shared" si="66"/>
        <v/>
      </c>
      <c r="Z261" s="209" t="str">
        <f t="shared" si="57"/>
        <v/>
      </c>
      <c r="AA261" s="209" t="str">
        <f t="shared" si="58"/>
        <v/>
      </c>
      <c r="AB261" s="200"/>
      <c r="AC261" s="192"/>
    </row>
    <row r="262" spans="1:29" ht="11.4">
      <c r="A262" s="211" t="str">
        <f t="shared" si="59"/>
        <v/>
      </c>
      <c r="B262" s="211"/>
      <c r="C262" s="215"/>
      <c r="D262" s="213" t="str">
        <f t="shared" si="60"/>
        <v/>
      </c>
      <c r="E262" s="213" t="str">
        <f t="shared" si="68"/>
        <v/>
      </c>
      <c r="F262" s="214" t="str">
        <f t="shared" si="61"/>
        <v/>
      </c>
      <c r="G262" s="180"/>
      <c r="H262" s="181" t="str">
        <f t="shared" si="62"/>
        <v/>
      </c>
      <c r="I262" s="227"/>
      <c r="J262" s="227"/>
      <c r="K262" s="227"/>
      <c r="L262" s="227"/>
      <c r="M262" s="210" t="str">
        <f t="shared" si="67"/>
        <v/>
      </c>
      <c r="N262" s="210"/>
      <c r="O262" s="207"/>
      <c r="P262" s="182" t="str">
        <f t="shared" si="52"/>
        <v/>
      </c>
      <c r="Q262" s="183" t="str">
        <f t="shared" si="63"/>
        <v/>
      </c>
      <c r="R262" s="182" t="str">
        <f>IF(M262&lt;&gt;"",IF(#REF!*F262*10=0,"",#REF!*F262*10),"")</f>
        <v/>
      </c>
      <c r="S262" s="184" t="str">
        <f t="shared" si="64"/>
        <v/>
      </c>
      <c r="T262" s="185" t="str">
        <f t="shared" si="53"/>
        <v/>
      </c>
      <c r="U262" s="183" t="str">
        <f t="shared" si="65"/>
        <v/>
      </c>
      <c r="V262" s="186" t="str">
        <f t="shared" si="54"/>
        <v/>
      </c>
      <c r="W262" s="186" t="str">
        <f t="shared" si="55"/>
        <v/>
      </c>
      <c r="X262" s="187" t="str">
        <f t="shared" si="56"/>
        <v/>
      </c>
      <c r="Y262" s="182" t="str">
        <f t="shared" si="66"/>
        <v/>
      </c>
      <c r="Z262" s="209" t="str">
        <f t="shared" si="57"/>
        <v/>
      </c>
      <c r="AA262" s="209" t="str">
        <f t="shared" si="58"/>
        <v/>
      </c>
      <c r="AB262" s="200"/>
      <c r="AC262" s="192"/>
    </row>
    <row r="263" spans="1:29" ht="11.4">
      <c r="A263" s="211" t="str">
        <f t="shared" si="59"/>
        <v/>
      </c>
      <c r="B263" s="211"/>
      <c r="C263" s="215"/>
      <c r="D263" s="213" t="str">
        <f t="shared" si="60"/>
        <v/>
      </c>
      <c r="E263" s="213" t="str">
        <f t="shared" si="68"/>
        <v/>
      </c>
      <c r="F263" s="214" t="str">
        <f t="shared" si="61"/>
        <v/>
      </c>
      <c r="G263" s="180"/>
      <c r="H263" s="181" t="str">
        <f t="shared" si="62"/>
        <v/>
      </c>
      <c r="I263" s="227"/>
      <c r="J263" s="227"/>
      <c r="K263" s="227"/>
      <c r="L263" s="227"/>
      <c r="M263" s="210" t="str">
        <f t="shared" si="67"/>
        <v/>
      </c>
      <c r="N263" s="210"/>
      <c r="O263" s="207"/>
      <c r="P263" s="182" t="str">
        <f t="shared" si="52"/>
        <v/>
      </c>
      <c r="Q263" s="183" t="str">
        <f t="shared" si="63"/>
        <v/>
      </c>
      <c r="R263" s="182" t="str">
        <f>IF(M263&lt;&gt;"",IF(#REF!*F263*10=0,"",#REF!*F263*10),"")</f>
        <v/>
      </c>
      <c r="S263" s="184" t="str">
        <f t="shared" si="64"/>
        <v/>
      </c>
      <c r="T263" s="185" t="str">
        <f t="shared" si="53"/>
        <v/>
      </c>
      <c r="U263" s="183" t="str">
        <f t="shared" si="65"/>
        <v/>
      </c>
      <c r="V263" s="186" t="str">
        <f t="shared" si="54"/>
        <v/>
      </c>
      <c r="W263" s="186" t="str">
        <f t="shared" si="55"/>
        <v/>
      </c>
      <c r="X263" s="187" t="str">
        <f t="shared" si="56"/>
        <v/>
      </c>
      <c r="Y263" s="182" t="str">
        <f t="shared" si="66"/>
        <v/>
      </c>
      <c r="Z263" s="209" t="str">
        <f t="shared" si="57"/>
        <v/>
      </c>
      <c r="AA263" s="209" t="str">
        <f t="shared" si="58"/>
        <v/>
      </c>
      <c r="AB263" s="200"/>
      <c r="AC263" s="192"/>
    </row>
    <row r="264" spans="1:29" ht="11.4">
      <c r="A264" s="211" t="str">
        <f t="shared" si="59"/>
        <v/>
      </c>
      <c r="B264" s="211"/>
      <c r="C264" s="215"/>
      <c r="D264" s="213" t="str">
        <f t="shared" si="60"/>
        <v/>
      </c>
      <c r="E264" s="213" t="str">
        <f t="shared" si="68"/>
        <v/>
      </c>
      <c r="F264" s="214" t="str">
        <f t="shared" si="61"/>
        <v/>
      </c>
      <c r="G264" s="180"/>
      <c r="H264" s="181" t="str">
        <f t="shared" si="62"/>
        <v/>
      </c>
      <c r="I264" s="227"/>
      <c r="J264" s="227"/>
      <c r="K264" s="227"/>
      <c r="L264" s="227"/>
      <c r="M264" s="210" t="str">
        <f t="shared" si="67"/>
        <v/>
      </c>
      <c r="N264" s="210"/>
      <c r="O264" s="207"/>
      <c r="P264" s="182" t="str">
        <f t="shared" si="52"/>
        <v/>
      </c>
      <c r="Q264" s="183" t="str">
        <f t="shared" si="63"/>
        <v/>
      </c>
      <c r="R264" s="182" t="str">
        <f>IF(M264&lt;&gt;"",IF(#REF!*F264*10=0,"",#REF!*F264*10),"")</f>
        <v/>
      </c>
      <c r="S264" s="184" t="str">
        <f t="shared" si="64"/>
        <v/>
      </c>
      <c r="T264" s="185" t="str">
        <f t="shared" si="53"/>
        <v/>
      </c>
      <c r="U264" s="183" t="str">
        <f t="shared" si="65"/>
        <v/>
      </c>
      <c r="V264" s="186" t="str">
        <f t="shared" si="54"/>
        <v/>
      </c>
      <c r="W264" s="186" t="str">
        <f t="shared" si="55"/>
        <v/>
      </c>
      <c r="X264" s="187" t="str">
        <f t="shared" si="56"/>
        <v/>
      </c>
      <c r="Y264" s="182" t="str">
        <f t="shared" si="66"/>
        <v/>
      </c>
      <c r="Z264" s="209" t="str">
        <f t="shared" si="57"/>
        <v/>
      </c>
      <c r="AA264" s="209" t="str">
        <f t="shared" si="58"/>
        <v/>
      </c>
      <c r="AB264" s="200"/>
      <c r="AC264" s="192"/>
    </row>
    <row r="265" spans="1:29" ht="11.4">
      <c r="A265" s="211" t="str">
        <f t="shared" si="59"/>
        <v/>
      </c>
      <c r="B265" s="211"/>
      <c r="C265" s="215"/>
      <c r="D265" s="213" t="str">
        <f t="shared" si="60"/>
        <v/>
      </c>
      <c r="E265" s="213" t="str">
        <f t="shared" si="68"/>
        <v/>
      </c>
      <c r="F265" s="214" t="str">
        <f t="shared" si="61"/>
        <v/>
      </c>
      <c r="G265" s="180"/>
      <c r="H265" s="181" t="str">
        <f t="shared" si="62"/>
        <v/>
      </c>
      <c r="I265" s="227"/>
      <c r="J265" s="227"/>
      <c r="K265" s="227"/>
      <c r="L265" s="227"/>
      <c r="M265" s="210" t="str">
        <f t="shared" si="67"/>
        <v/>
      </c>
      <c r="N265" s="210"/>
      <c r="O265" s="207"/>
      <c r="P265" s="182" t="str">
        <f t="shared" si="52"/>
        <v/>
      </c>
      <c r="Q265" s="183" t="str">
        <f t="shared" si="63"/>
        <v/>
      </c>
      <c r="R265" s="182" t="str">
        <f>IF(M265&lt;&gt;"",IF(#REF!*F265*10=0,"",#REF!*F265*10),"")</f>
        <v/>
      </c>
      <c r="S265" s="184" t="str">
        <f t="shared" si="64"/>
        <v/>
      </c>
      <c r="T265" s="185" t="str">
        <f t="shared" si="53"/>
        <v/>
      </c>
      <c r="U265" s="183" t="str">
        <f t="shared" si="65"/>
        <v/>
      </c>
      <c r="V265" s="186" t="str">
        <f t="shared" si="54"/>
        <v/>
      </c>
      <c r="W265" s="186" t="str">
        <f t="shared" si="55"/>
        <v/>
      </c>
      <c r="X265" s="187" t="str">
        <f t="shared" si="56"/>
        <v/>
      </c>
      <c r="Y265" s="182" t="str">
        <f t="shared" si="66"/>
        <v/>
      </c>
      <c r="Z265" s="209" t="str">
        <f t="shared" si="57"/>
        <v/>
      </c>
      <c r="AA265" s="209" t="str">
        <f t="shared" si="58"/>
        <v/>
      </c>
      <c r="AB265" s="200"/>
      <c r="AC265" s="192"/>
    </row>
    <row r="266" spans="1:29" ht="11.4">
      <c r="A266" s="211" t="str">
        <f t="shared" si="59"/>
        <v/>
      </c>
      <c r="B266" s="211"/>
      <c r="C266" s="215"/>
      <c r="D266" s="213" t="str">
        <f t="shared" si="60"/>
        <v/>
      </c>
      <c r="E266" s="213" t="str">
        <f t="shared" si="68"/>
        <v/>
      </c>
      <c r="F266" s="214" t="str">
        <f t="shared" si="61"/>
        <v/>
      </c>
      <c r="G266" s="180"/>
      <c r="H266" s="181" t="str">
        <f t="shared" si="62"/>
        <v/>
      </c>
      <c r="I266" s="227"/>
      <c r="J266" s="227"/>
      <c r="K266" s="227"/>
      <c r="L266" s="227"/>
      <c r="M266" s="210" t="str">
        <f t="shared" si="67"/>
        <v/>
      </c>
      <c r="N266" s="210"/>
      <c r="O266" s="207"/>
      <c r="P266" s="182" t="str">
        <f t="shared" si="52"/>
        <v/>
      </c>
      <c r="Q266" s="183" t="str">
        <f t="shared" si="63"/>
        <v/>
      </c>
      <c r="R266" s="182" t="str">
        <f>IF(M266&lt;&gt;"",IF(#REF!*F266*10=0,"",#REF!*F266*10),"")</f>
        <v/>
      </c>
      <c r="S266" s="184" t="str">
        <f t="shared" si="64"/>
        <v/>
      </c>
      <c r="T266" s="185" t="str">
        <f t="shared" si="53"/>
        <v/>
      </c>
      <c r="U266" s="183" t="str">
        <f t="shared" si="65"/>
        <v/>
      </c>
      <c r="V266" s="186" t="str">
        <f t="shared" si="54"/>
        <v/>
      </c>
      <c r="W266" s="186" t="str">
        <f t="shared" si="55"/>
        <v/>
      </c>
      <c r="X266" s="187" t="str">
        <f t="shared" si="56"/>
        <v/>
      </c>
      <c r="Y266" s="182" t="str">
        <f t="shared" si="66"/>
        <v/>
      </c>
      <c r="Z266" s="209" t="str">
        <f t="shared" si="57"/>
        <v/>
      </c>
      <c r="AA266" s="209" t="str">
        <f t="shared" si="58"/>
        <v/>
      </c>
      <c r="AB266" s="200"/>
      <c r="AC266" s="192"/>
    </row>
    <row r="267" spans="1:29" ht="11.4">
      <c r="A267" s="211" t="str">
        <f t="shared" si="59"/>
        <v/>
      </c>
      <c r="B267" s="211"/>
      <c r="C267" s="215"/>
      <c r="D267" s="213" t="str">
        <f t="shared" si="60"/>
        <v/>
      </c>
      <c r="E267" s="213" t="str">
        <f t="shared" si="68"/>
        <v/>
      </c>
      <c r="F267" s="214" t="str">
        <f t="shared" si="61"/>
        <v/>
      </c>
      <c r="G267" s="180"/>
      <c r="H267" s="181" t="str">
        <f t="shared" si="62"/>
        <v/>
      </c>
      <c r="I267" s="227"/>
      <c r="J267" s="227"/>
      <c r="K267" s="227"/>
      <c r="L267" s="227"/>
      <c r="M267" s="210" t="str">
        <f t="shared" si="67"/>
        <v/>
      </c>
      <c r="N267" s="210"/>
      <c r="O267" s="207"/>
      <c r="P267" s="182" t="str">
        <f t="shared" si="52"/>
        <v/>
      </c>
      <c r="Q267" s="183" t="str">
        <f t="shared" si="63"/>
        <v/>
      </c>
      <c r="R267" s="182" t="str">
        <f>IF(M267&lt;&gt;"",IF(#REF!*F267*10=0,"",#REF!*F267*10),"")</f>
        <v/>
      </c>
      <c r="S267" s="184" t="str">
        <f t="shared" si="64"/>
        <v/>
      </c>
      <c r="T267" s="185" t="str">
        <f t="shared" si="53"/>
        <v/>
      </c>
      <c r="U267" s="183" t="str">
        <f t="shared" si="65"/>
        <v/>
      </c>
      <c r="V267" s="186" t="str">
        <f t="shared" si="54"/>
        <v/>
      </c>
      <c r="W267" s="186" t="str">
        <f t="shared" si="55"/>
        <v/>
      </c>
      <c r="X267" s="187" t="str">
        <f t="shared" si="56"/>
        <v/>
      </c>
      <c r="Y267" s="182" t="str">
        <f t="shared" si="66"/>
        <v/>
      </c>
      <c r="Z267" s="209" t="str">
        <f t="shared" si="57"/>
        <v/>
      </c>
      <c r="AA267" s="209" t="str">
        <f t="shared" si="58"/>
        <v/>
      </c>
      <c r="AB267" s="200"/>
      <c r="AC267" s="192"/>
    </row>
    <row r="268" spans="1:29" ht="11.4">
      <c r="A268" s="211" t="str">
        <f t="shared" si="59"/>
        <v/>
      </c>
      <c r="B268" s="211"/>
      <c r="C268" s="215"/>
      <c r="D268" s="213" t="str">
        <f t="shared" si="60"/>
        <v/>
      </c>
      <c r="E268" s="213" t="str">
        <f t="shared" si="68"/>
        <v/>
      </c>
      <c r="F268" s="214" t="str">
        <f t="shared" si="61"/>
        <v/>
      </c>
      <c r="G268" s="180"/>
      <c r="H268" s="181" t="str">
        <f t="shared" si="62"/>
        <v/>
      </c>
      <c r="I268" s="227"/>
      <c r="J268" s="227"/>
      <c r="K268" s="227"/>
      <c r="L268" s="227"/>
      <c r="M268" s="210" t="str">
        <f t="shared" si="67"/>
        <v/>
      </c>
      <c r="N268" s="210"/>
      <c r="O268" s="207"/>
      <c r="P268" s="182" t="str">
        <f t="shared" ref="P268:P331" si="69">IF(M268="","",IF(L268*F268*$D$3=0,0,L268*F268*$D$3))</f>
        <v/>
      </c>
      <c r="Q268" s="183" t="str">
        <f t="shared" si="63"/>
        <v/>
      </c>
      <c r="R268" s="182" t="str">
        <f>IF(M268&lt;&gt;"",IF(#REF!*F268*10=0,"",#REF!*F268*10),"")</f>
        <v/>
      </c>
      <c r="S268" s="184" t="str">
        <f t="shared" si="64"/>
        <v/>
      </c>
      <c r="T268" s="185" t="str">
        <f t="shared" ref="T268:T331" si="70">IF(X268="","",X268*F268*$D$3)</f>
        <v/>
      </c>
      <c r="U268" s="183" t="str">
        <f t="shared" si="65"/>
        <v/>
      </c>
      <c r="V268" s="186" t="str">
        <f t="shared" ref="V268:V331" si="71">IF(M268="","",IF(AND(M268&gt;I268,H268="L"),1, IF(AND(I268&gt;M268,H268="S"),1,0)))</f>
        <v/>
      </c>
      <c r="W268" s="186" t="str">
        <f t="shared" ref="W268:W331" si="72">IF(M268="","",IF(AND(M268&lt;I268,H268="L"),1, IF(AND(I268&lt;M268,H268="S"),1,0)))</f>
        <v/>
      </c>
      <c r="X268" s="187" t="str">
        <f t="shared" ref="X268:X331" si="73">IF((M268=""),"",IF(H268="Buy",1,-1)*(M268-I268)*IF(LEN(RIGHT(I268,LEN(I268)-FIND(".",I268)))&gt;3,10000,100))</f>
        <v/>
      </c>
      <c r="Y268" s="182" t="str">
        <f t="shared" si="66"/>
        <v/>
      </c>
      <c r="Z268" s="209" t="str">
        <f t="shared" ref="Z268:Z331" si="74">IF(C268="","",MONTH(LEFT(C268,8)))</f>
        <v/>
      </c>
      <c r="AA268" s="209" t="str">
        <f t="shared" ref="AA268:AA331" si="75">IF(C268="","",YEAR(LEFT(C268,8)))</f>
        <v/>
      </c>
      <c r="AB268" s="200"/>
      <c r="AC268" s="192"/>
    </row>
    <row r="269" spans="1:29" ht="11.4">
      <c r="A269" s="211" t="str">
        <f t="shared" ref="A269:A332" si="76">IF(D269="","",1)</f>
        <v/>
      </c>
      <c r="B269" s="211"/>
      <c r="C269" s="215"/>
      <c r="D269" s="213" t="str">
        <f t="shared" ref="D269:D332" si="77">IF(G269="","","SUGAR")</f>
        <v/>
      </c>
      <c r="E269" s="213" t="str">
        <f t="shared" si="68"/>
        <v/>
      </c>
      <c r="F269" s="214" t="str">
        <f t="shared" ref="F269:F332" si="78">IF(G269="","",0.01)</f>
        <v/>
      </c>
      <c r="G269" s="180"/>
      <c r="H269" s="181" t="str">
        <f t="shared" ref="H269:H332" si="79">IF(G269="","",IF(OR(G269="第二类买点",G269="第三类买点"),"Buy","Sell"))</f>
        <v/>
      </c>
      <c r="I269" s="227"/>
      <c r="J269" s="227"/>
      <c r="K269" s="227"/>
      <c r="L269" s="227"/>
      <c r="M269" s="210" t="str">
        <f t="shared" si="67"/>
        <v/>
      </c>
      <c r="N269" s="210"/>
      <c r="O269" s="207"/>
      <c r="P269" s="182" t="str">
        <f t="shared" si="69"/>
        <v/>
      </c>
      <c r="Q269" s="183" t="str">
        <f t="shared" ref="Q269:Q332" si="80">IF(P269="","",IF(P269=0,0,P269/$I$4))</f>
        <v/>
      </c>
      <c r="R269" s="182" t="str">
        <f>IF(M269&lt;&gt;"",IF(#REF!*F269*10=0,"",#REF!*F269*10),"")</f>
        <v/>
      </c>
      <c r="S269" s="184" t="str">
        <f t="shared" ref="S269:S332" si="81">IF(P269="","",IF(P269=0,0,R269/P269))</f>
        <v/>
      </c>
      <c r="T269" s="185" t="str">
        <f t="shared" si="70"/>
        <v/>
      </c>
      <c r="U269" s="183" t="str">
        <f t="shared" ref="U269:U332" si="82">IF(T269="","",IF($I$4="","",T269/$I$4))</f>
        <v/>
      </c>
      <c r="V269" s="186" t="str">
        <f t="shared" si="71"/>
        <v/>
      </c>
      <c r="W269" s="186" t="str">
        <f t="shared" si="72"/>
        <v/>
      </c>
      <c r="X269" s="187" t="str">
        <f t="shared" si="73"/>
        <v/>
      </c>
      <c r="Y269" s="182" t="str">
        <f t="shared" si="66"/>
        <v/>
      </c>
      <c r="Z269" s="209" t="str">
        <f t="shared" si="74"/>
        <v/>
      </c>
      <c r="AA269" s="209" t="str">
        <f t="shared" si="75"/>
        <v/>
      </c>
      <c r="AB269" s="200"/>
      <c r="AC269" s="192"/>
    </row>
    <row r="270" spans="1:29" ht="11.4">
      <c r="A270" s="211" t="str">
        <f t="shared" si="76"/>
        <v/>
      </c>
      <c r="B270" s="211"/>
      <c r="C270" s="215"/>
      <c r="D270" s="213" t="str">
        <f t="shared" si="77"/>
        <v/>
      </c>
      <c r="E270" s="213" t="str">
        <f t="shared" si="68"/>
        <v/>
      </c>
      <c r="F270" s="214" t="str">
        <f t="shared" si="78"/>
        <v/>
      </c>
      <c r="G270" s="180"/>
      <c r="H270" s="181" t="str">
        <f t="shared" si="79"/>
        <v/>
      </c>
      <c r="I270" s="227"/>
      <c r="J270" s="227"/>
      <c r="K270" s="227"/>
      <c r="L270" s="227"/>
      <c r="M270" s="210" t="str">
        <f t="shared" si="67"/>
        <v/>
      </c>
      <c r="N270" s="210"/>
      <c r="O270" s="207"/>
      <c r="P270" s="182" t="str">
        <f t="shared" si="69"/>
        <v/>
      </c>
      <c r="Q270" s="183" t="str">
        <f t="shared" si="80"/>
        <v/>
      </c>
      <c r="R270" s="182" t="str">
        <f>IF(M270&lt;&gt;"",IF(#REF!*F270*10=0,"",#REF!*F270*10),"")</f>
        <v/>
      </c>
      <c r="S270" s="184" t="str">
        <f t="shared" si="81"/>
        <v/>
      </c>
      <c r="T270" s="185" t="str">
        <f t="shared" si="70"/>
        <v/>
      </c>
      <c r="U270" s="183" t="str">
        <f t="shared" si="82"/>
        <v/>
      </c>
      <c r="V270" s="186" t="str">
        <f t="shared" si="71"/>
        <v/>
      </c>
      <c r="W270" s="186" t="str">
        <f t="shared" si="72"/>
        <v/>
      </c>
      <c r="X270" s="187" t="str">
        <f t="shared" si="73"/>
        <v/>
      </c>
      <c r="Y270" s="182" t="str">
        <f t="shared" ref="Y270:Y333" si="83">IF(Y269="","",IF(T270="","",Y269+T270))</f>
        <v/>
      </c>
      <c r="Z270" s="209" t="str">
        <f t="shared" si="74"/>
        <v/>
      </c>
      <c r="AA270" s="209" t="str">
        <f t="shared" si="75"/>
        <v/>
      </c>
      <c r="AB270" s="200"/>
      <c r="AC270" s="192"/>
    </row>
    <row r="271" spans="1:29" ht="11.4">
      <c r="A271" s="211" t="str">
        <f t="shared" si="76"/>
        <v/>
      </c>
      <c r="B271" s="211"/>
      <c r="C271" s="215"/>
      <c r="D271" s="213" t="str">
        <f t="shared" si="77"/>
        <v/>
      </c>
      <c r="E271" s="213" t="str">
        <f t="shared" si="68"/>
        <v/>
      </c>
      <c r="F271" s="214" t="str">
        <f t="shared" si="78"/>
        <v/>
      </c>
      <c r="G271" s="180"/>
      <c r="H271" s="181" t="str">
        <f t="shared" si="79"/>
        <v/>
      </c>
      <c r="I271" s="227"/>
      <c r="J271" s="227"/>
      <c r="K271" s="227"/>
      <c r="L271" s="227"/>
      <c r="M271" s="210" t="str">
        <f t="shared" ref="M271:M334" si="84">IF(J271="","",J271)</f>
        <v/>
      </c>
      <c r="N271" s="210"/>
      <c r="O271" s="207"/>
      <c r="P271" s="182" t="str">
        <f t="shared" si="69"/>
        <v/>
      </c>
      <c r="Q271" s="183" t="str">
        <f t="shared" si="80"/>
        <v/>
      </c>
      <c r="R271" s="182" t="str">
        <f>IF(M271&lt;&gt;"",IF(#REF!*F271*10=0,"",#REF!*F271*10),"")</f>
        <v/>
      </c>
      <c r="S271" s="184" t="str">
        <f t="shared" si="81"/>
        <v/>
      </c>
      <c r="T271" s="185" t="str">
        <f t="shared" si="70"/>
        <v/>
      </c>
      <c r="U271" s="183" t="str">
        <f t="shared" si="82"/>
        <v/>
      </c>
      <c r="V271" s="186" t="str">
        <f t="shared" si="71"/>
        <v/>
      </c>
      <c r="W271" s="186" t="str">
        <f t="shared" si="72"/>
        <v/>
      </c>
      <c r="X271" s="187" t="str">
        <f t="shared" si="73"/>
        <v/>
      </c>
      <c r="Y271" s="182" t="str">
        <f t="shared" si="83"/>
        <v/>
      </c>
      <c r="Z271" s="209" t="str">
        <f t="shared" si="74"/>
        <v/>
      </c>
      <c r="AA271" s="209" t="str">
        <f t="shared" si="75"/>
        <v/>
      </c>
      <c r="AB271" s="200"/>
      <c r="AC271" s="192"/>
    </row>
    <row r="272" spans="1:29" ht="11.4">
      <c r="A272" s="211" t="str">
        <f t="shared" si="76"/>
        <v/>
      </c>
      <c r="B272" s="211"/>
      <c r="C272" s="215"/>
      <c r="D272" s="213" t="str">
        <f t="shared" si="77"/>
        <v/>
      </c>
      <c r="E272" s="213" t="str">
        <f t="shared" ref="E272:E335" si="85">IF(G272="","","M30")</f>
        <v/>
      </c>
      <c r="F272" s="214" t="str">
        <f t="shared" si="78"/>
        <v/>
      </c>
      <c r="G272" s="180"/>
      <c r="H272" s="181" t="str">
        <f t="shared" si="79"/>
        <v/>
      </c>
      <c r="I272" s="227"/>
      <c r="J272" s="227"/>
      <c r="K272" s="227"/>
      <c r="L272" s="227"/>
      <c r="M272" s="210" t="str">
        <f t="shared" si="84"/>
        <v/>
      </c>
      <c r="N272" s="210"/>
      <c r="O272" s="207"/>
      <c r="P272" s="182" t="str">
        <f t="shared" si="69"/>
        <v/>
      </c>
      <c r="Q272" s="183" t="str">
        <f t="shared" si="80"/>
        <v/>
      </c>
      <c r="R272" s="182" t="str">
        <f>IF(M272&lt;&gt;"",IF(#REF!*F272*10=0,"",#REF!*F272*10),"")</f>
        <v/>
      </c>
      <c r="S272" s="184" t="str">
        <f t="shared" si="81"/>
        <v/>
      </c>
      <c r="T272" s="185" t="str">
        <f t="shared" si="70"/>
        <v/>
      </c>
      <c r="U272" s="183" t="str">
        <f t="shared" si="82"/>
        <v/>
      </c>
      <c r="V272" s="186" t="str">
        <f t="shared" si="71"/>
        <v/>
      </c>
      <c r="W272" s="186" t="str">
        <f t="shared" si="72"/>
        <v/>
      </c>
      <c r="X272" s="187" t="str">
        <f t="shared" si="73"/>
        <v/>
      </c>
      <c r="Y272" s="182" t="str">
        <f t="shared" si="83"/>
        <v/>
      </c>
      <c r="Z272" s="209" t="str">
        <f t="shared" si="74"/>
        <v/>
      </c>
      <c r="AA272" s="209" t="str">
        <f t="shared" si="75"/>
        <v/>
      </c>
      <c r="AB272" s="200"/>
      <c r="AC272" s="192"/>
    </row>
    <row r="273" spans="1:29" ht="11.4">
      <c r="A273" s="211" t="str">
        <f t="shared" si="76"/>
        <v/>
      </c>
      <c r="B273" s="211"/>
      <c r="C273" s="215"/>
      <c r="D273" s="213" t="str">
        <f t="shared" si="77"/>
        <v/>
      </c>
      <c r="E273" s="213" t="str">
        <f t="shared" si="85"/>
        <v/>
      </c>
      <c r="F273" s="214" t="str">
        <f t="shared" si="78"/>
        <v/>
      </c>
      <c r="G273" s="180"/>
      <c r="H273" s="181" t="str">
        <f t="shared" si="79"/>
        <v/>
      </c>
      <c r="I273" s="227"/>
      <c r="J273" s="227"/>
      <c r="K273" s="227"/>
      <c r="L273" s="227"/>
      <c r="M273" s="210" t="str">
        <f t="shared" si="84"/>
        <v/>
      </c>
      <c r="N273" s="210"/>
      <c r="O273" s="207"/>
      <c r="P273" s="182" t="str">
        <f t="shared" si="69"/>
        <v/>
      </c>
      <c r="Q273" s="183" t="str">
        <f t="shared" si="80"/>
        <v/>
      </c>
      <c r="R273" s="182" t="str">
        <f>IF(M273&lt;&gt;"",IF(#REF!*F273*10=0,"",#REF!*F273*10),"")</f>
        <v/>
      </c>
      <c r="S273" s="184" t="str">
        <f t="shared" si="81"/>
        <v/>
      </c>
      <c r="T273" s="185" t="str">
        <f t="shared" si="70"/>
        <v/>
      </c>
      <c r="U273" s="183" t="str">
        <f t="shared" si="82"/>
        <v/>
      </c>
      <c r="V273" s="186" t="str">
        <f t="shared" si="71"/>
        <v/>
      </c>
      <c r="W273" s="186" t="str">
        <f t="shared" si="72"/>
        <v/>
      </c>
      <c r="X273" s="187" t="str">
        <f t="shared" si="73"/>
        <v/>
      </c>
      <c r="Y273" s="182" t="str">
        <f t="shared" si="83"/>
        <v/>
      </c>
      <c r="Z273" s="209" t="str">
        <f t="shared" si="74"/>
        <v/>
      </c>
      <c r="AA273" s="209" t="str">
        <f t="shared" si="75"/>
        <v/>
      </c>
      <c r="AB273" s="200"/>
      <c r="AC273" s="192"/>
    </row>
    <row r="274" spans="1:29" ht="11.4">
      <c r="A274" s="211" t="str">
        <f t="shared" si="76"/>
        <v/>
      </c>
      <c r="B274" s="211"/>
      <c r="C274" s="215"/>
      <c r="D274" s="213" t="str">
        <f t="shared" si="77"/>
        <v/>
      </c>
      <c r="E274" s="213" t="str">
        <f t="shared" si="85"/>
        <v/>
      </c>
      <c r="F274" s="214" t="str">
        <f t="shared" si="78"/>
        <v/>
      </c>
      <c r="G274" s="180"/>
      <c r="H274" s="181" t="str">
        <f t="shared" si="79"/>
        <v/>
      </c>
      <c r="I274" s="227"/>
      <c r="J274" s="227"/>
      <c r="K274" s="227"/>
      <c r="L274" s="227"/>
      <c r="M274" s="210" t="str">
        <f t="shared" si="84"/>
        <v/>
      </c>
      <c r="N274" s="210"/>
      <c r="O274" s="207"/>
      <c r="P274" s="182" t="str">
        <f t="shared" si="69"/>
        <v/>
      </c>
      <c r="Q274" s="183" t="str">
        <f t="shared" si="80"/>
        <v/>
      </c>
      <c r="R274" s="182" t="str">
        <f>IF(M274&lt;&gt;"",IF(#REF!*F274*10=0,"",#REF!*F274*10),"")</f>
        <v/>
      </c>
      <c r="S274" s="184" t="str">
        <f t="shared" si="81"/>
        <v/>
      </c>
      <c r="T274" s="185" t="str">
        <f t="shared" si="70"/>
        <v/>
      </c>
      <c r="U274" s="183" t="str">
        <f t="shared" si="82"/>
        <v/>
      </c>
      <c r="V274" s="186" t="str">
        <f t="shared" si="71"/>
        <v/>
      </c>
      <c r="W274" s="186" t="str">
        <f t="shared" si="72"/>
        <v/>
      </c>
      <c r="X274" s="187" t="str">
        <f t="shared" si="73"/>
        <v/>
      </c>
      <c r="Y274" s="182" t="str">
        <f t="shared" si="83"/>
        <v/>
      </c>
      <c r="Z274" s="209" t="str">
        <f t="shared" si="74"/>
        <v/>
      </c>
      <c r="AA274" s="209" t="str">
        <f t="shared" si="75"/>
        <v/>
      </c>
      <c r="AB274" s="200"/>
      <c r="AC274" s="192"/>
    </row>
    <row r="275" spans="1:29" ht="11.4">
      <c r="A275" s="211" t="str">
        <f t="shared" si="76"/>
        <v/>
      </c>
      <c r="B275" s="211"/>
      <c r="C275" s="215"/>
      <c r="D275" s="213" t="str">
        <f t="shared" si="77"/>
        <v/>
      </c>
      <c r="E275" s="213" t="str">
        <f t="shared" si="85"/>
        <v/>
      </c>
      <c r="F275" s="214" t="str">
        <f t="shared" si="78"/>
        <v/>
      </c>
      <c r="G275" s="180"/>
      <c r="H275" s="181" t="str">
        <f t="shared" si="79"/>
        <v/>
      </c>
      <c r="I275" s="227"/>
      <c r="J275" s="227"/>
      <c r="K275" s="227"/>
      <c r="L275" s="227"/>
      <c r="M275" s="210" t="str">
        <f t="shared" si="84"/>
        <v/>
      </c>
      <c r="N275" s="210"/>
      <c r="O275" s="207"/>
      <c r="P275" s="182" t="str">
        <f t="shared" si="69"/>
        <v/>
      </c>
      <c r="Q275" s="183" t="str">
        <f t="shared" si="80"/>
        <v/>
      </c>
      <c r="R275" s="182" t="str">
        <f>IF(M275&lt;&gt;"",IF(#REF!*F275*10=0,"",#REF!*F275*10),"")</f>
        <v/>
      </c>
      <c r="S275" s="184" t="str">
        <f t="shared" si="81"/>
        <v/>
      </c>
      <c r="T275" s="185" t="str">
        <f t="shared" si="70"/>
        <v/>
      </c>
      <c r="U275" s="183" t="str">
        <f t="shared" si="82"/>
        <v/>
      </c>
      <c r="V275" s="186" t="str">
        <f t="shared" si="71"/>
        <v/>
      </c>
      <c r="W275" s="186" t="str">
        <f t="shared" si="72"/>
        <v/>
      </c>
      <c r="X275" s="187" t="str">
        <f t="shared" si="73"/>
        <v/>
      </c>
      <c r="Y275" s="182" t="str">
        <f t="shared" si="83"/>
        <v/>
      </c>
      <c r="Z275" s="209" t="str">
        <f t="shared" si="74"/>
        <v/>
      </c>
      <c r="AA275" s="209" t="str">
        <f t="shared" si="75"/>
        <v/>
      </c>
      <c r="AB275" s="200"/>
      <c r="AC275" s="192"/>
    </row>
    <row r="276" spans="1:29" ht="11.4">
      <c r="A276" s="211" t="str">
        <f t="shared" si="76"/>
        <v/>
      </c>
      <c r="B276" s="211"/>
      <c r="C276" s="215"/>
      <c r="D276" s="213" t="str">
        <f t="shared" si="77"/>
        <v/>
      </c>
      <c r="E276" s="213" t="str">
        <f t="shared" si="85"/>
        <v/>
      </c>
      <c r="F276" s="214" t="str">
        <f t="shared" si="78"/>
        <v/>
      </c>
      <c r="G276" s="180"/>
      <c r="H276" s="181" t="str">
        <f t="shared" si="79"/>
        <v/>
      </c>
      <c r="I276" s="227"/>
      <c r="J276" s="227"/>
      <c r="K276" s="227"/>
      <c r="L276" s="227"/>
      <c r="M276" s="210" t="str">
        <f t="shared" si="84"/>
        <v/>
      </c>
      <c r="N276" s="210"/>
      <c r="O276" s="207"/>
      <c r="P276" s="182" t="str">
        <f t="shared" si="69"/>
        <v/>
      </c>
      <c r="Q276" s="183" t="str">
        <f t="shared" si="80"/>
        <v/>
      </c>
      <c r="R276" s="182" t="str">
        <f>IF(M276&lt;&gt;"",IF(#REF!*F276*10=0,"",#REF!*F276*10),"")</f>
        <v/>
      </c>
      <c r="S276" s="184" t="str">
        <f t="shared" si="81"/>
        <v/>
      </c>
      <c r="T276" s="185" t="str">
        <f t="shared" si="70"/>
        <v/>
      </c>
      <c r="U276" s="183" t="str">
        <f t="shared" si="82"/>
        <v/>
      </c>
      <c r="V276" s="186" t="str">
        <f t="shared" si="71"/>
        <v/>
      </c>
      <c r="W276" s="186" t="str">
        <f t="shared" si="72"/>
        <v/>
      </c>
      <c r="X276" s="187" t="str">
        <f t="shared" si="73"/>
        <v/>
      </c>
      <c r="Y276" s="182" t="str">
        <f t="shared" si="83"/>
        <v/>
      </c>
      <c r="Z276" s="209" t="str">
        <f t="shared" si="74"/>
        <v/>
      </c>
      <c r="AA276" s="209" t="str">
        <f t="shared" si="75"/>
        <v/>
      </c>
      <c r="AB276" s="200"/>
      <c r="AC276" s="192"/>
    </row>
    <row r="277" spans="1:29" ht="11.4">
      <c r="A277" s="211" t="str">
        <f t="shared" si="76"/>
        <v/>
      </c>
      <c r="B277" s="211"/>
      <c r="C277" s="215"/>
      <c r="D277" s="213" t="str">
        <f t="shared" si="77"/>
        <v/>
      </c>
      <c r="E277" s="213" t="str">
        <f t="shared" si="85"/>
        <v/>
      </c>
      <c r="F277" s="214" t="str">
        <f t="shared" si="78"/>
        <v/>
      </c>
      <c r="G277" s="180"/>
      <c r="H277" s="181" t="str">
        <f t="shared" si="79"/>
        <v/>
      </c>
      <c r="I277" s="227"/>
      <c r="J277" s="227"/>
      <c r="K277" s="227"/>
      <c r="L277" s="227"/>
      <c r="M277" s="210" t="str">
        <f t="shared" si="84"/>
        <v/>
      </c>
      <c r="N277" s="210"/>
      <c r="O277" s="207"/>
      <c r="P277" s="182" t="str">
        <f t="shared" si="69"/>
        <v/>
      </c>
      <c r="Q277" s="183" t="str">
        <f t="shared" si="80"/>
        <v/>
      </c>
      <c r="R277" s="182" t="str">
        <f>IF(M277&lt;&gt;"",IF(#REF!*F277*10=0,"",#REF!*F277*10),"")</f>
        <v/>
      </c>
      <c r="S277" s="184" t="str">
        <f t="shared" si="81"/>
        <v/>
      </c>
      <c r="T277" s="185" t="str">
        <f t="shared" si="70"/>
        <v/>
      </c>
      <c r="U277" s="183" t="str">
        <f t="shared" si="82"/>
        <v/>
      </c>
      <c r="V277" s="186" t="str">
        <f t="shared" si="71"/>
        <v/>
      </c>
      <c r="W277" s="186" t="str">
        <f t="shared" si="72"/>
        <v/>
      </c>
      <c r="X277" s="187" t="str">
        <f t="shared" si="73"/>
        <v/>
      </c>
      <c r="Y277" s="182" t="str">
        <f t="shared" si="83"/>
        <v/>
      </c>
      <c r="Z277" s="209" t="str">
        <f t="shared" si="74"/>
        <v/>
      </c>
      <c r="AA277" s="209" t="str">
        <f t="shared" si="75"/>
        <v/>
      </c>
      <c r="AB277" s="200"/>
      <c r="AC277" s="192"/>
    </row>
    <row r="278" spans="1:29" ht="11.4">
      <c r="A278" s="211" t="str">
        <f t="shared" si="76"/>
        <v/>
      </c>
      <c r="B278" s="211"/>
      <c r="C278" s="215"/>
      <c r="D278" s="213" t="str">
        <f t="shared" si="77"/>
        <v/>
      </c>
      <c r="E278" s="213" t="str">
        <f t="shared" si="85"/>
        <v/>
      </c>
      <c r="F278" s="214" t="str">
        <f t="shared" si="78"/>
        <v/>
      </c>
      <c r="G278" s="180"/>
      <c r="H278" s="181" t="str">
        <f t="shared" si="79"/>
        <v/>
      </c>
      <c r="I278" s="227"/>
      <c r="J278" s="227"/>
      <c r="K278" s="227"/>
      <c r="L278" s="227"/>
      <c r="M278" s="210" t="str">
        <f t="shared" si="84"/>
        <v/>
      </c>
      <c r="N278" s="210"/>
      <c r="O278" s="207"/>
      <c r="P278" s="182" t="str">
        <f t="shared" si="69"/>
        <v/>
      </c>
      <c r="Q278" s="183" t="str">
        <f t="shared" si="80"/>
        <v/>
      </c>
      <c r="R278" s="182" t="str">
        <f>IF(M278&lt;&gt;"",IF(#REF!*F278*10=0,"",#REF!*F278*10),"")</f>
        <v/>
      </c>
      <c r="S278" s="184" t="str">
        <f t="shared" si="81"/>
        <v/>
      </c>
      <c r="T278" s="185" t="str">
        <f t="shared" si="70"/>
        <v/>
      </c>
      <c r="U278" s="183" t="str">
        <f t="shared" si="82"/>
        <v/>
      </c>
      <c r="V278" s="186" t="str">
        <f t="shared" si="71"/>
        <v/>
      </c>
      <c r="W278" s="186" t="str">
        <f t="shared" si="72"/>
        <v/>
      </c>
      <c r="X278" s="187" t="str">
        <f t="shared" si="73"/>
        <v/>
      </c>
      <c r="Y278" s="182" t="str">
        <f t="shared" si="83"/>
        <v/>
      </c>
      <c r="Z278" s="209" t="str">
        <f t="shared" si="74"/>
        <v/>
      </c>
      <c r="AA278" s="209" t="str">
        <f t="shared" si="75"/>
        <v/>
      </c>
      <c r="AB278" s="200"/>
      <c r="AC278" s="192"/>
    </row>
    <row r="279" spans="1:29" ht="11.4">
      <c r="A279" s="211" t="str">
        <f t="shared" si="76"/>
        <v/>
      </c>
      <c r="B279" s="211"/>
      <c r="C279" s="215"/>
      <c r="D279" s="213" t="str">
        <f t="shared" si="77"/>
        <v/>
      </c>
      <c r="E279" s="213" t="str">
        <f t="shared" si="85"/>
        <v/>
      </c>
      <c r="F279" s="214" t="str">
        <f t="shared" si="78"/>
        <v/>
      </c>
      <c r="G279" s="180"/>
      <c r="H279" s="181" t="str">
        <f t="shared" si="79"/>
        <v/>
      </c>
      <c r="I279" s="227"/>
      <c r="J279" s="227"/>
      <c r="K279" s="227"/>
      <c r="L279" s="227"/>
      <c r="M279" s="210" t="str">
        <f t="shared" si="84"/>
        <v/>
      </c>
      <c r="N279" s="210"/>
      <c r="O279" s="207"/>
      <c r="P279" s="182" t="str">
        <f t="shared" si="69"/>
        <v/>
      </c>
      <c r="Q279" s="183" t="str">
        <f t="shared" si="80"/>
        <v/>
      </c>
      <c r="R279" s="182" t="str">
        <f>IF(M279&lt;&gt;"",IF(#REF!*F279*10=0,"",#REF!*F279*10),"")</f>
        <v/>
      </c>
      <c r="S279" s="184" t="str">
        <f t="shared" si="81"/>
        <v/>
      </c>
      <c r="T279" s="185" t="str">
        <f t="shared" si="70"/>
        <v/>
      </c>
      <c r="U279" s="183" t="str">
        <f t="shared" si="82"/>
        <v/>
      </c>
      <c r="V279" s="186" t="str">
        <f t="shared" si="71"/>
        <v/>
      </c>
      <c r="W279" s="186" t="str">
        <f t="shared" si="72"/>
        <v/>
      </c>
      <c r="X279" s="187" t="str">
        <f t="shared" si="73"/>
        <v/>
      </c>
      <c r="Y279" s="182" t="str">
        <f t="shared" si="83"/>
        <v/>
      </c>
      <c r="Z279" s="209" t="str">
        <f t="shared" si="74"/>
        <v/>
      </c>
      <c r="AA279" s="209" t="str">
        <f t="shared" si="75"/>
        <v/>
      </c>
      <c r="AB279" s="200"/>
      <c r="AC279" s="192"/>
    </row>
    <row r="280" spans="1:29" ht="11.4">
      <c r="A280" s="211" t="str">
        <f t="shared" si="76"/>
        <v/>
      </c>
      <c r="B280" s="211"/>
      <c r="C280" s="215"/>
      <c r="D280" s="213" t="str">
        <f t="shared" si="77"/>
        <v/>
      </c>
      <c r="E280" s="213" t="str">
        <f t="shared" si="85"/>
        <v/>
      </c>
      <c r="F280" s="214" t="str">
        <f t="shared" si="78"/>
        <v/>
      </c>
      <c r="G280" s="180"/>
      <c r="H280" s="181" t="str">
        <f t="shared" si="79"/>
        <v/>
      </c>
      <c r="I280" s="227"/>
      <c r="J280" s="227"/>
      <c r="K280" s="227"/>
      <c r="L280" s="227"/>
      <c r="M280" s="210" t="str">
        <f t="shared" si="84"/>
        <v/>
      </c>
      <c r="N280" s="210"/>
      <c r="O280" s="207"/>
      <c r="P280" s="182" t="str">
        <f t="shared" si="69"/>
        <v/>
      </c>
      <c r="Q280" s="183" t="str">
        <f t="shared" si="80"/>
        <v/>
      </c>
      <c r="R280" s="182" t="str">
        <f>IF(M280&lt;&gt;"",IF(#REF!*F280*10=0,"",#REF!*F280*10),"")</f>
        <v/>
      </c>
      <c r="S280" s="184" t="str">
        <f t="shared" si="81"/>
        <v/>
      </c>
      <c r="T280" s="185" t="str">
        <f t="shared" si="70"/>
        <v/>
      </c>
      <c r="U280" s="183" t="str">
        <f t="shared" si="82"/>
        <v/>
      </c>
      <c r="V280" s="186" t="str">
        <f t="shared" si="71"/>
        <v/>
      </c>
      <c r="W280" s="186" t="str">
        <f t="shared" si="72"/>
        <v/>
      </c>
      <c r="X280" s="187" t="str">
        <f t="shared" si="73"/>
        <v/>
      </c>
      <c r="Y280" s="182" t="str">
        <f t="shared" si="83"/>
        <v/>
      </c>
      <c r="Z280" s="209" t="str">
        <f t="shared" si="74"/>
        <v/>
      </c>
      <c r="AA280" s="209" t="str">
        <f t="shared" si="75"/>
        <v/>
      </c>
      <c r="AB280" s="200"/>
      <c r="AC280" s="192"/>
    </row>
    <row r="281" spans="1:29" ht="11.4">
      <c r="A281" s="211" t="str">
        <f t="shared" si="76"/>
        <v/>
      </c>
      <c r="B281" s="211"/>
      <c r="C281" s="215"/>
      <c r="D281" s="213" t="str">
        <f t="shared" si="77"/>
        <v/>
      </c>
      <c r="E281" s="213" t="str">
        <f t="shared" si="85"/>
        <v/>
      </c>
      <c r="F281" s="214" t="str">
        <f t="shared" si="78"/>
        <v/>
      </c>
      <c r="G281" s="180"/>
      <c r="H281" s="181" t="str">
        <f t="shared" si="79"/>
        <v/>
      </c>
      <c r="I281" s="227"/>
      <c r="J281" s="227"/>
      <c r="K281" s="227"/>
      <c r="L281" s="227"/>
      <c r="M281" s="210" t="str">
        <f t="shared" si="84"/>
        <v/>
      </c>
      <c r="N281" s="210"/>
      <c r="O281" s="207"/>
      <c r="P281" s="182" t="str">
        <f t="shared" si="69"/>
        <v/>
      </c>
      <c r="Q281" s="183" t="str">
        <f t="shared" si="80"/>
        <v/>
      </c>
      <c r="R281" s="182" t="str">
        <f>IF(M281&lt;&gt;"",IF(#REF!*F281*10=0,"",#REF!*F281*10),"")</f>
        <v/>
      </c>
      <c r="S281" s="184" t="str">
        <f t="shared" si="81"/>
        <v/>
      </c>
      <c r="T281" s="185" t="str">
        <f t="shared" si="70"/>
        <v/>
      </c>
      <c r="U281" s="183" t="str">
        <f t="shared" si="82"/>
        <v/>
      </c>
      <c r="V281" s="186" t="str">
        <f t="shared" si="71"/>
        <v/>
      </c>
      <c r="W281" s="186" t="str">
        <f t="shared" si="72"/>
        <v/>
      </c>
      <c r="X281" s="187" t="str">
        <f t="shared" si="73"/>
        <v/>
      </c>
      <c r="Y281" s="182" t="str">
        <f t="shared" si="83"/>
        <v/>
      </c>
      <c r="Z281" s="209" t="str">
        <f t="shared" si="74"/>
        <v/>
      </c>
      <c r="AA281" s="209" t="str">
        <f t="shared" si="75"/>
        <v/>
      </c>
      <c r="AB281" s="200"/>
      <c r="AC281" s="192"/>
    </row>
    <row r="282" spans="1:29" ht="11.4">
      <c r="A282" s="211" t="str">
        <f t="shared" si="76"/>
        <v/>
      </c>
      <c r="B282" s="211"/>
      <c r="C282" s="215"/>
      <c r="D282" s="213" t="str">
        <f t="shared" si="77"/>
        <v/>
      </c>
      <c r="E282" s="213" t="str">
        <f t="shared" si="85"/>
        <v/>
      </c>
      <c r="F282" s="214" t="str">
        <f t="shared" si="78"/>
        <v/>
      </c>
      <c r="G282" s="180"/>
      <c r="H282" s="181" t="str">
        <f t="shared" si="79"/>
        <v/>
      </c>
      <c r="I282" s="227"/>
      <c r="J282" s="227"/>
      <c r="K282" s="227"/>
      <c r="L282" s="227"/>
      <c r="M282" s="210" t="str">
        <f t="shared" si="84"/>
        <v/>
      </c>
      <c r="N282" s="210"/>
      <c r="O282" s="207"/>
      <c r="P282" s="182" t="str">
        <f t="shared" si="69"/>
        <v/>
      </c>
      <c r="Q282" s="183" t="str">
        <f t="shared" si="80"/>
        <v/>
      </c>
      <c r="R282" s="182" t="str">
        <f>IF(M282&lt;&gt;"",IF(#REF!*F282*10=0,"",#REF!*F282*10),"")</f>
        <v/>
      </c>
      <c r="S282" s="184" t="str">
        <f t="shared" si="81"/>
        <v/>
      </c>
      <c r="T282" s="185" t="str">
        <f t="shared" si="70"/>
        <v/>
      </c>
      <c r="U282" s="183" t="str">
        <f t="shared" si="82"/>
        <v/>
      </c>
      <c r="V282" s="186" t="str">
        <f t="shared" si="71"/>
        <v/>
      </c>
      <c r="W282" s="186" t="str">
        <f t="shared" si="72"/>
        <v/>
      </c>
      <c r="X282" s="187" t="str">
        <f t="shared" si="73"/>
        <v/>
      </c>
      <c r="Y282" s="182" t="str">
        <f t="shared" si="83"/>
        <v/>
      </c>
      <c r="Z282" s="209" t="str">
        <f t="shared" si="74"/>
        <v/>
      </c>
      <c r="AA282" s="209" t="str">
        <f t="shared" si="75"/>
        <v/>
      </c>
      <c r="AB282" s="200"/>
      <c r="AC282" s="192"/>
    </row>
    <row r="283" spans="1:29" ht="11.4">
      <c r="A283" s="211" t="str">
        <f t="shared" si="76"/>
        <v/>
      </c>
      <c r="B283" s="211"/>
      <c r="C283" s="215"/>
      <c r="D283" s="213" t="str">
        <f t="shared" si="77"/>
        <v/>
      </c>
      <c r="E283" s="213" t="str">
        <f t="shared" si="85"/>
        <v/>
      </c>
      <c r="F283" s="214" t="str">
        <f t="shared" si="78"/>
        <v/>
      </c>
      <c r="G283" s="180"/>
      <c r="H283" s="181" t="str">
        <f t="shared" si="79"/>
        <v/>
      </c>
      <c r="I283" s="227"/>
      <c r="J283" s="227"/>
      <c r="K283" s="227"/>
      <c r="L283" s="227"/>
      <c r="M283" s="210" t="str">
        <f t="shared" si="84"/>
        <v/>
      </c>
      <c r="N283" s="210"/>
      <c r="O283" s="207"/>
      <c r="P283" s="182" t="str">
        <f t="shared" si="69"/>
        <v/>
      </c>
      <c r="Q283" s="183" t="str">
        <f t="shared" si="80"/>
        <v/>
      </c>
      <c r="R283" s="182" t="str">
        <f>IF(M283&lt;&gt;"",IF(#REF!*F283*10=0,"",#REF!*F283*10),"")</f>
        <v/>
      </c>
      <c r="S283" s="184" t="str">
        <f t="shared" si="81"/>
        <v/>
      </c>
      <c r="T283" s="185" t="str">
        <f t="shared" si="70"/>
        <v/>
      </c>
      <c r="U283" s="183" t="str">
        <f t="shared" si="82"/>
        <v/>
      </c>
      <c r="V283" s="186" t="str">
        <f t="shared" si="71"/>
        <v/>
      </c>
      <c r="W283" s="186" t="str">
        <f t="shared" si="72"/>
        <v/>
      </c>
      <c r="X283" s="187" t="str">
        <f t="shared" si="73"/>
        <v/>
      </c>
      <c r="Y283" s="182" t="str">
        <f t="shared" si="83"/>
        <v/>
      </c>
      <c r="Z283" s="209" t="str">
        <f t="shared" si="74"/>
        <v/>
      </c>
      <c r="AA283" s="209" t="str">
        <f t="shared" si="75"/>
        <v/>
      </c>
      <c r="AB283" s="200"/>
      <c r="AC283" s="192"/>
    </row>
    <row r="284" spans="1:29" ht="11.4">
      <c r="A284" s="211" t="str">
        <f t="shared" si="76"/>
        <v/>
      </c>
      <c r="B284" s="211"/>
      <c r="C284" s="215"/>
      <c r="D284" s="213" t="str">
        <f t="shared" si="77"/>
        <v/>
      </c>
      <c r="E284" s="213" t="str">
        <f t="shared" si="85"/>
        <v/>
      </c>
      <c r="F284" s="214" t="str">
        <f t="shared" si="78"/>
        <v/>
      </c>
      <c r="G284" s="180"/>
      <c r="H284" s="181" t="str">
        <f t="shared" si="79"/>
        <v/>
      </c>
      <c r="I284" s="227"/>
      <c r="J284" s="227"/>
      <c r="K284" s="227"/>
      <c r="L284" s="227"/>
      <c r="M284" s="210" t="str">
        <f t="shared" si="84"/>
        <v/>
      </c>
      <c r="N284" s="210"/>
      <c r="O284" s="207"/>
      <c r="P284" s="182" t="str">
        <f t="shared" si="69"/>
        <v/>
      </c>
      <c r="Q284" s="183" t="str">
        <f t="shared" si="80"/>
        <v/>
      </c>
      <c r="R284" s="182" t="str">
        <f>IF(M284&lt;&gt;"",IF(#REF!*F284*10=0,"",#REF!*F284*10),"")</f>
        <v/>
      </c>
      <c r="S284" s="184" t="str">
        <f t="shared" si="81"/>
        <v/>
      </c>
      <c r="T284" s="185" t="str">
        <f t="shared" si="70"/>
        <v/>
      </c>
      <c r="U284" s="183" t="str">
        <f t="shared" si="82"/>
        <v/>
      </c>
      <c r="V284" s="186" t="str">
        <f t="shared" si="71"/>
        <v/>
      </c>
      <c r="W284" s="186" t="str">
        <f t="shared" si="72"/>
        <v/>
      </c>
      <c r="X284" s="187" t="str">
        <f t="shared" si="73"/>
        <v/>
      </c>
      <c r="Y284" s="182" t="str">
        <f t="shared" si="83"/>
        <v/>
      </c>
      <c r="Z284" s="209" t="str">
        <f t="shared" si="74"/>
        <v/>
      </c>
      <c r="AA284" s="209" t="str">
        <f t="shared" si="75"/>
        <v/>
      </c>
      <c r="AB284" s="200"/>
      <c r="AC284" s="192"/>
    </row>
    <row r="285" spans="1:29" ht="11.4">
      <c r="A285" s="211" t="str">
        <f t="shared" si="76"/>
        <v/>
      </c>
      <c r="B285" s="211"/>
      <c r="C285" s="215"/>
      <c r="D285" s="213" t="str">
        <f t="shared" si="77"/>
        <v/>
      </c>
      <c r="E285" s="213" t="str">
        <f t="shared" si="85"/>
        <v/>
      </c>
      <c r="F285" s="214" t="str">
        <f t="shared" si="78"/>
        <v/>
      </c>
      <c r="G285" s="180"/>
      <c r="H285" s="181" t="str">
        <f t="shared" si="79"/>
        <v/>
      </c>
      <c r="I285" s="227"/>
      <c r="J285" s="227"/>
      <c r="K285" s="227"/>
      <c r="L285" s="227"/>
      <c r="M285" s="210" t="str">
        <f t="shared" si="84"/>
        <v/>
      </c>
      <c r="N285" s="210"/>
      <c r="O285" s="207"/>
      <c r="P285" s="182" t="str">
        <f t="shared" si="69"/>
        <v/>
      </c>
      <c r="Q285" s="183" t="str">
        <f t="shared" si="80"/>
        <v/>
      </c>
      <c r="R285" s="182" t="str">
        <f>IF(M285&lt;&gt;"",IF(#REF!*F285*10=0,"",#REF!*F285*10),"")</f>
        <v/>
      </c>
      <c r="S285" s="184" t="str">
        <f t="shared" si="81"/>
        <v/>
      </c>
      <c r="T285" s="185" t="str">
        <f t="shared" si="70"/>
        <v/>
      </c>
      <c r="U285" s="183" t="str">
        <f t="shared" si="82"/>
        <v/>
      </c>
      <c r="V285" s="186" t="str">
        <f t="shared" si="71"/>
        <v/>
      </c>
      <c r="W285" s="186" t="str">
        <f t="shared" si="72"/>
        <v/>
      </c>
      <c r="X285" s="187" t="str">
        <f t="shared" si="73"/>
        <v/>
      </c>
      <c r="Y285" s="182" t="str">
        <f t="shared" si="83"/>
        <v/>
      </c>
      <c r="Z285" s="209" t="str">
        <f t="shared" si="74"/>
        <v/>
      </c>
      <c r="AA285" s="209" t="str">
        <f t="shared" si="75"/>
        <v/>
      </c>
      <c r="AB285" s="200"/>
      <c r="AC285" s="192"/>
    </row>
    <row r="286" spans="1:29" ht="11.4">
      <c r="A286" s="211" t="str">
        <f t="shared" si="76"/>
        <v/>
      </c>
      <c r="B286" s="211"/>
      <c r="C286" s="215"/>
      <c r="D286" s="213" t="str">
        <f t="shared" si="77"/>
        <v/>
      </c>
      <c r="E286" s="213" t="str">
        <f t="shared" si="85"/>
        <v/>
      </c>
      <c r="F286" s="214" t="str">
        <f t="shared" si="78"/>
        <v/>
      </c>
      <c r="G286" s="180"/>
      <c r="H286" s="181" t="str">
        <f t="shared" si="79"/>
        <v/>
      </c>
      <c r="I286" s="227"/>
      <c r="J286" s="227"/>
      <c r="K286" s="227"/>
      <c r="L286" s="227"/>
      <c r="M286" s="210" t="str">
        <f t="shared" si="84"/>
        <v/>
      </c>
      <c r="N286" s="210"/>
      <c r="O286" s="207"/>
      <c r="P286" s="182" t="str">
        <f t="shared" si="69"/>
        <v/>
      </c>
      <c r="Q286" s="183" t="str">
        <f t="shared" si="80"/>
        <v/>
      </c>
      <c r="R286" s="182" t="str">
        <f>IF(M286&lt;&gt;"",IF(#REF!*F286*10=0,"",#REF!*F286*10),"")</f>
        <v/>
      </c>
      <c r="S286" s="184" t="str">
        <f t="shared" si="81"/>
        <v/>
      </c>
      <c r="T286" s="185" t="str">
        <f t="shared" si="70"/>
        <v/>
      </c>
      <c r="U286" s="183" t="str">
        <f t="shared" si="82"/>
        <v/>
      </c>
      <c r="V286" s="186" t="str">
        <f t="shared" si="71"/>
        <v/>
      </c>
      <c r="W286" s="186" t="str">
        <f t="shared" si="72"/>
        <v/>
      </c>
      <c r="X286" s="187" t="str">
        <f t="shared" si="73"/>
        <v/>
      </c>
      <c r="Y286" s="182" t="str">
        <f t="shared" si="83"/>
        <v/>
      </c>
      <c r="Z286" s="209" t="str">
        <f t="shared" si="74"/>
        <v/>
      </c>
      <c r="AA286" s="209" t="str">
        <f t="shared" si="75"/>
        <v/>
      </c>
      <c r="AB286" s="200"/>
      <c r="AC286" s="192"/>
    </row>
    <row r="287" spans="1:29" ht="11.4">
      <c r="A287" s="211" t="str">
        <f t="shared" si="76"/>
        <v/>
      </c>
      <c r="B287" s="211"/>
      <c r="C287" s="215"/>
      <c r="D287" s="213" t="str">
        <f t="shared" si="77"/>
        <v/>
      </c>
      <c r="E287" s="213" t="str">
        <f t="shared" si="85"/>
        <v/>
      </c>
      <c r="F287" s="214" t="str">
        <f t="shared" si="78"/>
        <v/>
      </c>
      <c r="G287" s="180"/>
      <c r="H287" s="181" t="str">
        <f t="shared" si="79"/>
        <v/>
      </c>
      <c r="I287" s="227"/>
      <c r="J287" s="227"/>
      <c r="K287" s="227"/>
      <c r="L287" s="227"/>
      <c r="M287" s="210" t="str">
        <f t="shared" si="84"/>
        <v/>
      </c>
      <c r="N287" s="210"/>
      <c r="O287" s="207"/>
      <c r="P287" s="182" t="str">
        <f t="shared" si="69"/>
        <v/>
      </c>
      <c r="Q287" s="183" t="str">
        <f t="shared" si="80"/>
        <v/>
      </c>
      <c r="R287" s="182" t="str">
        <f>IF(M287&lt;&gt;"",IF(#REF!*F287*10=0,"",#REF!*F287*10),"")</f>
        <v/>
      </c>
      <c r="S287" s="184" t="str">
        <f t="shared" si="81"/>
        <v/>
      </c>
      <c r="T287" s="185" t="str">
        <f t="shared" si="70"/>
        <v/>
      </c>
      <c r="U287" s="183" t="str">
        <f t="shared" si="82"/>
        <v/>
      </c>
      <c r="V287" s="186" t="str">
        <f t="shared" si="71"/>
        <v/>
      </c>
      <c r="W287" s="186" t="str">
        <f t="shared" si="72"/>
        <v/>
      </c>
      <c r="X287" s="187" t="str">
        <f t="shared" si="73"/>
        <v/>
      </c>
      <c r="Y287" s="182" t="str">
        <f t="shared" si="83"/>
        <v/>
      </c>
      <c r="Z287" s="209" t="str">
        <f t="shared" si="74"/>
        <v/>
      </c>
      <c r="AA287" s="209" t="str">
        <f t="shared" si="75"/>
        <v/>
      </c>
      <c r="AB287" s="200"/>
      <c r="AC287" s="192"/>
    </row>
    <row r="288" spans="1:29" ht="11.4">
      <c r="A288" s="211" t="str">
        <f t="shared" si="76"/>
        <v/>
      </c>
      <c r="B288" s="211"/>
      <c r="C288" s="215"/>
      <c r="D288" s="213" t="str">
        <f t="shared" si="77"/>
        <v/>
      </c>
      <c r="E288" s="213" t="str">
        <f t="shared" si="85"/>
        <v/>
      </c>
      <c r="F288" s="214" t="str">
        <f t="shared" si="78"/>
        <v/>
      </c>
      <c r="G288" s="180"/>
      <c r="H288" s="181" t="str">
        <f t="shared" si="79"/>
        <v/>
      </c>
      <c r="I288" s="227"/>
      <c r="J288" s="227"/>
      <c r="K288" s="227"/>
      <c r="L288" s="227"/>
      <c r="M288" s="210" t="str">
        <f t="shared" si="84"/>
        <v/>
      </c>
      <c r="N288" s="210"/>
      <c r="O288" s="207"/>
      <c r="P288" s="182" t="str">
        <f t="shared" si="69"/>
        <v/>
      </c>
      <c r="Q288" s="183" t="str">
        <f t="shared" si="80"/>
        <v/>
      </c>
      <c r="R288" s="182" t="str">
        <f>IF(M288&lt;&gt;"",IF(#REF!*F288*10=0,"",#REF!*F288*10),"")</f>
        <v/>
      </c>
      <c r="S288" s="184" t="str">
        <f t="shared" si="81"/>
        <v/>
      </c>
      <c r="T288" s="185" t="str">
        <f t="shared" si="70"/>
        <v/>
      </c>
      <c r="U288" s="183" t="str">
        <f t="shared" si="82"/>
        <v/>
      </c>
      <c r="V288" s="186" t="str">
        <f t="shared" si="71"/>
        <v/>
      </c>
      <c r="W288" s="186" t="str">
        <f t="shared" si="72"/>
        <v/>
      </c>
      <c r="X288" s="187" t="str">
        <f t="shared" si="73"/>
        <v/>
      </c>
      <c r="Y288" s="182" t="str">
        <f t="shared" si="83"/>
        <v/>
      </c>
      <c r="Z288" s="209" t="str">
        <f t="shared" si="74"/>
        <v/>
      </c>
      <c r="AA288" s="209" t="str">
        <f t="shared" si="75"/>
        <v/>
      </c>
      <c r="AB288" s="200"/>
      <c r="AC288" s="192"/>
    </row>
    <row r="289" spans="1:29" ht="11.4">
      <c r="A289" s="211" t="str">
        <f t="shared" si="76"/>
        <v/>
      </c>
      <c r="B289" s="211"/>
      <c r="C289" s="215"/>
      <c r="D289" s="213" t="str">
        <f t="shared" si="77"/>
        <v/>
      </c>
      <c r="E289" s="213" t="str">
        <f t="shared" si="85"/>
        <v/>
      </c>
      <c r="F289" s="214" t="str">
        <f t="shared" si="78"/>
        <v/>
      </c>
      <c r="G289" s="180"/>
      <c r="H289" s="181" t="str">
        <f t="shared" si="79"/>
        <v/>
      </c>
      <c r="I289" s="227"/>
      <c r="J289" s="227"/>
      <c r="K289" s="227"/>
      <c r="L289" s="227"/>
      <c r="M289" s="210" t="str">
        <f t="shared" si="84"/>
        <v/>
      </c>
      <c r="N289" s="210"/>
      <c r="O289" s="207"/>
      <c r="P289" s="182" t="str">
        <f t="shared" si="69"/>
        <v/>
      </c>
      <c r="Q289" s="183" t="str">
        <f t="shared" si="80"/>
        <v/>
      </c>
      <c r="R289" s="182" t="str">
        <f>IF(M289&lt;&gt;"",IF(#REF!*F289*10=0,"",#REF!*F289*10),"")</f>
        <v/>
      </c>
      <c r="S289" s="184" t="str">
        <f t="shared" si="81"/>
        <v/>
      </c>
      <c r="T289" s="185" t="str">
        <f t="shared" si="70"/>
        <v/>
      </c>
      <c r="U289" s="183" t="str">
        <f t="shared" si="82"/>
        <v/>
      </c>
      <c r="V289" s="186" t="str">
        <f t="shared" si="71"/>
        <v/>
      </c>
      <c r="W289" s="186" t="str">
        <f t="shared" si="72"/>
        <v/>
      </c>
      <c r="X289" s="187" t="str">
        <f t="shared" si="73"/>
        <v/>
      </c>
      <c r="Y289" s="182" t="str">
        <f t="shared" si="83"/>
        <v/>
      </c>
      <c r="Z289" s="209" t="str">
        <f t="shared" si="74"/>
        <v/>
      </c>
      <c r="AA289" s="209" t="str">
        <f t="shared" si="75"/>
        <v/>
      </c>
      <c r="AB289" s="200"/>
      <c r="AC289" s="192"/>
    </row>
    <row r="290" spans="1:29" ht="11.4">
      <c r="A290" s="211" t="str">
        <f t="shared" si="76"/>
        <v/>
      </c>
      <c r="B290" s="211"/>
      <c r="C290" s="215"/>
      <c r="D290" s="213" t="str">
        <f t="shared" si="77"/>
        <v/>
      </c>
      <c r="E290" s="213" t="str">
        <f t="shared" si="85"/>
        <v/>
      </c>
      <c r="F290" s="214" t="str">
        <f t="shared" si="78"/>
        <v/>
      </c>
      <c r="G290" s="180"/>
      <c r="H290" s="181" t="str">
        <f t="shared" si="79"/>
        <v/>
      </c>
      <c r="I290" s="227"/>
      <c r="J290" s="227"/>
      <c r="K290" s="227"/>
      <c r="L290" s="227"/>
      <c r="M290" s="210" t="str">
        <f t="shared" si="84"/>
        <v/>
      </c>
      <c r="N290" s="210"/>
      <c r="O290" s="207"/>
      <c r="P290" s="182" t="str">
        <f t="shared" si="69"/>
        <v/>
      </c>
      <c r="Q290" s="183" t="str">
        <f t="shared" si="80"/>
        <v/>
      </c>
      <c r="R290" s="182" t="str">
        <f>IF(M290&lt;&gt;"",IF(#REF!*F290*10=0,"",#REF!*F290*10),"")</f>
        <v/>
      </c>
      <c r="S290" s="184" t="str">
        <f t="shared" si="81"/>
        <v/>
      </c>
      <c r="T290" s="185" t="str">
        <f t="shared" si="70"/>
        <v/>
      </c>
      <c r="U290" s="183" t="str">
        <f t="shared" si="82"/>
        <v/>
      </c>
      <c r="V290" s="186" t="str">
        <f t="shared" si="71"/>
        <v/>
      </c>
      <c r="W290" s="186" t="str">
        <f t="shared" si="72"/>
        <v/>
      </c>
      <c r="X290" s="187" t="str">
        <f t="shared" si="73"/>
        <v/>
      </c>
      <c r="Y290" s="182" t="str">
        <f t="shared" si="83"/>
        <v/>
      </c>
      <c r="Z290" s="209" t="str">
        <f t="shared" si="74"/>
        <v/>
      </c>
      <c r="AA290" s="209" t="str">
        <f t="shared" si="75"/>
        <v/>
      </c>
      <c r="AB290" s="200"/>
      <c r="AC290" s="192"/>
    </row>
    <row r="291" spans="1:29" ht="11.4">
      <c r="A291" s="211" t="str">
        <f t="shared" si="76"/>
        <v/>
      </c>
      <c r="B291" s="211"/>
      <c r="C291" s="215"/>
      <c r="D291" s="213" t="str">
        <f t="shared" si="77"/>
        <v/>
      </c>
      <c r="E291" s="213" t="str">
        <f t="shared" si="85"/>
        <v/>
      </c>
      <c r="F291" s="214" t="str">
        <f t="shared" si="78"/>
        <v/>
      </c>
      <c r="G291" s="180"/>
      <c r="H291" s="181" t="str">
        <f t="shared" si="79"/>
        <v/>
      </c>
      <c r="I291" s="227"/>
      <c r="J291" s="227"/>
      <c r="K291" s="227"/>
      <c r="L291" s="227"/>
      <c r="M291" s="210" t="str">
        <f t="shared" si="84"/>
        <v/>
      </c>
      <c r="N291" s="210"/>
      <c r="O291" s="207"/>
      <c r="P291" s="182" t="str">
        <f t="shared" si="69"/>
        <v/>
      </c>
      <c r="Q291" s="183" t="str">
        <f t="shared" si="80"/>
        <v/>
      </c>
      <c r="R291" s="182" t="str">
        <f>IF(M291&lt;&gt;"",IF(#REF!*F291*10=0,"",#REF!*F291*10),"")</f>
        <v/>
      </c>
      <c r="S291" s="184" t="str">
        <f t="shared" si="81"/>
        <v/>
      </c>
      <c r="T291" s="185" t="str">
        <f t="shared" si="70"/>
        <v/>
      </c>
      <c r="U291" s="183" t="str">
        <f t="shared" si="82"/>
        <v/>
      </c>
      <c r="V291" s="186" t="str">
        <f t="shared" si="71"/>
        <v/>
      </c>
      <c r="W291" s="186" t="str">
        <f t="shared" si="72"/>
        <v/>
      </c>
      <c r="X291" s="187" t="str">
        <f t="shared" si="73"/>
        <v/>
      </c>
      <c r="Y291" s="182" t="str">
        <f t="shared" si="83"/>
        <v/>
      </c>
      <c r="Z291" s="209" t="str">
        <f t="shared" si="74"/>
        <v/>
      </c>
      <c r="AA291" s="209" t="str">
        <f t="shared" si="75"/>
        <v/>
      </c>
      <c r="AB291" s="200"/>
      <c r="AC291" s="192"/>
    </row>
    <row r="292" spans="1:29" ht="11.4">
      <c r="A292" s="211" t="str">
        <f t="shared" si="76"/>
        <v/>
      </c>
      <c r="B292" s="211"/>
      <c r="C292" s="215"/>
      <c r="D292" s="213" t="str">
        <f t="shared" si="77"/>
        <v/>
      </c>
      <c r="E292" s="213" t="str">
        <f t="shared" si="85"/>
        <v/>
      </c>
      <c r="F292" s="214" t="str">
        <f t="shared" si="78"/>
        <v/>
      </c>
      <c r="G292" s="180"/>
      <c r="H292" s="181" t="str">
        <f t="shared" si="79"/>
        <v/>
      </c>
      <c r="I292" s="227"/>
      <c r="J292" s="227"/>
      <c r="K292" s="227"/>
      <c r="L292" s="227"/>
      <c r="M292" s="210" t="str">
        <f t="shared" si="84"/>
        <v/>
      </c>
      <c r="N292" s="210"/>
      <c r="O292" s="207"/>
      <c r="P292" s="182" t="str">
        <f t="shared" si="69"/>
        <v/>
      </c>
      <c r="Q292" s="183" t="str">
        <f t="shared" si="80"/>
        <v/>
      </c>
      <c r="R292" s="182" t="str">
        <f>IF(M292&lt;&gt;"",IF(#REF!*F292*10=0,"",#REF!*F292*10),"")</f>
        <v/>
      </c>
      <c r="S292" s="184" t="str">
        <f t="shared" si="81"/>
        <v/>
      </c>
      <c r="T292" s="185" t="str">
        <f t="shared" si="70"/>
        <v/>
      </c>
      <c r="U292" s="183" t="str">
        <f t="shared" si="82"/>
        <v/>
      </c>
      <c r="V292" s="186" t="str">
        <f t="shared" si="71"/>
        <v/>
      </c>
      <c r="W292" s="186" t="str">
        <f t="shared" si="72"/>
        <v/>
      </c>
      <c r="X292" s="187" t="str">
        <f t="shared" si="73"/>
        <v/>
      </c>
      <c r="Y292" s="182" t="str">
        <f t="shared" si="83"/>
        <v/>
      </c>
      <c r="Z292" s="209" t="str">
        <f t="shared" si="74"/>
        <v/>
      </c>
      <c r="AA292" s="209" t="str">
        <f t="shared" si="75"/>
        <v/>
      </c>
      <c r="AB292" s="200"/>
      <c r="AC292" s="192"/>
    </row>
    <row r="293" spans="1:29" ht="11.4">
      <c r="A293" s="211" t="str">
        <f t="shared" si="76"/>
        <v/>
      </c>
      <c r="B293" s="211"/>
      <c r="C293" s="215"/>
      <c r="D293" s="213" t="str">
        <f t="shared" si="77"/>
        <v/>
      </c>
      <c r="E293" s="213" t="str">
        <f t="shared" si="85"/>
        <v/>
      </c>
      <c r="F293" s="214" t="str">
        <f t="shared" si="78"/>
        <v/>
      </c>
      <c r="G293" s="180"/>
      <c r="H293" s="181" t="str">
        <f t="shared" si="79"/>
        <v/>
      </c>
      <c r="I293" s="227"/>
      <c r="J293" s="227"/>
      <c r="K293" s="227"/>
      <c r="L293" s="227"/>
      <c r="M293" s="210" t="str">
        <f t="shared" si="84"/>
        <v/>
      </c>
      <c r="N293" s="210"/>
      <c r="O293" s="207"/>
      <c r="P293" s="182" t="str">
        <f t="shared" si="69"/>
        <v/>
      </c>
      <c r="Q293" s="183" t="str">
        <f t="shared" si="80"/>
        <v/>
      </c>
      <c r="R293" s="182" t="str">
        <f>IF(M293&lt;&gt;"",IF(#REF!*F293*10=0,"",#REF!*F293*10),"")</f>
        <v/>
      </c>
      <c r="S293" s="184" t="str">
        <f t="shared" si="81"/>
        <v/>
      </c>
      <c r="T293" s="185" t="str">
        <f t="shared" si="70"/>
        <v/>
      </c>
      <c r="U293" s="183" t="str">
        <f t="shared" si="82"/>
        <v/>
      </c>
      <c r="V293" s="186" t="str">
        <f t="shared" si="71"/>
        <v/>
      </c>
      <c r="W293" s="186" t="str">
        <f t="shared" si="72"/>
        <v/>
      </c>
      <c r="X293" s="187" t="str">
        <f t="shared" si="73"/>
        <v/>
      </c>
      <c r="Y293" s="182" t="str">
        <f t="shared" si="83"/>
        <v/>
      </c>
      <c r="Z293" s="209" t="str">
        <f t="shared" si="74"/>
        <v/>
      </c>
      <c r="AA293" s="209" t="str">
        <f t="shared" si="75"/>
        <v/>
      </c>
      <c r="AB293" s="200"/>
      <c r="AC293" s="192"/>
    </row>
    <row r="294" spans="1:29" ht="11.4">
      <c r="A294" s="211" t="str">
        <f t="shared" si="76"/>
        <v/>
      </c>
      <c r="B294" s="211"/>
      <c r="C294" s="215"/>
      <c r="D294" s="213" t="str">
        <f t="shared" si="77"/>
        <v/>
      </c>
      <c r="E294" s="213" t="str">
        <f t="shared" si="85"/>
        <v/>
      </c>
      <c r="F294" s="214" t="str">
        <f t="shared" si="78"/>
        <v/>
      </c>
      <c r="G294" s="180"/>
      <c r="H294" s="181" t="str">
        <f t="shared" si="79"/>
        <v/>
      </c>
      <c r="I294" s="227"/>
      <c r="J294" s="227"/>
      <c r="K294" s="227"/>
      <c r="L294" s="227"/>
      <c r="M294" s="210" t="str">
        <f t="shared" si="84"/>
        <v/>
      </c>
      <c r="N294" s="210"/>
      <c r="O294" s="207"/>
      <c r="P294" s="182" t="str">
        <f t="shared" si="69"/>
        <v/>
      </c>
      <c r="Q294" s="183" t="str">
        <f t="shared" si="80"/>
        <v/>
      </c>
      <c r="R294" s="182" t="str">
        <f>IF(M294&lt;&gt;"",IF(#REF!*F294*10=0,"",#REF!*F294*10),"")</f>
        <v/>
      </c>
      <c r="S294" s="184" t="str">
        <f t="shared" si="81"/>
        <v/>
      </c>
      <c r="T294" s="185" t="str">
        <f t="shared" si="70"/>
        <v/>
      </c>
      <c r="U294" s="183" t="str">
        <f t="shared" si="82"/>
        <v/>
      </c>
      <c r="V294" s="186" t="str">
        <f t="shared" si="71"/>
        <v/>
      </c>
      <c r="W294" s="186" t="str">
        <f t="shared" si="72"/>
        <v/>
      </c>
      <c r="X294" s="187" t="str">
        <f t="shared" si="73"/>
        <v/>
      </c>
      <c r="Y294" s="182" t="str">
        <f t="shared" si="83"/>
        <v/>
      </c>
      <c r="Z294" s="209" t="str">
        <f t="shared" si="74"/>
        <v/>
      </c>
      <c r="AA294" s="209" t="str">
        <f t="shared" si="75"/>
        <v/>
      </c>
      <c r="AB294" s="200"/>
      <c r="AC294" s="192"/>
    </row>
    <row r="295" spans="1:29" ht="11.4">
      <c r="A295" s="211" t="str">
        <f t="shared" si="76"/>
        <v/>
      </c>
      <c r="B295" s="211"/>
      <c r="C295" s="215"/>
      <c r="D295" s="213" t="str">
        <f t="shared" si="77"/>
        <v/>
      </c>
      <c r="E295" s="213" t="str">
        <f t="shared" si="85"/>
        <v/>
      </c>
      <c r="F295" s="214" t="str">
        <f t="shared" si="78"/>
        <v/>
      </c>
      <c r="G295" s="180"/>
      <c r="H295" s="181" t="str">
        <f t="shared" si="79"/>
        <v/>
      </c>
      <c r="I295" s="227"/>
      <c r="J295" s="227"/>
      <c r="K295" s="227"/>
      <c r="L295" s="227"/>
      <c r="M295" s="210" t="str">
        <f t="shared" si="84"/>
        <v/>
      </c>
      <c r="N295" s="210"/>
      <c r="O295" s="207"/>
      <c r="P295" s="182" t="str">
        <f t="shared" si="69"/>
        <v/>
      </c>
      <c r="Q295" s="183" t="str">
        <f t="shared" si="80"/>
        <v/>
      </c>
      <c r="R295" s="182" t="str">
        <f>IF(M295&lt;&gt;"",IF(#REF!*F295*10=0,"",#REF!*F295*10),"")</f>
        <v/>
      </c>
      <c r="S295" s="184" t="str">
        <f t="shared" si="81"/>
        <v/>
      </c>
      <c r="T295" s="185" t="str">
        <f t="shared" si="70"/>
        <v/>
      </c>
      <c r="U295" s="183" t="str">
        <f t="shared" si="82"/>
        <v/>
      </c>
      <c r="V295" s="186" t="str">
        <f t="shared" si="71"/>
        <v/>
      </c>
      <c r="W295" s="186" t="str">
        <f t="shared" si="72"/>
        <v/>
      </c>
      <c r="X295" s="187" t="str">
        <f t="shared" si="73"/>
        <v/>
      </c>
      <c r="Y295" s="182" t="str">
        <f t="shared" si="83"/>
        <v/>
      </c>
      <c r="Z295" s="209" t="str">
        <f t="shared" si="74"/>
        <v/>
      </c>
      <c r="AA295" s="209" t="str">
        <f t="shared" si="75"/>
        <v/>
      </c>
      <c r="AB295" s="200"/>
      <c r="AC295" s="192"/>
    </row>
    <row r="296" spans="1:29" ht="11.4">
      <c r="A296" s="211" t="str">
        <f t="shared" si="76"/>
        <v/>
      </c>
      <c r="B296" s="211"/>
      <c r="C296" s="215"/>
      <c r="D296" s="213" t="str">
        <f t="shared" si="77"/>
        <v/>
      </c>
      <c r="E296" s="213" t="str">
        <f t="shared" si="85"/>
        <v/>
      </c>
      <c r="F296" s="214" t="str">
        <f t="shared" si="78"/>
        <v/>
      </c>
      <c r="G296" s="180"/>
      <c r="H296" s="181" t="str">
        <f t="shared" si="79"/>
        <v/>
      </c>
      <c r="I296" s="227"/>
      <c r="J296" s="227"/>
      <c r="K296" s="227"/>
      <c r="L296" s="227"/>
      <c r="M296" s="210" t="str">
        <f t="shared" si="84"/>
        <v/>
      </c>
      <c r="N296" s="210"/>
      <c r="O296" s="207"/>
      <c r="P296" s="182" t="str">
        <f t="shared" si="69"/>
        <v/>
      </c>
      <c r="Q296" s="183" t="str">
        <f t="shared" si="80"/>
        <v/>
      </c>
      <c r="R296" s="182" t="str">
        <f>IF(M296&lt;&gt;"",IF(#REF!*F296*10=0,"",#REF!*F296*10),"")</f>
        <v/>
      </c>
      <c r="S296" s="184" t="str">
        <f t="shared" si="81"/>
        <v/>
      </c>
      <c r="T296" s="185" t="str">
        <f t="shared" si="70"/>
        <v/>
      </c>
      <c r="U296" s="183" t="str">
        <f t="shared" si="82"/>
        <v/>
      </c>
      <c r="V296" s="186" t="str">
        <f t="shared" si="71"/>
        <v/>
      </c>
      <c r="W296" s="186" t="str">
        <f t="shared" si="72"/>
        <v/>
      </c>
      <c r="X296" s="187" t="str">
        <f t="shared" si="73"/>
        <v/>
      </c>
      <c r="Y296" s="182" t="str">
        <f t="shared" si="83"/>
        <v/>
      </c>
      <c r="Z296" s="209" t="str">
        <f t="shared" si="74"/>
        <v/>
      </c>
      <c r="AA296" s="209" t="str">
        <f t="shared" si="75"/>
        <v/>
      </c>
      <c r="AB296" s="200"/>
      <c r="AC296" s="192"/>
    </row>
    <row r="297" spans="1:29" ht="11.4">
      <c r="A297" s="211" t="str">
        <f t="shared" si="76"/>
        <v/>
      </c>
      <c r="B297" s="211"/>
      <c r="C297" s="215"/>
      <c r="D297" s="213" t="str">
        <f t="shared" si="77"/>
        <v/>
      </c>
      <c r="E297" s="213" t="str">
        <f t="shared" si="85"/>
        <v/>
      </c>
      <c r="F297" s="214" t="str">
        <f t="shared" si="78"/>
        <v/>
      </c>
      <c r="G297" s="180"/>
      <c r="H297" s="181" t="str">
        <f t="shared" si="79"/>
        <v/>
      </c>
      <c r="I297" s="227"/>
      <c r="J297" s="227"/>
      <c r="K297" s="227"/>
      <c r="L297" s="227"/>
      <c r="M297" s="210" t="str">
        <f t="shared" si="84"/>
        <v/>
      </c>
      <c r="N297" s="210"/>
      <c r="O297" s="207"/>
      <c r="P297" s="182" t="str">
        <f t="shared" si="69"/>
        <v/>
      </c>
      <c r="Q297" s="183" t="str">
        <f t="shared" si="80"/>
        <v/>
      </c>
      <c r="R297" s="182" t="str">
        <f>IF(M297&lt;&gt;"",IF(#REF!*F297*10=0,"",#REF!*F297*10),"")</f>
        <v/>
      </c>
      <c r="S297" s="184" t="str">
        <f t="shared" si="81"/>
        <v/>
      </c>
      <c r="T297" s="185" t="str">
        <f t="shared" si="70"/>
        <v/>
      </c>
      <c r="U297" s="183" t="str">
        <f t="shared" si="82"/>
        <v/>
      </c>
      <c r="V297" s="186" t="str">
        <f t="shared" si="71"/>
        <v/>
      </c>
      <c r="W297" s="186" t="str">
        <f t="shared" si="72"/>
        <v/>
      </c>
      <c r="X297" s="187" t="str">
        <f t="shared" si="73"/>
        <v/>
      </c>
      <c r="Y297" s="182" t="str">
        <f t="shared" si="83"/>
        <v/>
      </c>
      <c r="Z297" s="209" t="str">
        <f t="shared" si="74"/>
        <v/>
      </c>
      <c r="AA297" s="209" t="str">
        <f t="shared" si="75"/>
        <v/>
      </c>
      <c r="AB297" s="200"/>
      <c r="AC297" s="192"/>
    </row>
    <row r="298" spans="1:29" ht="11.4">
      <c r="A298" s="211" t="str">
        <f t="shared" si="76"/>
        <v/>
      </c>
      <c r="B298" s="211"/>
      <c r="C298" s="215"/>
      <c r="D298" s="213" t="str">
        <f t="shared" si="77"/>
        <v/>
      </c>
      <c r="E298" s="213" t="str">
        <f t="shared" si="85"/>
        <v/>
      </c>
      <c r="F298" s="214" t="str">
        <f t="shared" si="78"/>
        <v/>
      </c>
      <c r="G298" s="180"/>
      <c r="H298" s="181" t="str">
        <f t="shared" si="79"/>
        <v/>
      </c>
      <c r="I298" s="227"/>
      <c r="J298" s="227"/>
      <c r="K298" s="227"/>
      <c r="L298" s="227"/>
      <c r="M298" s="210" t="str">
        <f t="shared" si="84"/>
        <v/>
      </c>
      <c r="N298" s="210"/>
      <c r="O298" s="207"/>
      <c r="P298" s="182" t="str">
        <f t="shared" si="69"/>
        <v/>
      </c>
      <c r="Q298" s="183" t="str">
        <f t="shared" si="80"/>
        <v/>
      </c>
      <c r="R298" s="182" t="str">
        <f>IF(M298&lt;&gt;"",IF(#REF!*F298*10=0,"",#REF!*F298*10),"")</f>
        <v/>
      </c>
      <c r="S298" s="184" t="str">
        <f t="shared" si="81"/>
        <v/>
      </c>
      <c r="T298" s="185" t="str">
        <f t="shared" si="70"/>
        <v/>
      </c>
      <c r="U298" s="183" t="str">
        <f t="shared" si="82"/>
        <v/>
      </c>
      <c r="V298" s="186" t="str">
        <f t="shared" si="71"/>
        <v/>
      </c>
      <c r="W298" s="186" t="str">
        <f t="shared" si="72"/>
        <v/>
      </c>
      <c r="X298" s="187" t="str">
        <f t="shared" si="73"/>
        <v/>
      </c>
      <c r="Y298" s="182" t="str">
        <f t="shared" si="83"/>
        <v/>
      </c>
      <c r="Z298" s="209" t="str">
        <f t="shared" si="74"/>
        <v/>
      </c>
      <c r="AA298" s="209" t="str">
        <f t="shared" si="75"/>
        <v/>
      </c>
      <c r="AB298" s="200"/>
      <c r="AC298" s="192"/>
    </row>
    <row r="299" spans="1:29" ht="11.4">
      <c r="A299" s="211" t="str">
        <f t="shared" si="76"/>
        <v/>
      </c>
      <c r="B299" s="211"/>
      <c r="C299" s="215"/>
      <c r="D299" s="213" t="str">
        <f t="shared" si="77"/>
        <v/>
      </c>
      <c r="E299" s="213" t="str">
        <f t="shared" si="85"/>
        <v/>
      </c>
      <c r="F299" s="214" t="str">
        <f t="shared" si="78"/>
        <v/>
      </c>
      <c r="G299" s="180"/>
      <c r="H299" s="181" t="str">
        <f t="shared" si="79"/>
        <v/>
      </c>
      <c r="I299" s="227"/>
      <c r="J299" s="227"/>
      <c r="K299" s="227"/>
      <c r="L299" s="227"/>
      <c r="M299" s="210" t="str">
        <f t="shared" si="84"/>
        <v/>
      </c>
      <c r="N299" s="210"/>
      <c r="O299" s="207"/>
      <c r="P299" s="182" t="str">
        <f t="shared" si="69"/>
        <v/>
      </c>
      <c r="Q299" s="183" t="str">
        <f t="shared" si="80"/>
        <v/>
      </c>
      <c r="R299" s="182" t="str">
        <f>IF(M299&lt;&gt;"",IF(#REF!*F299*10=0,"",#REF!*F299*10),"")</f>
        <v/>
      </c>
      <c r="S299" s="184" t="str">
        <f t="shared" si="81"/>
        <v/>
      </c>
      <c r="T299" s="185" t="str">
        <f t="shared" si="70"/>
        <v/>
      </c>
      <c r="U299" s="183" t="str">
        <f t="shared" si="82"/>
        <v/>
      </c>
      <c r="V299" s="186" t="str">
        <f t="shared" si="71"/>
        <v/>
      </c>
      <c r="W299" s="186" t="str">
        <f t="shared" si="72"/>
        <v/>
      </c>
      <c r="X299" s="187" t="str">
        <f t="shared" si="73"/>
        <v/>
      </c>
      <c r="Y299" s="182" t="str">
        <f t="shared" si="83"/>
        <v/>
      </c>
      <c r="Z299" s="209" t="str">
        <f t="shared" si="74"/>
        <v/>
      </c>
      <c r="AA299" s="209" t="str">
        <f t="shared" si="75"/>
        <v/>
      </c>
      <c r="AB299" s="200"/>
      <c r="AC299" s="192"/>
    </row>
    <row r="300" spans="1:29" ht="11.4">
      <c r="A300" s="211" t="str">
        <f t="shared" si="76"/>
        <v/>
      </c>
      <c r="B300" s="211"/>
      <c r="C300" s="215"/>
      <c r="D300" s="213" t="str">
        <f t="shared" si="77"/>
        <v/>
      </c>
      <c r="E300" s="213" t="str">
        <f t="shared" si="85"/>
        <v/>
      </c>
      <c r="F300" s="214" t="str">
        <f t="shared" si="78"/>
        <v/>
      </c>
      <c r="G300" s="180"/>
      <c r="H300" s="181" t="str">
        <f t="shared" si="79"/>
        <v/>
      </c>
      <c r="I300" s="227"/>
      <c r="J300" s="227"/>
      <c r="K300" s="227"/>
      <c r="L300" s="227"/>
      <c r="M300" s="210" t="str">
        <f t="shared" si="84"/>
        <v/>
      </c>
      <c r="N300" s="210"/>
      <c r="O300" s="207"/>
      <c r="P300" s="182" t="str">
        <f t="shared" si="69"/>
        <v/>
      </c>
      <c r="Q300" s="183" t="str">
        <f t="shared" si="80"/>
        <v/>
      </c>
      <c r="R300" s="182" t="str">
        <f>IF(M300&lt;&gt;"",IF(#REF!*F300*10=0,"",#REF!*F300*10),"")</f>
        <v/>
      </c>
      <c r="S300" s="184" t="str">
        <f t="shared" si="81"/>
        <v/>
      </c>
      <c r="T300" s="185" t="str">
        <f t="shared" si="70"/>
        <v/>
      </c>
      <c r="U300" s="183" t="str">
        <f t="shared" si="82"/>
        <v/>
      </c>
      <c r="V300" s="186" t="str">
        <f t="shared" si="71"/>
        <v/>
      </c>
      <c r="W300" s="186" t="str">
        <f t="shared" si="72"/>
        <v/>
      </c>
      <c r="X300" s="187" t="str">
        <f t="shared" si="73"/>
        <v/>
      </c>
      <c r="Y300" s="182" t="str">
        <f t="shared" si="83"/>
        <v/>
      </c>
      <c r="Z300" s="209" t="str">
        <f t="shared" si="74"/>
        <v/>
      </c>
      <c r="AA300" s="209" t="str">
        <f t="shared" si="75"/>
        <v/>
      </c>
      <c r="AB300" s="200"/>
      <c r="AC300" s="192"/>
    </row>
    <row r="301" spans="1:29" ht="11.4">
      <c r="A301" s="211" t="str">
        <f t="shared" si="76"/>
        <v/>
      </c>
      <c r="B301" s="211"/>
      <c r="C301" s="215"/>
      <c r="D301" s="213" t="str">
        <f t="shared" si="77"/>
        <v/>
      </c>
      <c r="E301" s="213" t="str">
        <f t="shared" si="85"/>
        <v/>
      </c>
      <c r="F301" s="214" t="str">
        <f t="shared" si="78"/>
        <v/>
      </c>
      <c r="G301" s="180"/>
      <c r="H301" s="181" t="str">
        <f t="shared" si="79"/>
        <v/>
      </c>
      <c r="I301" s="227"/>
      <c r="J301" s="227"/>
      <c r="K301" s="227"/>
      <c r="L301" s="227"/>
      <c r="M301" s="210" t="str">
        <f t="shared" si="84"/>
        <v/>
      </c>
      <c r="N301" s="210"/>
      <c r="O301" s="207"/>
      <c r="P301" s="182" t="str">
        <f t="shared" si="69"/>
        <v/>
      </c>
      <c r="Q301" s="183" t="str">
        <f t="shared" si="80"/>
        <v/>
      </c>
      <c r="R301" s="182" t="str">
        <f>IF(M301&lt;&gt;"",IF(#REF!*F301*10=0,"",#REF!*F301*10),"")</f>
        <v/>
      </c>
      <c r="S301" s="184" t="str">
        <f t="shared" si="81"/>
        <v/>
      </c>
      <c r="T301" s="185" t="str">
        <f t="shared" si="70"/>
        <v/>
      </c>
      <c r="U301" s="183" t="str">
        <f t="shared" si="82"/>
        <v/>
      </c>
      <c r="V301" s="186" t="str">
        <f t="shared" si="71"/>
        <v/>
      </c>
      <c r="W301" s="186" t="str">
        <f t="shared" si="72"/>
        <v/>
      </c>
      <c r="X301" s="187" t="str">
        <f t="shared" si="73"/>
        <v/>
      </c>
      <c r="Y301" s="182" t="str">
        <f t="shared" si="83"/>
        <v/>
      </c>
      <c r="Z301" s="209" t="str">
        <f t="shared" si="74"/>
        <v/>
      </c>
      <c r="AA301" s="209" t="str">
        <f t="shared" si="75"/>
        <v/>
      </c>
      <c r="AB301" s="200"/>
      <c r="AC301" s="192"/>
    </row>
    <row r="302" spans="1:29" ht="11.4">
      <c r="A302" s="211" t="str">
        <f t="shared" si="76"/>
        <v/>
      </c>
      <c r="B302" s="211"/>
      <c r="C302" s="215"/>
      <c r="D302" s="213" t="str">
        <f t="shared" si="77"/>
        <v/>
      </c>
      <c r="E302" s="213" t="str">
        <f t="shared" si="85"/>
        <v/>
      </c>
      <c r="F302" s="214" t="str">
        <f t="shared" si="78"/>
        <v/>
      </c>
      <c r="G302" s="180"/>
      <c r="H302" s="181" t="str">
        <f t="shared" si="79"/>
        <v/>
      </c>
      <c r="I302" s="227"/>
      <c r="J302" s="227"/>
      <c r="K302" s="227"/>
      <c r="L302" s="227"/>
      <c r="M302" s="210" t="str">
        <f t="shared" si="84"/>
        <v/>
      </c>
      <c r="N302" s="210"/>
      <c r="O302" s="207"/>
      <c r="P302" s="182" t="str">
        <f t="shared" si="69"/>
        <v/>
      </c>
      <c r="Q302" s="183" t="str">
        <f t="shared" si="80"/>
        <v/>
      </c>
      <c r="R302" s="182" t="str">
        <f>IF(M302&lt;&gt;"",IF(#REF!*F302*10=0,"",#REF!*F302*10),"")</f>
        <v/>
      </c>
      <c r="S302" s="184" t="str">
        <f t="shared" si="81"/>
        <v/>
      </c>
      <c r="T302" s="185" t="str">
        <f t="shared" si="70"/>
        <v/>
      </c>
      <c r="U302" s="183" t="str">
        <f t="shared" si="82"/>
        <v/>
      </c>
      <c r="V302" s="186" t="str">
        <f t="shared" si="71"/>
        <v/>
      </c>
      <c r="W302" s="186" t="str">
        <f t="shared" si="72"/>
        <v/>
      </c>
      <c r="X302" s="187" t="str">
        <f t="shared" si="73"/>
        <v/>
      </c>
      <c r="Y302" s="182" t="str">
        <f t="shared" si="83"/>
        <v/>
      </c>
      <c r="Z302" s="209" t="str">
        <f t="shared" si="74"/>
        <v/>
      </c>
      <c r="AA302" s="209" t="str">
        <f t="shared" si="75"/>
        <v/>
      </c>
      <c r="AB302" s="200"/>
      <c r="AC302" s="192"/>
    </row>
    <row r="303" spans="1:29" ht="11.4">
      <c r="A303" s="211" t="str">
        <f t="shared" si="76"/>
        <v/>
      </c>
      <c r="B303" s="211"/>
      <c r="C303" s="215"/>
      <c r="D303" s="213" t="str">
        <f t="shared" si="77"/>
        <v/>
      </c>
      <c r="E303" s="213" t="str">
        <f t="shared" si="85"/>
        <v/>
      </c>
      <c r="F303" s="214" t="str">
        <f t="shared" si="78"/>
        <v/>
      </c>
      <c r="G303" s="180"/>
      <c r="H303" s="181" t="str">
        <f t="shared" si="79"/>
        <v/>
      </c>
      <c r="I303" s="227"/>
      <c r="J303" s="227"/>
      <c r="K303" s="227"/>
      <c r="L303" s="227"/>
      <c r="M303" s="210" t="str">
        <f t="shared" si="84"/>
        <v/>
      </c>
      <c r="N303" s="210"/>
      <c r="O303" s="207"/>
      <c r="P303" s="182" t="str">
        <f t="shared" si="69"/>
        <v/>
      </c>
      <c r="Q303" s="183" t="str">
        <f t="shared" si="80"/>
        <v/>
      </c>
      <c r="R303" s="182" t="str">
        <f>IF(M303&lt;&gt;"",IF(#REF!*F303*10=0,"",#REF!*F303*10),"")</f>
        <v/>
      </c>
      <c r="S303" s="184" t="str">
        <f t="shared" si="81"/>
        <v/>
      </c>
      <c r="T303" s="185" t="str">
        <f t="shared" si="70"/>
        <v/>
      </c>
      <c r="U303" s="183" t="str">
        <f t="shared" si="82"/>
        <v/>
      </c>
      <c r="V303" s="186" t="str">
        <f t="shared" si="71"/>
        <v/>
      </c>
      <c r="W303" s="186" t="str">
        <f t="shared" si="72"/>
        <v/>
      </c>
      <c r="X303" s="187" t="str">
        <f t="shared" si="73"/>
        <v/>
      </c>
      <c r="Y303" s="182" t="str">
        <f t="shared" si="83"/>
        <v/>
      </c>
      <c r="Z303" s="209" t="str">
        <f t="shared" si="74"/>
        <v/>
      </c>
      <c r="AA303" s="209" t="str">
        <f t="shared" si="75"/>
        <v/>
      </c>
      <c r="AB303" s="200"/>
      <c r="AC303" s="192"/>
    </row>
    <row r="304" spans="1:29" ht="11.4">
      <c r="A304" s="211" t="str">
        <f t="shared" si="76"/>
        <v/>
      </c>
      <c r="B304" s="211"/>
      <c r="C304" s="215"/>
      <c r="D304" s="213" t="str">
        <f t="shared" si="77"/>
        <v/>
      </c>
      <c r="E304" s="213" t="str">
        <f t="shared" si="85"/>
        <v/>
      </c>
      <c r="F304" s="214" t="str">
        <f t="shared" si="78"/>
        <v/>
      </c>
      <c r="G304" s="180"/>
      <c r="H304" s="181" t="str">
        <f t="shared" si="79"/>
        <v/>
      </c>
      <c r="I304" s="227"/>
      <c r="J304" s="227"/>
      <c r="K304" s="227"/>
      <c r="L304" s="227"/>
      <c r="M304" s="210" t="str">
        <f t="shared" si="84"/>
        <v/>
      </c>
      <c r="N304" s="210"/>
      <c r="O304" s="207"/>
      <c r="P304" s="182" t="str">
        <f t="shared" si="69"/>
        <v/>
      </c>
      <c r="Q304" s="183" t="str">
        <f t="shared" si="80"/>
        <v/>
      </c>
      <c r="R304" s="182" t="str">
        <f>IF(M304&lt;&gt;"",IF(#REF!*F304*10=0,"",#REF!*F304*10),"")</f>
        <v/>
      </c>
      <c r="S304" s="184" t="str">
        <f t="shared" si="81"/>
        <v/>
      </c>
      <c r="T304" s="185" t="str">
        <f t="shared" si="70"/>
        <v/>
      </c>
      <c r="U304" s="183" t="str">
        <f t="shared" si="82"/>
        <v/>
      </c>
      <c r="V304" s="186" t="str">
        <f t="shared" si="71"/>
        <v/>
      </c>
      <c r="W304" s="186" t="str">
        <f t="shared" si="72"/>
        <v/>
      </c>
      <c r="X304" s="187" t="str">
        <f t="shared" si="73"/>
        <v/>
      </c>
      <c r="Y304" s="182" t="str">
        <f t="shared" si="83"/>
        <v/>
      </c>
      <c r="Z304" s="209" t="str">
        <f t="shared" si="74"/>
        <v/>
      </c>
      <c r="AA304" s="209" t="str">
        <f t="shared" si="75"/>
        <v/>
      </c>
      <c r="AB304" s="200"/>
      <c r="AC304" s="192"/>
    </row>
    <row r="305" spans="1:29" ht="11.4">
      <c r="A305" s="211" t="str">
        <f t="shared" si="76"/>
        <v/>
      </c>
      <c r="B305" s="211"/>
      <c r="C305" s="215"/>
      <c r="D305" s="213" t="str">
        <f t="shared" si="77"/>
        <v/>
      </c>
      <c r="E305" s="213" t="str">
        <f t="shared" si="85"/>
        <v/>
      </c>
      <c r="F305" s="214" t="str">
        <f t="shared" si="78"/>
        <v/>
      </c>
      <c r="G305" s="180"/>
      <c r="H305" s="181" t="str">
        <f t="shared" si="79"/>
        <v/>
      </c>
      <c r="I305" s="227"/>
      <c r="J305" s="227"/>
      <c r="K305" s="227"/>
      <c r="L305" s="227"/>
      <c r="M305" s="210" t="str">
        <f t="shared" si="84"/>
        <v/>
      </c>
      <c r="N305" s="210"/>
      <c r="O305" s="207"/>
      <c r="P305" s="182" t="str">
        <f t="shared" si="69"/>
        <v/>
      </c>
      <c r="Q305" s="183" t="str">
        <f t="shared" si="80"/>
        <v/>
      </c>
      <c r="R305" s="182" t="str">
        <f>IF(M305&lt;&gt;"",IF(#REF!*F305*10=0,"",#REF!*F305*10),"")</f>
        <v/>
      </c>
      <c r="S305" s="184" t="str">
        <f t="shared" si="81"/>
        <v/>
      </c>
      <c r="T305" s="185" t="str">
        <f t="shared" si="70"/>
        <v/>
      </c>
      <c r="U305" s="183" t="str">
        <f t="shared" si="82"/>
        <v/>
      </c>
      <c r="V305" s="186" t="str">
        <f t="shared" si="71"/>
        <v/>
      </c>
      <c r="W305" s="186" t="str">
        <f t="shared" si="72"/>
        <v/>
      </c>
      <c r="X305" s="187" t="str">
        <f t="shared" si="73"/>
        <v/>
      </c>
      <c r="Y305" s="182" t="str">
        <f t="shared" si="83"/>
        <v/>
      </c>
      <c r="Z305" s="209" t="str">
        <f t="shared" si="74"/>
        <v/>
      </c>
      <c r="AA305" s="209" t="str">
        <f t="shared" si="75"/>
        <v/>
      </c>
      <c r="AB305" s="200"/>
      <c r="AC305" s="192"/>
    </row>
    <row r="306" spans="1:29" ht="11.4">
      <c r="A306" s="211" t="str">
        <f t="shared" si="76"/>
        <v/>
      </c>
      <c r="B306" s="211"/>
      <c r="C306" s="215"/>
      <c r="D306" s="213" t="str">
        <f t="shared" si="77"/>
        <v/>
      </c>
      <c r="E306" s="213" t="str">
        <f t="shared" si="85"/>
        <v/>
      </c>
      <c r="F306" s="214" t="str">
        <f t="shared" si="78"/>
        <v/>
      </c>
      <c r="G306" s="180"/>
      <c r="H306" s="181" t="str">
        <f t="shared" si="79"/>
        <v/>
      </c>
      <c r="I306" s="227"/>
      <c r="J306" s="227"/>
      <c r="K306" s="227"/>
      <c r="L306" s="227"/>
      <c r="M306" s="210" t="str">
        <f t="shared" si="84"/>
        <v/>
      </c>
      <c r="N306" s="210"/>
      <c r="O306" s="207"/>
      <c r="P306" s="182" t="str">
        <f t="shared" si="69"/>
        <v/>
      </c>
      <c r="Q306" s="183" t="str">
        <f t="shared" si="80"/>
        <v/>
      </c>
      <c r="R306" s="182" t="str">
        <f>IF(M306&lt;&gt;"",IF(#REF!*F306*10=0,"",#REF!*F306*10),"")</f>
        <v/>
      </c>
      <c r="S306" s="184" t="str">
        <f t="shared" si="81"/>
        <v/>
      </c>
      <c r="T306" s="185" t="str">
        <f t="shared" si="70"/>
        <v/>
      </c>
      <c r="U306" s="183" t="str">
        <f t="shared" si="82"/>
        <v/>
      </c>
      <c r="V306" s="186" t="str">
        <f t="shared" si="71"/>
        <v/>
      </c>
      <c r="W306" s="186" t="str">
        <f t="shared" si="72"/>
        <v/>
      </c>
      <c r="X306" s="187" t="str">
        <f t="shared" si="73"/>
        <v/>
      </c>
      <c r="Y306" s="182" t="str">
        <f t="shared" si="83"/>
        <v/>
      </c>
      <c r="Z306" s="209" t="str">
        <f t="shared" si="74"/>
        <v/>
      </c>
      <c r="AA306" s="209" t="str">
        <f t="shared" si="75"/>
        <v/>
      </c>
      <c r="AB306" s="200"/>
      <c r="AC306" s="192"/>
    </row>
    <row r="307" spans="1:29" ht="11.4">
      <c r="A307" s="211" t="str">
        <f t="shared" si="76"/>
        <v/>
      </c>
      <c r="B307" s="211"/>
      <c r="C307" s="215"/>
      <c r="D307" s="213" t="str">
        <f t="shared" si="77"/>
        <v/>
      </c>
      <c r="E307" s="213" t="str">
        <f t="shared" si="85"/>
        <v/>
      </c>
      <c r="F307" s="214" t="str">
        <f t="shared" si="78"/>
        <v/>
      </c>
      <c r="G307" s="180"/>
      <c r="H307" s="181" t="str">
        <f t="shared" si="79"/>
        <v/>
      </c>
      <c r="I307" s="227"/>
      <c r="J307" s="227"/>
      <c r="K307" s="227"/>
      <c r="L307" s="227"/>
      <c r="M307" s="210" t="str">
        <f t="shared" si="84"/>
        <v/>
      </c>
      <c r="N307" s="210"/>
      <c r="O307" s="207"/>
      <c r="P307" s="182" t="str">
        <f t="shared" si="69"/>
        <v/>
      </c>
      <c r="Q307" s="183" t="str">
        <f t="shared" si="80"/>
        <v/>
      </c>
      <c r="R307" s="182" t="str">
        <f>IF(M307&lt;&gt;"",IF(#REF!*F307*10=0,"",#REF!*F307*10),"")</f>
        <v/>
      </c>
      <c r="S307" s="184" t="str">
        <f t="shared" si="81"/>
        <v/>
      </c>
      <c r="T307" s="185" t="str">
        <f t="shared" si="70"/>
        <v/>
      </c>
      <c r="U307" s="183" t="str">
        <f t="shared" si="82"/>
        <v/>
      </c>
      <c r="V307" s="186" t="str">
        <f t="shared" si="71"/>
        <v/>
      </c>
      <c r="W307" s="186" t="str">
        <f t="shared" si="72"/>
        <v/>
      </c>
      <c r="X307" s="187" t="str">
        <f t="shared" si="73"/>
        <v/>
      </c>
      <c r="Y307" s="182" t="str">
        <f t="shared" si="83"/>
        <v/>
      </c>
      <c r="Z307" s="209" t="str">
        <f t="shared" si="74"/>
        <v/>
      </c>
      <c r="AA307" s="209" t="str">
        <f t="shared" si="75"/>
        <v/>
      </c>
      <c r="AB307" s="200"/>
      <c r="AC307" s="192"/>
    </row>
    <row r="308" spans="1:29" ht="11.4">
      <c r="A308" s="211" t="str">
        <f t="shared" si="76"/>
        <v/>
      </c>
      <c r="B308" s="211"/>
      <c r="C308" s="215"/>
      <c r="D308" s="213" t="str">
        <f t="shared" si="77"/>
        <v/>
      </c>
      <c r="E308" s="213" t="str">
        <f t="shared" si="85"/>
        <v/>
      </c>
      <c r="F308" s="214" t="str">
        <f t="shared" si="78"/>
        <v/>
      </c>
      <c r="G308" s="180"/>
      <c r="H308" s="181" t="str">
        <f t="shared" si="79"/>
        <v/>
      </c>
      <c r="I308" s="227"/>
      <c r="J308" s="227"/>
      <c r="K308" s="227"/>
      <c r="L308" s="227"/>
      <c r="M308" s="210" t="str">
        <f t="shared" si="84"/>
        <v/>
      </c>
      <c r="N308" s="210"/>
      <c r="O308" s="207"/>
      <c r="P308" s="182" t="str">
        <f t="shared" si="69"/>
        <v/>
      </c>
      <c r="Q308" s="183" t="str">
        <f t="shared" si="80"/>
        <v/>
      </c>
      <c r="R308" s="182" t="str">
        <f>IF(M308&lt;&gt;"",IF(#REF!*F308*10=0,"",#REF!*F308*10),"")</f>
        <v/>
      </c>
      <c r="S308" s="184" t="str">
        <f t="shared" si="81"/>
        <v/>
      </c>
      <c r="T308" s="185" t="str">
        <f t="shared" si="70"/>
        <v/>
      </c>
      <c r="U308" s="183" t="str">
        <f t="shared" si="82"/>
        <v/>
      </c>
      <c r="V308" s="186" t="str">
        <f t="shared" si="71"/>
        <v/>
      </c>
      <c r="W308" s="186" t="str">
        <f t="shared" si="72"/>
        <v/>
      </c>
      <c r="X308" s="187" t="str">
        <f t="shared" si="73"/>
        <v/>
      </c>
      <c r="Y308" s="182" t="str">
        <f t="shared" si="83"/>
        <v/>
      </c>
      <c r="Z308" s="209" t="str">
        <f t="shared" si="74"/>
        <v/>
      </c>
      <c r="AA308" s="209" t="str">
        <f t="shared" si="75"/>
        <v/>
      </c>
      <c r="AB308" s="200"/>
      <c r="AC308" s="192"/>
    </row>
    <row r="309" spans="1:29" ht="11.4">
      <c r="A309" s="211" t="str">
        <f t="shared" si="76"/>
        <v/>
      </c>
      <c r="B309" s="211"/>
      <c r="C309" s="215"/>
      <c r="D309" s="213" t="str">
        <f t="shared" si="77"/>
        <v/>
      </c>
      <c r="E309" s="213" t="str">
        <f t="shared" si="85"/>
        <v/>
      </c>
      <c r="F309" s="214" t="str">
        <f t="shared" si="78"/>
        <v/>
      </c>
      <c r="G309" s="180"/>
      <c r="H309" s="181" t="str">
        <f t="shared" si="79"/>
        <v/>
      </c>
      <c r="I309" s="227"/>
      <c r="J309" s="227"/>
      <c r="K309" s="227"/>
      <c r="L309" s="227"/>
      <c r="M309" s="210" t="str">
        <f t="shared" si="84"/>
        <v/>
      </c>
      <c r="N309" s="210"/>
      <c r="O309" s="207"/>
      <c r="P309" s="182" t="str">
        <f t="shared" si="69"/>
        <v/>
      </c>
      <c r="Q309" s="183" t="str">
        <f t="shared" si="80"/>
        <v/>
      </c>
      <c r="R309" s="182" t="str">
        <f>IF(M309&lt;&gt;"",IF(#REF!*F309*10=0,"",#REF!*F309*10),"")</f>
        <v/>
      </c>
      <c r="S309" s="184" t="str">
        <f t="shared" si="81"/>
        <v/>
      </c>
      <c r="T309" s="185" t="str">
        <f t="shared" si="70"/>
        <v/>
      </c>
      <c r="U309" s="183" t="str">
        <f t="shared" si="82"/>
        <v/>
      </c>
      <c r="V309" s="186" t="str">
        <f t="shared" si="71"/>
        <v/>
      </c>
      <c r="W309" s="186" t="str">
        <f t="shared" si="72"/>
        <v/>
      </c>
      <c r="X309" s="187" t="str">
        <f t="shared" si="73"/>
        <v/>
      </c>
      <c r="Y309" s="182" t="str">
        <f t="shared" si="83"/>
        <v/>
      </c>
      <c r="Z309" s="209" t="str">
        <f t="shared" si="74"/>
        <v/>
      </c>
      <c r="AA309" s="209" t="str">
        <f t="shared" si="75"/>
        <v/>
      </c>
      <c r="AB309" s="200"/>
      <c r="AC309" s="192"/>
    </row>
    <row r="310" spans="1:29" ht="11.4">
      <c r="A310" s="211" t="str">
        <f t="shared" si="76"/>
        <v/>
      </c>
      <c r="B310" s="211"/>
      <c r="C310" s="215"/>
      <c r="D310" s="213" t="str">
        <f t="shared" si="77"/>
        <v/>
      </c>
      <c r="E310" s="213" t="str">
        <f t="shared" si="85"/>
        <v/>
      </c>
      <c r="F310" s="214" t="str">
        <f t="shared" si="78"/>
        <v/>
      </c>
      <c r="G310" s="180"/>
      <c r="H310" s="181" t="str">
        <f t="shared" si="79"/>
        <v/>
      </c>
      <c r="I310" s="227"/>
      <c r="J310" s="227"/>
      <c r="K310" s="227"/>
      <c r="L310" s="227"/>
      <c r="M310" s="210" t="str">
        <f t="shared" si="84"/>
        <v/>
      </c>
      <c r="N310" s="210"/>
      <c r="O310" s="207"/>
      <c r="P310" s="182" t="str">
        <f t="shared" si="69"/>
        <v/>
      </c>
      <c r="Q310" s="183" t="str">
        <f t="shared" si="80"/>
        <v/>
      </c>
      <c r="R310" s="182" t="str">
        <f>IF(M310&lt;&gt;"",IF(#REF!*F310*10=0,"",#REF!*F310*10),"")</f>
        <v/>
      </c>
      <c r="S310" s="184" t="str">
        <f t="shared" si="81"/>
        <v/>
      </c>
      <c r="T310" s="185" t="str">
        <f t="shared" si="70"/>
        <v/>
      </c>
      <c r="U310" s="183" t="str">
        <f t="shared" si="82"/>
        <v/>
      </c>
      <c r="V310" s="186" t="str">
        <f t="shared" si="71"/>
        <v/>
      </c>
      <c r="W310" s="186" t="str">
        <f t="shared" si="72"/>
        <v/>
      </c>
      <c r="X310" s="187" t="str">
        <f t="shared" si="73"/>
        <v/>
      </c>
      <c r="Y310" s="182" t="str">
        <f t="shared" si="83"/>
        <v/>
      </c>
      <c r="Z310" s="209" t="str">
        <f t="shared" si="74"/>
        <v/>
      </c>
      <c r="AA310" s="209" t="str">
        <f t="shared" si="75"/>
        <v/>
      </c>
      <c r="AB310" s="200"/>
      <c r="AC310" s="192"/>
    </row>
    <row r="311" spans="1:29" ht="11.4">
      <c r="A311" s="211" t="str">
        <f t="shared" si="76"/>
        <v/>
      </c>
      <c r="B311" s="211"/>
      <c r="C311" s="215"/>
      <c r="D311" s="213" t="str">
        <f t="shared" si="77"/>
        <v/>
      </c>
      <c r="E311" s="213" t="str">
        <f t="shared" si="85"/>
        <v/>
      </c>
      <c r="F311" s="214" t="str">
        <f t="shared" si="78"/>
        <v/>
      </c>
      <c r="G311" s="180"/>
      <c r="H311" s="181" t="str">
        <f t="shared" si="79"/>
        <v/>
      </c>
      <c r="I311" s="227"/>
      <c r="J311" s="227"/>
      <c r="K311" s="227"/>
      <c r="L311" s="227"/>
      <c r="M311" s="210" t="str">
        <f t="shared" si="84"/>
        <v/>
      </c>
      <c r="N311" s="210"/>
      <c r="O311" s="207"/>
      <c r="P311" s="182" t="str">
        <f t="shared" si="69"/>
        <v/>
      </c>
      <c r="Q311" s="183" t="str">
        <f t="shared" si="80"/>
        <v/>
      </c>
      <c r="R311" s="182" t="str">
        <f>IF(M311&lt;&gt;"",IF(#REF!*F311*10=0,"",#REF!*F311*10),"")</f>
        <v/>
      </c>
      <c r="S311" s="184" t="str">
        <f t="shared" si="81"/>
        <v/>
      </c>
      <c r="T311" s="185" t="str">
        <f t="shared" si="70"/>
        <v/>
      </c>
      <c r="U311" s="183" t="str">
        <f t="shared" si="82"/>
        <v/>
      </c>
      <c r="V311" s="186" t="str">
        <f t="shared" si="71"/>
        <v/>
      </c>
      <c r="W311" s="186" t="str">
        <f t="shared" si="72"/>
        <v/>
      </c>
      <c r="X311" s="187" t="str">
        <f t="shared" si="73"/>
        <v/>
      </c>
      <c r="Y311" s="182" t="str">
        <f t="shared" si="83"/>
        <v/>
      </c>
      <c r="Z311" s="209" t="str">
        <f t="shared" si="74"/>
        <v/>
      </c>
      <c r="AA311" s="209" t="str">
        <f t="shared" si="75"/>
        <v/>
      </c>
      <c r="AB311" s="200"/>
      <c r="AC311" s="192"/>
    </row>
    <row r="312" spans="1:29" ht="11.4">
      <c r="A312" s="211" t="str">
        <f t="shared" si="76"/>
        <v/>
      </c>
      <c r="B312" s="211"/>
      <c r="C312" s="215"/>
      <c r="D312" s="213" t="str">
        <f t="shared" si="77"/>
        <v/>
      </c>
      <c r="E312" s="213" t="str">
        <f t="shared" si="85"/>
        <v/>
      </c>
      <c r="F312" s="214" t="str">
        <f t="shared" si="78"/>
        <v/>
      </c>
      <c r="G312" s="180"/>
      <c r="H312" s="181" t="str">
        <f t="shared" si="79"/>
        <v/>
      </c>
      <c r="I312" s="227"/>
      <c r="J312" s="227"/>
      <c r="K312" s="227"/>
      <c r="L312" s="227"/>
      <c r="M312" s="210" t="str">
        <f t="shared" si="84"/>
        <v/>
      </c>
      <c r="N312" s="210"/>
      <c r="O312" s="207"/>
      <c r="P312" s="182" t="str">
        <f t="shared" si="69"/>
        <v/>
      </c>
      <c r="Q312" s="183" t="str">
        <f t="shared" si="80"/>
        <v/>
      </c>
      <c r="R312" s="182" t="str">
        <f>IF(M312&lt;&gt;"",IF(#REF!*F312*10=0,"",#REF!*F312*10),"")</f>
        <v/>
      </c>
      <c r="S312" s="184" t="str">
        <f t="shared" si="81"/>
        <v/>
      </c>
      <c r="T312" s="185" t="str">
        <f t="shared" si="70"/>
        <v/>
      </c>
      <c r="U312" s="183" t="str">
        <f t="shared" si="82"/>
        <v/>
      </c>
      <c r="V312" s="186" t="str">
        <f t="shared" si="71"/>
        <v/>
      </c>
      <c r="W312" s="186" t="str">
        <f t="shared" si="72"/>
        <v/>
      </c>
      <c r="X312" s="187" t="str">
        <f t="shared" si="73"/>
        <v/>
      </c>
      <c r="Y312" s="182" t="str">
        <f t="shared" si="83"/>
        <v/>
      </c>
      <c r="Z312" s="209" t="str">
        <f t="shared" si="74"/>
        <v/>
      </c>
      <c r="AA312" s="209" t="str">
        <f t="shared" si="75"/>
        <v/>
      </c>
      <c r="AB312" s="200"/>
      <c r="AC312" s="192"/>
    </row>
    <row r="313" spans="1:29" ht="11.4">
      <c r="A313" s="211" t="str">
        <f t="shared" si="76"/>
        <v/>
      </c>
      <c r="B313" s="211"/>
      <c r="C313" s="215"/>
      <c r="D313" s="213" t="str">
        <f t="shared" si="77"/>
        <v/>
      </c>
      <c r="E313" s="213" t="str">
        <f t="shared" si="85"/>
        <v/>
      </c>
      <c r="F313" s="214" t="str">
        <f t="shared" si="78"/>
        <v/>
      </c>
      <c r="G313" s="180"/>
      <c r="H313" s="181" t="str">
        <f t="shared" si="79"/>
        <v/>
      </c>
      <c r="I313" s="227"/>
      <c r="J313" s="227"/>
      <c r="K313" s="227"/>
      <c r="L313" s="227"/>
      <c r="M313" s="210" t="str">
        <f t="shared" si="84"/>
        <v/>
      </c>
      <c r="N313" s="210"/>
      <c r="O313" s="207"/>
      <c r="P313" s="182" t="str">
        <f t="shared" si="69"/>
        <v/>
      </c>
      <c r="Q313" s="183" t="str">
        <f t="shared" si="80"/>
        <v/>
      </c>
      <c r="R313" s="182" t="str">
        <f>IF(M313&lt;&gt;"",IF(#REF!*F313*10=0,"",#REF!*F313*10),"")</f>
        <v/>
      </c>
      <c r="S313" s="184" t="str">
        <f t="shared" si="81"/>
        <v/>
      </c>
      <c r="T313" s="185" t="str">
        <f t="shared" si="70"/>
        <v/>
      </c>
      <c r="U313" s="183" t="str">
        <f t="shared" si="82"/>
        <v/>
      </c>
      <c r="V313" s="186" t="str">
        <f t="shared" si="71"/>
        <v/>
      </c>
      <c r="W313" s="186" t="str">
        <f t="shared" si="72"/>
        <v/>
      </c>
      <c r="X313" s="187" t="str">
        <f t="shared" si="73"/>
        <v/>
      </c>
      <c r="Y313" s="182" t="str">
        <f t="shared" si="83"/>
        <v/>
      </c>
      <c r="Z313" s="209" t="str">
        <f t="shared" si="74"/>
        <v/>
      </c>
      <c r="AA313" s="209" t="str">
        <f t="shared" si="75"/>
        <v/>
      </c>
      <c r="AB313" s="200"/>
      <c r="AC313" s="192"/>
    </row>
    <row r="314" spans="1:29" ht="11.4">
      <c r="A314" s="211" t="str">
        <f t="shared" si="76"/>
        <v/>
      </c>
      <c r="B314" s="211"/>
      <c r="C314" s="215"/>
      <c r="D314" s="213" t="str">
        <f t="shared" si="77"/>
        <v/>
      </c>
      <c r="E314" s="213" t="str">
        <f t="shared" si="85"/>
        <v/>
      </c>
      <c r="F314" s="214" t="str">
        <f t="shared" si="78"/>
        <v/>
      </c>
      <c r="G314" s="180"/>
      <c r="H314" s="181" t="str">
        <f t="shared" si="79"/>
        <v/>
      </c>
      <c r="I314" s="227"/>
      <c r="J314" s="227"/>
      <c r="K314" s="227"/>
      <c r="L314" s="227"/>
      <c r="M314" s="210" t="str">
        <f t="shared" si="84"/>
        <v/>
      </c>
      <c r="N314" s="210"/>
      <c r="O314" s="207"/>
      <c r="P314" s="182" t="str">
        <f t="shared" si="69"/>
        <v/>
      </c>
      <c r="Q314" s="183" t="str">
        <f t="shared" si="80"/>
        <v/>
      </c>
      <c r="R314" s="182" t="str">
        <f>IF(M314&lt;&gt;"",IF(#REF!*F314*10=0,"",#REF!*F314*10),"")</f>
        <v/>
      </c>
      <c r="S314" s="184" t="str">
        <f t="shared" si="81"/>
        <v/>
      </c>
      <c r="T314" s="185" t="str">
        <f t="shared" si="70"/>
        <v/>
      </c>
      <c r="U314" s="183" t="str">
        <f t="shared" si="82"/>
        <v/>
      </c>
      <c r="V314" s="186" t="str">
        <f t="shared" si="71"/>
        <v/>
      </c>
      <c r="W314" s="186" t="str">
        <f t="shared" si="72"/>
        <v/>
      </c>
      <c r="X314" s="187" t="str">
        <f t="shared" si="73"/>
        <v/>
      </c>
      <c r="Y314" s="182" t="str">
        <f t="shared" si="83"/>
        <v/>
      </c>
      <c r="Z314" s="209" t="str">
        <f t="shared" si="74"/>
        <v/>
      </c>
      <c r="AA314" s="209" t="str">
        <f t="shared" si="75"/>
        <v/>
      </c>
      <c r="AB314" s="200"/>
      <c r="AC314" s="192"/>
    </row>
    <row r="315" spans="1:29" ht="11.4">
      <c r="A315" s="211" t="str">
        <f t="shared" si="76"/>
        <v/>
      </c>
      <c r="B315" s="211"/>
      <c r="C315" s="215"/>
      <c r="D315" s="213" t="str">
        <f t="shared" si="77"/>
        <v/>
      </c>
      <c r="E315" s="213" t="str">
        <f t="shared" si="85"/>
        <v/>
      </c>
      <c r="F315" s="214" t="str">
        <f t="shared" si="78"/>
        <v/>
      </c>
      <c r="G315" s="180"/>
      <c r="H315" s="181" t="str">
        <f t="shared" si="79"/>
        <v/>
      </c>
      <c r="I315" s="227"/>
      <c r="J315" s="227"/>
      <c r="K315" s="227"/>
      <c r="L315" s="227"/>
      <c r="M315" s="210" t="str">
        <f t="shared" si="84"/>
        <v/>
      </c>
      <c r="N315" s="210"/>
      <c r="O315" s="207"/>
      <c r="P315" s="182" t="str">
        <f t="shared" si="69"/>
        <v/>
      </c>
      <c r="Q315" s="183" t="str">
        <f t="shared" si="80"/>
        <v/>
      </c>
      <c r="R315" s="182" t="str">
        <f>IF(M315&lt;&gt;"",IF(#REF!*F315*10=0,"",#REF!*F315*10),"")</f>
        <v/>
      </c>
      <c r="S315" s="184" t="str">
        <f t="shared" si="81"/>
        <v/>
      </c>
      <c r="T315" s="185" t="str">
        <f t="shared" si="70"/>
        <v/>
      </c>
      <c r="U315" s="183" t="str">
        <f t="shared" si="82"/>
        <v/>
      </c>
      <c r="V315" s="186" t="str">
        <f t="shared" si="71"/>
        <v/>
      </c>
      <c r="W315" s="186" t="str">
        <f t="shared" si="72"/>
        <v/>
      </c>
      <c r="X315" s="187" t="str">
        <f t="shared" si="73"/>
        <v/>
      </c>
      <c r="Y315" s="182" t="str">
        <f t="shared" si="83"/>
        <v/>
      </c>
      <c r="Z315" s="209" t="str">
        <f t="shared" si="74"/>
        <v/>
      </c>
      <c r="AA315" s="209" t="str">
        <f t="shared" si="75"/>
        <v/>
      </c>
      <c r="AB315" s="200"/>
      <c r="AC315" s="192"/>
    </row>
    <row r="316" spans="1:29" ht="11.4">
      <c r="A316" s="211" t="str">
        <f t="shared" si="76"/>
        <v/>
      </c>
      <c r="B316" s="211"/>
      <c r="C316" s="215"/>
      <c r="D316" s="213" t="str">
        <f t="shared" si="77"/>
        <v/>
      </c>
      <c r="E316" s="213" t="str">
        <f t="shared" si="85"/>
        <v/>
      </c>
      <c r="F316" s="214" t="str">
        <f t="shared" si="78"/>
        <v/>
      </c>
      <c r="G316" s="180"/>
      <c r="H316" s="181" t="str">
        <f t="shared" si="79"/>
        <v/>
      </c>
      <c r="I316" s="227"/>
      <c r="J316" s="227"/>
      <c r="K316" s="227"/>
      <c r="L316" s="227"/>
      <c r="M316" s="210" t="str">
        <f t="shared" si="84"/>
        <v/>
      </c>
      <c r="N316" s="210"/>
      <c r="O316" s="207"/>
      <c r="P316" s="182" t="str">
        <f t="shared" si="69"/>
        <v/>
      </c>
      <c r="Q316" s="183" t="str">
        <f t="shared" si="80"/>
        <v/>
      </c>
      <c r="R316" s="182" t="str">
        <f>IF(M316&lt;&gt;"",IF(#REF!*F316*10=0,"",#REF!*F316*10),"")</f>
        <v/>
      </c>
      <c r="S316" s="184" t="str">
        <f t="shared" si="81"/>
        <v/>
      </c>
      <c r="T316" s="185" t="str">
        <f t="shared" si="70"/>
        <v/>
      </c>
      <c r="U316" s="183" t="str">
        <f t="shared" si="82"/>
        <v/>
      </c>
      <c r="V316" s="186" t="str">
        <f t="shared" si="71"/>
        <v/>
      </c>
      <c r="W316" s="186" t="str">
        <f t="shared" si="72"/>
        <v/>
      </c>
      <c r="X316" s="187" t="str">
        <f t="shared" si="73"/>
        <v/>
      </c>
      <c r="Y316" s="182" t="str">
        <f t="shared" si="83"/>
        <v/>
      </c>
      <c r="Z316" s="209" t="str">
        <f t="shared" si="74"/>
        <v/>
      </c>
      <c r="AA316" s="209" t="str">
        <f t="shared" si="75"/>
        <v/>
      </c>
      <c r="AB316" s="200"/>
      <c r="AC316" s="192"/>
    </row>
    <row r="317" spans="1:29" ht="11.4">
      <c r="A317" s="211" t="str">
        <f t="shared" si="76"/>
        <v/>
      </c>
      <c r="B317" s="211"/>
      <c r="C317" s="215"/>
      <c r="D317" s="213" t="str">
        <f t="shared" si="77"/>
        <v/>
      </c>
      <c r="E317" s="213" t="str">
        <f t="shared" si="85"/>
        <v/>
      </c>
      <c r="F317" s="214" t="str">
        <f t="shared" si="78"/>
        <v/>
      </c>
      <c r="G317" s="180"/>
      <c r="H317" s="181" t="str">
        <f t="shared" si="79"/>
        <v/>
      </c>
      <c r="I317" s="227"/>
      <c r="J317" s="227"/>
      <c r="K317" s="227"/>
      <c r="L317" s="227"/>
      <c r="M317" s="210" t="str">
        <f t="shared" si="84"/>
        <v/>
      </c>
      <c r="N317" s="210"/>
      <c r="O317" s="207"/>
      <c r="P317" s="182" t="str">
        <f t="shared" si="69"/>
        <v/>
      </c>
      <c r="Q317" s="183" t="str">
        <f t="shared" si="80"/>
        <v/>
      </c>
      <c r="R317" s="182" t="str">
        <f>IF(M317&lt;&gt;"",IF(#REF!*F317*10=0,"",#REF!*F317*10),"")</f>
        <v/>
      </c>
      <c r="S317" s="184" t="str">
        <f t="shared" si="81"/>
        <v/>
      </c>
      <c r="T317" s="185" t="str">
        <f t="shared" si="70"/>
        <v/>
      </c>
      <c r="U317" s="183" t="str">
        <f t="shared" si="82"/>
        <v/>
      </c>
      <c r="V317" s="186" t="str">
        <f t="shared" si="71"/>
        <v/>
      </c>
      <c r="W317" s="186" t="str">
        <f t="shared" si="72"/>
        <v/>
      </c>
      <c r="X317" s="187" t="str">
        <f t="shared" si="73"/>
        <v/>
      </c>
      <c r="Y317" s="182" t="str">
        <f t="shared" si="83"/>
        <v/>
      </c>
      <c r="Z317" s="209" t="str">
        <f t="shared" si="74"/>
        <v/>
      </c>
      <c r="AA317" s="209" t="str">
        <f t="shared" si="75"/>
        <v/>
      </c>
      <c r="AB317" s="200"/>
      <c r="AC317" s="192"/>
    </row>
    <row r="318" spans="1:29" ht="11.4">
      <c r="A318" s="211" t="str">
        <f t="shared" si="76"/>
        <v/>
      </c>
      <c r="B318" s="211"/>
      <c r="C318" s="215"/>
      <c r="D318" s="213" t="str">
        <f t="shared" si="77"/>
        <v/>
      </c>
      <c r="E318" s="213" t="str">
        <f t="shared" si="85"/>
        <v/>
      </c>
      <c r="F318" s="214" t="str">
        <f t="shared" si="78"/>
        <v/>
      </c>
      <c r="G318" s="180"/>
      <c r="H318" s="181" t="str">
        <f t="shared" si="79"/>
        <v/>
      </c>
      <c r="I318" s="227"/>
      <c r="J318" s="227"/>
      <c r="K318" s="227"/>
      <c r="L318" s="227"/>
      <c r="M318" s="210" t="str">
        <f t="shared" si="84"/>
        <v/>
      </c>
      <c r="N318" s="210"/>
      <c r="O318" s="207"/>
      <c r="P318" s="182" t="str">
        <f t="shared" si="69"/>
        <v/>
      </c>
      <c r="Q318" s="183" t="str">
        <f t="shared" si="80"/>
        <v/>
      </c>
      <c r="R318" s="182" t="str">
        <f>IF(M318&lt;&gt;"",IF(#REF!*F318*10=0,"",#REF!*F318*10),"")</f>
        <v/>
      </c>
      <c r="S318" s="184" t="str">
        <f t="shared" si="81"/>
        <v/>
      </c>
      <c r="T318" s="185" t="str">
        <f t="shared" si="70"/>
        <v/>
      </c>
      <c r="U318" s="183" t="str">
        <f t="shared" si="82"/>
        <v/>
      </c>
      <c r="V318" s="186" t="str">
        <f t="shared" si="71"/>
        <v/>
      </c>
      <c r="W318" s="186" t="str">
        <f t="shared" si="72"/>
        <v/>
      </c>
      <c r="X318" s="187" t="str">
        <f t="shared" si="73"/>
        <v/>
      </c>
      <c r="Y318" s="182" t="str">
        <f t="shared" si="83"/>
        <v/>
      </c>
      <c r="Z318" s="209" t="str">
        <f t="shared" si="74"/>
        <v/>
      </c>
      <c r="AA318" s="209" t="str">
        <f t="shared" si="75"/>
        <v/>
      </c>
      <c r="AB318" s="200"/>
      <c r="AC318" s="192"/>
    </row>
    <row r="319" spans="1:29" ht="11.4">
      <c r="A319" s="211" t="str">
        <f t="shared" si="76"/>
        <v/>
      </c>
      <c r="B319" s="211"/>
      <c r="C319" s="215"/>
      <c r="D319" s="213" t="str">
        <f t="shared" si="77"/>
        <v/>
      </c>
      <c r="E319" s="213" t="str">
        <f t="shared" si="85"/>
        <v/>
      </c>
      <c r="F319" s="214" t="str">
        <f t="shared" si="78"/>
        <v/>
      </c>
      <c r="G319" s="180"/>
      <c r="H319" s="181" t="str">
        <f t="shared" si="79"/>
        <v/>
      </c>
      <c r="I319" s="227"/>
      <c r="J319" s="227"/>
      <c r="K319" s="227"/>
      <c r="L319" s="227"/>
      <c r="M319" s="210" t="str">
        <f t="shared" si="84"/>
        <v/>
      </c>
      <c r="N319" s="210"/>
      <c r="O319" s="207"/>
      <c r="P319" s="182" t="str">
        <f t="shared" si="69"/>
        <v/>
      </c>
      <c r="Q319" s="183" t="str">
        <f t="shared" si="80"/>
        <v/>
      </c>
      <c r="R319" s="182" t="str">
        <f>IF(M319&lt;&gt;"",IF(#REF!*F319*10=0,"",#REF!*F319*10),"")</f>
        <v/>
      </c>
      <c r="S319" s="184" t="str">
        <f t="shared" si="81"/>
        <v/>
      </c>
      <c r="T319" s="185" t="str">
        <f t="shared" si="70"/>
        <v/>
      </c>
      <c r="U319" s="183" t="str">
        <f t="shared" si="82"/>
        <v/>
      </c>
      <c r="V319" s="186" t="str">
        <f t="shared" si="71"/>
        <v/>
      </c>
      <c r="W319" s="186" t="str">
        <f t="shared" si="72"/>
        <v/>
      </c>
      <c r="X319" s="187" t="str">
        <f t="shared" si="73"/>
        <v/>
      </c>
      <c r="Y319" s="182" t="str">
        <f t="shared" si="83"/>
        <v/>
      </c>
      <c r="Z319" s="209" t="str">
        <f t="shared" si="74"/>
        <v/>
      </c>
      <c r="AA319" s="209" t="str">
        <f t="shared" si="75"/>
        <v/>
      </c>
      <c r="AB319" s="200"/>
      <c r="AC319" s="192"/>
    </row>
    <row r="320" spans="1:29" ht="11.4">
      <c r="A320" s="211" t="str">
        <f t="shared" si="76"/>
        <v/>
      </c>
      <c r="B320" s="211"/>
      <c r="C320" s="215"/>
      <c r="D320" s="213" t="str">
        <f t="shared" si="77"/>
        <v/>
      </c>
      <c r="E320" s="213" t="str">
        <f t="shared" si="85"/>
        <v/>
      </c>
      <c r="F320" s="214" t="str">
        <f t="shared" si="78"/>
        <v/>
      </c>
      <c r="G320" s="180"/>
      <c r="H320" s="181" t="str">
        <f t="shared" si="79"/>
        <v/>
      </c>
      <c r="I320" s="227"/>
      <c r="J320" s="227"/>
      <c r="K320" s="227"/>
      <c r="L320" s="227"/>
      <c r="M320" s="210" t="str">
        <f t="shared" si="84"/>
        <v/>
      </c>
      <c r="N320" s="210"/>
      <c r="O320" s="207"/>
      <c r="P320" s="182" t="str">
        <f t="shared" si="69"/>
        <v/>
      </c>
      <c r="Q320" s="183" t="str">
        <f t="shared" si="80"/>
        <v/>
      </c>
      <c r="R320" s="182" t="str">
        <f>IF(M320&lt;&gt;"",IF(#REF!*F320*10=0,"",#REF!*F320*10),"")</f>
        <v/>
      </c>
      <c r="S320" s="184" t="str">
        <f t="shared" si="81"/>
        <v/>
      </c>
      <c r="T320" s="185" t="str">
        <f t="shared" si="70"/>
        <v/>
      </c>
      <c r="U320" s="183" t="str">
        <f t="shared" si="82"/>
        <v/>
      </c>
      <c r="V320" s="186" t="str">
        <f t="shared" si="71"/>
        <v/>
      </c>
      <c r="W320" s="186" t="str">
        <f t="shared" si="72"/>
        <v/>
      </c>
      <c r="X320" s="187" t="str">
        <f t="shared" si="73"/>
        <v/>
      </c>
      <c r="Y320" s="182" t="str">
        <f t="shared" si="83"/>
        <v/>
      </c>
      <c r="Z320" s="209" t="str">
        <f t="shared" si="74"/>
        <v/>
      </c>
      <c r="AA320" s="209" t="str">
        <f t="shared" si="75"/>
        <v/>
      </c>
      <c r="AB320" s="200"/>
      <c r="AC320" s="192"/>
    </row>
    <row r="321" spans="1:29" ht="11.4">
      <c r="A321" s="211" t="str">
        <f t="shared" si="76"/>
        <v/>
      </c>
      <c r="B321" s="211"/>
      <c r="C321" s="215"/>
      <c r="D321" s="213" t="str">
        <f t="shared" si="77"/>
        <v/>
      </c>
      <c r="E321" s="213" t="str">
        <f t="shared" si="85"/>
        <v/>
      </c>
      <c r="F321" s="214" t="str">
        <f t="shared" si="78"/>
        <v/>
      </c>
      <c r="G321" s="180"/>
      <c r="H321" s="181" t="str">
        <f t="shared" si="79"/>
        <v/>
      </c>
      <c r="I321" s="227"/>
      <c r="J321" s="227"/>
      <c r="K321" s="227"/>
      <c r="L321" s="227"/>
      <c r="M321" s="210" t="str">
        <f t="shared" si="84"/>
        <v/>
      </c>
      <c r="N321" s="210"/>
      <c r="O321" s="207"/>
      <c r="P321" s="182" t="str">
        <f t="shared" si="69"/>
        <v/>
      </c>
      <c r="Q321" s="183" t="str">
        <f t="shared" si="80"/>
        <v/>
      </c>
      <c r="R321" s="182" t="str">
        <f>IF(M321&lt;&gt;"",IF(#REF!*F321*10=0,"",#REF!*F321*10),"")</f>
        <v/>
      </c>
      <c r="S321" s="184" t="str">
        <f t="shared" si="81"/>
        <v/>
      </c>
      <c r="T321" s="185" t="str">
        <f t="shared" si="70"/>
        <v/>
      </c>
      <c r="U321" s="183" t="str">
        <f t="shared" si="82"/>
        <v/>
      </c>
      <c r="V321" s="186" t="str">
        <f t="shared" si="71"/>
        <v/>
      </c>
      <c r="W321" s="186" t="str">
        <f t="shared" si="72"/>
        <v/>
      </c>
      <c r="X321" s="187" t="str">
        <f t="shared" si="73"/>
        <v/>
      </c>
      <c r="Y321" s="182" t="str">
        <f t="shared" si="83"/>
        <v/>
      </c>
      <c r="Z321" s="209" t="str">
        <f t="shared" si="74"/>
        <v/>
      </c>
      <c r="AA321" s="209" t="str">
        <f t="shared" si="75"/>
        <v/>
      </c>
      <c r="AB321" s="200"/>
      <c r="AC321" s="192"/>
    </row>
    <row r="322" spans="1:29" ht="11.4">
      <c r="A322" s="211" t="str">
        <f t="shared" si="76"/>
        <v/>
      </c>
      <c r="B322" s="211"/>
      <c r="C322" s="215"/>
      <c r="D322" s="213" t="str">
        <f t="shared" si="77"/>
        <v/>
      </c>
      <c r="E322" s="213" t="str">
        <f t="shared" si="85"/>
        <v/>
      </c>
      <c r="F322" s="214" t="str">
        <f t="shared" si="78"/>
        <v/>
      </c>
      <c r="G322" s="180"/>
      <c r="H322" s="181" t="str">
        <f t="shared" si="79"/>
        <v/>
      </c>
      <c r="I322" s="227"/>
      <c r="J322" s="227"/>
      <c r="K322" s="227"/>
      <c r="L322" s="227"/>
      <c r="M322" s="210" t="str">
        <f t="shared" si="84"/>
        <v/>
      </c>
      <c r="N322" s="210"/>
      <c r="O322" s="207"/>
      <c r="P322" s="182" t="str">
        <f t="shared" si="69"/>
        <v/>
      </c>
      <c r="Q322" s="183" t="str">
        <f t="shared" si="80"/>
        <v/>
      </c>
      <c r="R322" s="182" t="str">
        <f>IF(M322&lt;&gt;"",IF(#REF!*F322*10=0,"",#REF!*F322*10),"")</f>
        <v/>
      </c>
      <c r="S322" s="184" t="str">
        <f t="shared" si="81"/>
        <v/>
      </c>
      <c r="T322" s="185" t="str">
        <f t="shared" si="70"/>
        <v/>
      </c>
      <c r="U322" s="183" t="str">
        <f t="shared" si="82"/>
        <v/>
      </c>
      <c r="V322" s="186" t="str">
        <f t="shared" si="71"/>
        <v/>
      </c>
      <c r="W322" s="186" t="str">
        <f t="shared" si="72"/>
        <v/>
      </c>
      <c r="X322" s="187" t="str">
        <f t="shared" si="73"/>
        <v/>
      </c>
      <c r="Y322" s="182" t="str">
        <f t="shared" si="83"/>
        <v/>
      </c>
      <c r="Z322" s="209" t="str">
        <f t="shared" si="74"/>
        <v/>
      </c>
      <c r="AA322" s="209" t="str">
        <f t="shared" si="75"/>
        <v/>
      </c>
      <c r="AB322" s="200"/>
      <c r="AC322" s="192"/>
    </row>
    <row r="323" spans="1:29" ht="11.4">
      <c r="A323" s="211" t="str">
        <f t="shared" si="76"/>
        <v/>
      </c>
      <c r="B323" s="211"/>
      <c r="C323" s="215"/>
      <c r="D323" s="213" t="str">
        <f t="shared" si="77"/>
        <v/>
      </c>
      <c r="E323" s="213" t="str">
        <f t="shared" si="85"/>
        <v/>
      </c>
      <c r="F323" s="214" t="str">
        <f t="shared" si="78"/>
        <v/>
      </c>
      <c r="G323" s="180"/>
      <c r="H323" s="181" t="str">
        <f t="shared" si="79"/>
        <v/>
      </c>
      <c r="I323" s="227"/>
      <c r="J323" s="227"/>
      <c r="K323" s="227"/>
      <c r="L323" s="227"/>
      <c r="M323" s="210" t="str">
        <f t="shared" si="84"/>
        <v/>
      </c>
      <c r="N323" s="210"/>
      <c r="O323" s="207"/>
      <c r="P323" s="182" t="str">
        <f t="shared" si="69"/>
        <v/>
      </c>
      <c r="Q323" s="183" t="str">
        <f t="shared" si="80"/>
        <v/>
      </c>
      <c r="R323" s="182" t="str">
        <f>IF(M323&lt;&gt;"",IF(#REF!*F323*10=0,"",#REF!*F323*10),"")</f>
        <v/>
      </c>
      <c r="S323" s="184" t="str">
        <f t="shared" si="81"/>
        <v/>
      </c>
      <c r="T323" s="185" t="str">
        <f t="shared" si="70"/>
        <v/>
      </c>
      <c r="U323" s="183" t="str">
        <f t="shared" si="82"/>
        <v/>
      </c>
      <c r="V323" s="186" t="str">
        <f t="shared" si="71"/>
        <v/>
      </c>
      <c r="W323" s="186" t="str">
        <f t="shared" si="72"/>
        <v/>
      </c>
      <c r="X323" s="187" t="str">
        <f t="shared" si="73"/>
        <v/>
      </c>
      <c r="Y323" s="182" t="str">
        <f t="shared" si="83"/>
        <v/>
      </c>
      <c r="Z323" s="209" t="str">
        <f t="shared" si="74"/>
        <v/>
      </c>
      <c r="AA323" s="209" t="str">
        <f t="shared" si="75"/>
        <v/>
      </c>
      <c r="AB323" s="200"/>
      <c r="AC323" s="192"/>
    </row>
    <row r="324" spans="1:29" ht="11.4">
      <c r="A324" s="211" t="str">
        <f t="shared" si="76"/>
        <v/>
      </c>
      <c r="B324" s="211"/>
      <c r="C324" s="215"/>
      <c r="D324" s="213" t="str">
        <f t="shared" si="77"/>
        <v/>
      </c>
      <c r="E324" s="213" t="str">
        <f t="shared" si="85"/>
        <v/>
      </c>
      <c r="F324" s="214" t="str">
        <f t="shared" si="78"/>
        <v/>
      </c>
      <c r="G324" s="180"/>
      <c r="H324" s="181" t="str">
        <f t="shared" si="79"/>
        <v/>
      </c>
      <c r="I324" s="227"/>
      <c r="J324" s="227"/>
      <c r="K324" s="227"/>
      <c r="L324" s="227"/>
      <c r="M324" s="210" t="str">
        <f t="shared" si="84"/>
        <v/>
      </c>
      <c r="N324" s="210"/>
      <c r="O324" s="207"/>
      <c r="P324" s="182" t="str">
        <f t="shared" si="69"/>
        <v/>
      </c>
      <c r="Q324" s="183" t="str">
        <f t="shared" si="80"/>
        <v/>
      </c>
      <c r="R324" s="182" t="str">
        <f>IF(M324&lt;&gt;"",IF(#REF!*F324*10=0,"",#REF!*F324*10),"")</f>
        <v/>
      </c>
      <c r="S324" s="184" t="str">
        <f t="shared" si="81"/>
        <v/>
      </c>
      <c r="T324" s="185" t="str">
        <f t="shared" si="70"/>
        <v/>
      </c>
      <c r="U324" s="183" t="str">
        <f t="shared" si="82"/>
        <v/>
      </c>
      <c r="V324" s="186" t="str">
        <f t="shared" si="71"/>
        <v/>
      </c>
      <c r="W324" s="186" t="str">
        <f t="shared" si="72"/>
        <v/>
      </c>
      <c r="X324" s="187" t="str">
        <f t="shared" si="73"/>
        <v/>
      </c>
      <c r="Y324" s="182" t="str">
        <f t="shared" si="83"/>
        <v/>
      </c>
      <c r="Z324" s="209" t="str">
        <f t="shared" si="74"/>
        <v/>
      </c>
      <c r="AA324" s="209" t="str">
        <f t="shared" si="75"/>
        <v/>
      </c>
      <c r="AB324" s="200"/>
      <c r="AC324" s="192"/>
    </row>
    <row r="325" spans="1:29" ht="11.4">
      <c r="A325" s="211" t="str">
        <f t="shared" si="76"/>
        <v/>
      </c>
      <c r="B325" s="211"/>
      <c r="C325" s="215"/>
      <c r="D325" s="213" t="str">
        <f t="shared" si="77"/>
        <v/>
      </c>
      <c r="E325" s="213" t="str">
        <f t="shared" si="85"/>
        <v/>
      </c>
      <c r="F325" s="214" t="str">
        <f t="shared" si="78"/>
        <v/>
      </c>
      <c r="G325" s="180"/>
      <c r="H325" s="181" t="str">
        <f t="shared" si="79"/>
        <v/>
      </c>
      <c r="I325" s="227"/>
      <c r="J325" s="227"/>
      <c r="K325" s="227"/>
      <c r="L325" s="227"/>
      <c r="M325" s="210" t="str">
        <f t="shared" si="84"/>
        <v/>
      </c>
      <c r="N325" s="210"/>
      <c r="O325" s="207"/>
      <c r="P325" s="182" t="str">
        <f t="shared" si="69"/>
        <v/>
      </c>
      <c r="Q325" s="183" t="str">
        <f t="shared" si="80"/>
        <v/>
      </c>
      <c r="R325" s="182" t="str">
        <f>IF(M325&lt;&gt;"",IF(#REF!*F325*10=0,"",#REF!*F325*10),"")</f>
        <v/>
      </c>
      <c r="S325" s="184" t="str">
        <f t="shared" si="81"/>
        <v/>
      </c>
      <c r="T325" s="185" t="str">
        <f t="shared" si="70"/>
        <v/>
      </c>
      <c r="U325" s="183" t="str">
        <f t="shared" si="82"/>
        <v/>
      </c>
      <c r="V325" s="186" t="str">
        <f t="shared" si="71"/>
        <v/>
      </c>
      <c r="W325" s="186" t="str">
        <f t="shared" si="72"/>
        <v/>
      </c>
      <c r="X325" s="187" t="str">
        <f t="shared" si="73"/>
        <v/>
      </c>
      <c r="Y325" s="182" t="str">
        <f t="shared" si="83"/>
        <v/>
      </c>
      <c r="Z325" s="209" t="str">
        <f t="shared" si="74"/>
        <v/>
      </c>
      <c r="AA325" s="209" t="str">
        <f t="shared" si="75"/>
        <v/>
      </c>
      <c r="AB325" s="200"/>
      <c r="AC325" s="192"/>
    </row>
    <row r="326" spans="1:29" ht="11.4">
      <c r="A326" s="211" t="str">
        <f t="shared" si="76"/>
        <v/>
      </c>
      <c r="B326" s="211"/>
      <c r="C326" s="215"/>
      <c r="D326" s="213" t="str">
        <f t="shared" si="77"/>
        <v/>
      </c>
      <c r="E326" s="213" t="str">
        <f t="shared" si="85"/>
        <v/>
      </c>
      <c r="F326" s="214" t="str">
        <f t="shared" si="78"/>
        <v/>
      </c>
      <c r="G326" s="180"/>
      <c r="H326" s="181" t="str">
        <f t="shared" si="79"/>
        <v/>
      </c>
      <c r="I326" s="227"/>
      <c r="J326" s="227"/>
      <c r="K326" s="227"/>
      <c r="L326" s="227"/>
      <c r="M326" s="210" t="str">
        <f t="shared" si="84"/>
        <v/>
      </c>
      <c r="N326" s="210"/>
      <c r="O326" s="207"/>
      <c r="P326" s="182" t="str">
        <f t="shared" si="69"/>
        <v/>
      </c>
      <c r="Q326" s="183" t="str">
        <f t="shared" si="80"/>
        <v/>
      </c>
      <c r="R326" s="182" t="str">
        <f>IF(M326&lt;&gt;"",IF(#REF!*F326*10=0,"",#REF!*F326*10),"")</f>
        <v/>
      </c>
      <c r="S326" s="184" t="str">
        <f t="shared" si="81"/>
        <v/>
      </c>
      <c r="T326" s="185" t="str">
        <f t="shared" si="70"/>
        <v/>
      </c>
      <c r="U326" s="183" t="str">
        <f t="shared" si="82"/>
        <v/>
      </c>
      <c r="V326" s="186" t="str">
        <f t="shared" si="71"/>
        <v/>
      </c>
      <c r="W326" s="186" t="str">
        <f t="shared" si="72"/>
        <v/>
      </c>
      <c r="X326" s="187" t="str">
        <f t="shared" si="73"/>
        <v/>
      </c>
      <c r="Y326" s="182" t="str">
        <f t="shared" si="83"/>
        <v/>
      </c>
      <c r="Z326" s="209" t="str">
        <f t="shared" si="74"/>
        <v/>
      </c>
      <c r="AA326" s="209" t="str">
        <f t="shared" si="75"/>
        <v/>
      </c>
      <c r="AB326" s="200"/>
      <c r="AC326" s="192"/>
    </row>
    <row r="327" spans="1:29" ht="11.4">
      <c r="A327" s="211" t="str">
        <f t="shared" si="76"/>
        <v/>
      </c>
      <c r="B327" s="211"/>
      <c r="C327" s="215"/>
      <c r="D327" s="213" t="str">
        <f t="shared" si="77"/>
        <v/>
      </c>
      <c r="E327" s="213" t="str">
        <f t="shared" si="85"/>
        <v/>
      </c>
      <c r="F327" s="214" t="str">
        <f t="shared" si="78"/>
        <v/>
      </c>
      <c r="G327" s="180"/>
      <c r="H327" s="181" t="str">
        <f t="shared" si="79"/>
        <v/>
      </c>
      <c r="I327" s="227"/>
      <c r="J327" s="227"/>
      <c r="K327" s="227"/>
      <c r="L327" s="227"/>
      <c r="M327" s="210" t="str">
        <f t="shared" si="84"/>
        <v/>
      </c>
      <c r="N327" s="210"/>
      <c r="O327" s="207"/>
      <c r="P327" s="182" t="str">
        <f t="shared" si="69"/>
        <v/>
      </c>
      <c r="Q327" s="183" t="str">
        <f t="shared" si="80"/>
        <v/>
      </c>
      <c r="R327" s="182" t="str">
        <f>IF(M327&lt;&gt;"",IF(#REF!*F327*10=0,"",#REF!*F327*10),"")</f>
        <v/>
      </c>
      <c r="S327" s="184" t="str">
        <f t="shared" si="81"/>
        <v/>
      </c>
      <c r="T327" s="185" t="str">
        <f t="shared" si="70"/>
        <v/>
      </c>
      <c r="U327" s="183" t="str">
        <f t="shared" si="82"/>
        <v/>
      </c>
      <c r="V327" s="186" t="str">
        <f t="shared" si="71"/>
        <v/>
      </c>
      <c r="W327" s="186" t="str">
        <f t="shared" si="72"/>
        <v/>
      </c>
      <c r="X327" s="187" t="str">
        <f t="shared" si="73"/>
        <v/>
      </c>
      <c r="Y327" s="182" t="str">
        <f t="shared" si="83"/>
        <v/>
      </c>
      <c r="Z327" s="209" t="str">
        <f t="shared" si="74"/>
        <v/>
      </c>
      <c r="AA327" s="209" t="str">
        <f t="shared" si="75"/>
        <v/>
      </c>
      <c r="AB327" s="200"/>
      <c r="AC327" s="192"/>
    </row>
    <row r="328" spans="1:29" ht="11.4">
      <c r="A328" s="211" t="str">
        <f t="shared" si="76"/>
        <v/>
      </c>
      <c r="B328" s="211"/>
      <c r="C328" s="215"/>
      <c r="D328" s="213" t="str">
        <f t="shared" si="77"/>
        <v/>
      </c>
      <c r="E328" s="213" t="str">
        <f t="shared" si="85"/>
        <v/>
      </c>
      <c r="F328" s="214" t="str">
        <f t="shared" si="78"/>
        <v/>
      </c>
      <c r="G328" s="180"/>
      <c r="H328" s="181" t="str">
        <f t="shared" si="79"/>
        <v/>
      </c>
      <c r="I328" s="227"/>
      <c r="J328" s="227"/>
      <c r="K328" s="227"/>
      <c r="L328" s="227"/>
      <c r="M328" s="210" t="str">
        <f t="shared" si="84"/>
        <v/>
      </c>
      <c r="N328" s="210"/>
      <c r="O328" s="207"/>
      <c r="P328" s="182" t="str">
        <f t="shared" si="69"/>
        <v/>
      </c>
      <c r="Q328" s="183" t="str">
        <f t="shared" si="80"/>
        <v/>
      </c>
      <c r="R328" s="182" t="str">
        <f>IF(M328&lt;&gt;"",IF(#REF!*F328*10=0,"",#REF!*F328*10),"")</f>
        <v/>
      </c>
      <c r="S328" s="184" t="str">
        <f t="shared" si="81"/>
        <v/>
      </c>
      <c r="T328" s="185" t="str">
        <f t="shared" si="70"/>
        <v/>
      </c>
      <c r="U328" s="183" t="str">
        <f t="shared" si="82"/>
        <v/>
      </c>
      <c r="V328" s="186" t="str">
        <f t="shared" si="71"/>
        <v/>
      </c>
      <c r="W328" s="186" t="str">
        <f t="shared" si="72"/>
        <v/>
      </c>
      <c r="X328" s="187" t="str">
        <f t="shared" si="73"/>
        <v/>
      </c>
      <c r="Y328" s="182" t="str">
        <f t="shared" si="83"/>
        <v/>
      </c>
      <c r="Z328" s="209" t="str">
        <f t="shared" si="74"/>
        <v/>
      </c>
      <c r="AA328" s="209" t="str">
        <f t="shared" si="75"/>
        <v/>
      </c>
      <c r="AB328" s="200"/>
      <c r="AC328" s="192"/>
    </row>
    <row r="329" spans="1:29" ht="11.4">
      <c r="A329" s="211" t="str">
        <f t="shared" si="76"/>
        <v/>
      </c>
      <c r="B329" s="211"/>
      <c r="C329" s="215"/>
      <c r="D329" s="213" t="str">
        <f t="shared" si="77"/>
        <v/>
      </c>
      <c r="E329" s="213" t="str">
        <f t="shared" si="85"/>
        <v/>
      </c>
      <c r="F329" s="214" t="str">
        <f t="shared" si="78"/>
        <v/>
      </c>
      <c r="G329" s="180"/>
      <c r="H329" s="181" t="str">
        <f t="shared" si="79"/>
        <v/>
      </c>
      <c r="I329" s="227"/>
      <c r="J329" s="227"/>
      <c r="K329" s="227"/>
      <c r="L329" s="227"/>
      <c r="M329" s="210" t="str">
        <f t="shared" si="84"/>
        <v/>
      </c>
      <c r="N329" s="210"/>
      <c r="O329" s="207"/>
      <c r="P329" s="182" t="str">
        <f t="shared" si="69"/>
        <v/>
      </c>
      <c r="Q329" s="183" t="str">
        <f t="shared" si="80"/>
        <v/>
      </c>
      <c r="R329" s="182" t="str">
        <f>IF(M329&lt;&gt;"",IF(#REF!*F329*10=0,"",#REF!*F329*10),"")</f>
        <v/>
      </c>
      <c r="S329" s="184" t="str">
        <f t="shared" si="81"/>
        <v/>
      </c>
      <c r="T329" s="185" t="str">
        <f t="shared" si="70"/>
        <v/>
      </c>
      <c r="U329" s="183" t="str">
        <f t="shared" si="82"/>
        <v/>
      </c>
      <c r="V329" s="186" t="str">
        <f t="shared" si="71"/>
        <v/>
      </c>
      <c r="W329" s="186" t="str">
        <f t="shared" si="72"/>
        <v/>
      </c>
      <c r="X329" s="187" t="str">
        <f t="shared" si="73"/>
        <v/>
      </c>
      <c r="Y329" s="182" t="str">
        <f t="shared" si="83"/>
        <v/>
      </c>
      <c r="Z329" s="209" t="str">
        <f t="shared" si="74"/>
        <v/>
      </c>
      <c r="AA329" s="209" t="str">
        <f t="shared" si="75"/>
        <v/>
      </c>
      <c r="AB329" s="200"/>
      <c r="AC329" s="192"/>
    </row>
    <row r="330" spans="1:29" ht="11.4">
      <c r="A330" s="211" t="str">
        <f t="shared" si="76"/>
        <v/>
      </c>
      <c r="B330" s="211"/>
      <c r="C330" s="215"/>
      <c r="D330" s="213" t="str">
        <f t="shared" si="77"/>
        <v/>
      </c>
      <c r="E330" s="213" t="str">
        <f t="shared" si="85"/>
        <v/>
      </c>
      <c r="F330" s="214" t="str">
        <f t="shared" si="78"/>
        <v/>
      </c>
      <c r="G330" s="180"/>
      <c r="H330" s="181" t="str">
        <f t="shared" si="79"/>
        <v/>
      </c>
      <c r="I330" s="227"/>
      <c r="J330" s="227"/>
      <c r="K330" s="227"/>
      <c r="L330" s="227"/>
      <c r="M330" s="210" t="str">
        <f t="shared" si="84"/>
        <v/>
      </c>
      <c r="N330" s="210"/>
      <c r="O330" s="207"/>
      <c r="P330" s="182" t="str">
        <f t="shared" si="69"/>
        <v/>
      </c>
      <c r="Q330" s="183" t="str">
        <f t="shared" si="80"/>
        <v/>
      </c>
      <c r="R330" s="182" t="str">
        <f>IF(M330&lt;&gt;"",IF(#REF!*F330*10=0,"",#REF!*F330*10),"")</f>
        <v/>
      </c>
      <c r="S330" s="184" t="str">
        <f t="shared" si="81"/>
        <v/>
      </c>
      <c r="T330" s="185" t="str">
        <f t="shared" si="70"/>
        <v/>
      </c>
      <c r="U330" s="183" t="str">
        <f t="shared" si="82"/>
        <v/>
      </c>
      <c r="V330" s="186" t="str">
        <f t="shared" si="71"/>
        <v/>
      </c>
      <c r="W330" s="186" t="str">
        <f t="shared" si="72"/>
        <v/>
      </c>
      <c r="X330" s="187" t="str">
        <f t="shared" si="73"/>
        <v/>
      </c>
      <c r="Y330" s="182" t="str">
        <f t="shared" si="83"/>
        <v/>
      </c>
      <c r="Z330" s="209" t="str">
        <f t="shared" si="74"/>
        <v/>
      </c>
      <c r="AA330" s="209" t="str">
        <f t="shared" si="75"/>
        <v/>
      </c>
      <c r="AB330" s="200"/>
      <c r="AC330" s="192"/>
    </row>
    <row r="331" spans="1:29" ht="11.4">
      <c r="A331" s="211" t="str">
        <f t="shared" si="76"/>
        <v/>
      </c>
      <c r="B331" s="211"/>
      <c r="C331" s="215"/>
      <c r="D331" s="213" t="str">
        <f t="shared" si="77"/>
        <v/>
      </c>
      <c r="E331" s="213" t="str">
        <f t="shared" si="85"/>
        <v/>
      </c>
      <c r="F331" s="214" t="str">
        <f t="shared" si="78"/>
        <v/>
      </c>
      <c r="G331" s="180"/>
      <c r="H331" s="181" t="str">
        <f t="shared" si="79"/>
        <v/>
      </c>
      <c r="I331" s="227"/>
      <c r="J331" s="227"/>
      <c r="K331" s="227"/>
      <c r="L331" s="227"/>
      <c r="M331" s="210" t="str">
        <f t="shared" si="84"/>
        <v/>
      </c>
      <c r="N331" s="210"/>
      <c r="O331" s="207"/>
      <c r="P331" s="182" t="str">
        <f t="shared" si="69"/>
        <v/>
      </c>
      <c r="Q331" s="183" t="str">
        <f t="shared" si="80"/>
        <v/>
      </c>
      <c r="R331" s="182" t="str">
        <f>IF(M331&lt;&gt;"",IF(#REF!*F331*10=0,"",#REF!*F331*10),"")</f>
        <v/>
      </c>
      <c r="S331" s="184" t="str">
        <f t="shared" si="81"/>
        <v/>
      </c>
      <c r="T331" s="185" t="str">
        <f t="shared" si="70"/>
        <v/>
      </c>
      <c r="U331" s="183" t="str">
        <f t="shared" si="82"/>
        <v/>
      </c>
      <c r="V331" s="186" t="str">
        <f t="shared" si="71"/>
        <v/>
      </c>
      <c r="W331" s="186" t="str">
        <f t="shared" si="72"/>
        <v/>
      </c>
      <c r="X331" s="187" t="str">
        <f t="shared" si="73"/>
        <v/>
      </c>
      <c r="Y331" s="182" t="str">
        <f t="shared" si="83"/>
        <v/>
      </c>
      <c r="Z331" s="209" t="str">
        <f t="shared" si="74"/>
        <v/>
      </c>
      <c r="AA331" s="209" t="str">
        <f t="shared" si="75"/>
        <v/>
      </c>
      <c r="AB331" s="200"/>
      <c r="AC331" s="192"/>
    </row>
    <row r="332" spans="1:29" ht="11.4">
      <c r="A332" s="211" t="str">
        <f t="shared" si="76"/>
        <v/>
      </c>
      <c r="B332" s="211"/>
      <c r="C332" s="215"/>
      <c r="D332" s="213" t="str">
        <f t="shared" si="77"/>
        <v/>
      </c>
      <c r="E332" s="213" t="str">
        <f t="shared" si="85"/>
        <v/>
      </c>
      <c r="F332" s="214" t="str">
        <f t="shared" si="78"/>
        <v/>
      </c>
      <c r="G332" s="180"/>
      <c r="H332" s="181" t="str">
        <f t="shared" si="79"/>
        <v/>
      </c>
      <c r="I332" s="227"/>
      <c r="J332" s="227"/>
      <c r="K332" s="227"/>
      <c r="L332" s="227"/>
      <c r="M332" s="210" t="str">
        <f t="shared" si="84"/>
        <v/>
      </c>
      <c r="N332" s="210"/>
      <c r="O332" s="207"/>
      <c r="P332" s="182" t="str">
        <f t="shared" ref="P332:P395" si="86">IF(M332="","",IF(L332*F332*$D$3=0,0,L332*F332*$D$3))</f>
        <v/>
      </c>
      <c r="Q332" s="183" t="str">
        <f t="shared" si="80"/>
        <v/>
      </c>
      <c r="R332" s="182" t="str">
        <f>IF(M332&lt;&gt;"",IF(#REF!*F332*10=0,"",#REF!*F332*10),"")</f>
        <v/>
      </c>
      <c r="S332" s="184" t="str">
        <f t="shared" si="81"/>
        <v/>
      </c>
      <c r="T332" s="185" t="str">
        <f t="shared" ref="T332:T395" si="87">IF(X332="","",X332*F332*$D$3)</f>
        <v/>
      </c>
      <c r="U332" s="183" t="str">
        <f t="shared" si="82"/>
        <v/>
      </c>
      <c r="V332" s="186" t="str">
        <f t="shared" ref="V332:V395" si="88">IF(M332="","",IF(AND(M332&gt;I332,H332="L"),1, IF(AND(I332&gt;M332,H332="S"),1,0)))</f>
        <v/>
      </c>
      <c r="W332" s="186" t="str">
        <f t="shared" ref="W332:W395" si="89">IF(M332="","",IF(AND(M332&lt;I332,H332="L"),1, IF(AND(I332&lt;M332,H332="S"),1,0)))</f>
        <v/>
      </c>
      <c r="X332" s="187" t="str">
        <f t="shared" ref="X332:X395" si="90">IF((M332=""),"",IF(H332="Buy",1,-1)*(M332-I332)*IF(LEN(RIGHT(I332,LEN(I332)-FIND(".",I332)))&gt;3,10000,100))</f>
        <v/>
      </c>
      <c r="Y332" s="182" t="str">
        <f t="shared" si="83"/>
        <v/>
      </c>
      <c r="Z332" s="209" t="str">
        <f t="shared" ref="Z332:Z395" si="91">IF(C332="","",MONTH(LEFT(C332,8)))</f>
        <v/>
      </c>
      <c r="AA332" s="209" t="str">
        <f t="shared" ref="AA332:AA395" si="92">IF(C332="","",YEAR(LEFT(C332,8)))</f>
        <v/>
      </c>
      <c r="AB332" s="200"/>
      <c r="AC332" s="192"/>
    </row>
    <row r="333" spans="1:29" ht="11.4">
      <c r="A333" s="211" t="str">
        <f t="shared" ref="A333:A396" si="93">IF(D333="","",1)</f>
        <v/>
      </c>
      <c r="B333" s="211"/>
      <c r="C333" s="215"/>
      <c r="D333" s="213" t="str">
        <f t="shared" ref="D333:D396" si="94">IF(G333="","","SUGAR")</f>
        <v/>
      </c>
      <c r="E333" s="213" t="str">
        <f t="shared" si="85"/>
        <v/>
      </c>
      <c r="F333" s="214" t="str">
        <f t="shared" ref="F333:F396" si="95">IF(G333="","",0.01)</f>
        <v/>
      </c>
      <c r="G333" s="180"/>
      <c r="H333" s="181" t="str">
        <f t="shared" ref="H333:H396" si="96">IF(G333="","",IF(OR(G333="第二类买点",G333="第三类买点"),"Buy","Sell"))</f>
        <v/>
      </c>
      <c r="I333" s="227"/>
      <c r="J333" s="227"/>
      <c r="K333" s="227"/>
      <c r="L333" s="227"/>
      <c r="M333" s="210" t="str">
        <f t="shared" si="84"/>
        <v/>
      </c>
      <c r="N333" s="210"/>
      <c r="O333" s="207"/>
      <c r="P333" s="182" t="str">
        <f t="shared" si="86"/>
        <v/>
      </c>
      <c r="Q333" s="183" t="str">
        <f t="shared" ref="Q333:Q396" si="97">IF(P333="","",IF(P333=0,0,P333/$I$4))</f>
        <v/>
      </c>
      <c r="R333" s="182" t="str">
        <f>IF(M333&lt;&gt;"",IF(#REF!*F333*10=0,"",#REF!*F333*10),"")</f>
        <v/>
      </c>
      <c r="S333" s="184" t="str">
        <f t="shared" ref="S333:S396" si="98">IF(P333="","",IF(P333=0,0,R333/P333))</f>
        <v/>
      </c>
      <c r="T333" s="185" t="str">
        <f t="shared" si="87"/>
        <v/>
      </c>
      <c r="U333" s="183" t="str">
        <f t="shared" ref="U333:U396" si="99">IF(T333="","",IF($I$4="","",T333/$I$4))</f>
        <v/>
      </c>
      <c r="V333" s="186" t="str">
        <f t="shared" si="88"/>
        <v/>
      </c>
      <c r="W333" s="186" t="str">
        <f t="shared" si="89"/>
        <v/>
      </c>
      <c r="X333" s="187" t="str">
        <f t="shared" si="90"/>
        <v/>
      </c>
      <c r="Y333" s="182" t="str">
        <f t="shared" si="83"/>
        <v/>
      </c>
      <c r="Z333" s="209" t="str">
        <f t="shared" si="91"/>
        <v/>
      </c>
      <c r="AA333" s="209" t="str">
        <f t="shared" si="92"/>
        <v/>
      </c>
      <c r="AB333" s="200"/>
      <c r="AC333" s="192"/>
    </row>
    <row r="334" spans="1:29" ht="11.4">
      <c r="A334" s="211" t="str">
        <f t="shared" si="93"/>
        <v/>
      </c>
      <c r="B334" s="211"/>
      <c r="C334" s="215"/>
      <c r="D334" s="213" t="str">
        <f t="shared" si="94"/>
        <v/>
      </c>
      <c r="E334" s="213" t="str">
        <f t="shared" si="85"/>
        <v/>
      </c>
      <c r="F334" s="214" t="str">
        <f t="shared" si="95"/>
        <v/>
      </c>
      <c r="G334" s="180"/>
      <c r="H334" s="181" t="str">
        <f t="shared" si="96"/>
        <v/>
      </c>
      <c r="I334" s="227"/>
      <c r="J334" s="227"/>
      <c r="K334" s="227"/>
      <c r="L334" s="227"/>
      <c r="M334" s="210" t="str">
        <f t="shared" si="84"/>
        <v/>
      </c>
      <c r="N334" s="210"/>
      <c r="O334" s="207"/>
      <c r="P334" s="182" t="str">
        <f t="shared" si="86"/>
        <v/>
      </c>
      <c r="Q334" s="183" t="str">
        <f t="shared" si="97"/>
        <v/>
      </c>
      <c r="R334" s="182" t="str">
        <f>IF(M334&lt;&gt;"",IF(#REF!*F334*10=0,"",#REF!*F334*10),"")</f>
        <v/>
      </c>
      <c r="S334" s="184" t="str">
        <f t="shared" si="98"/>
        <v/>
      </c>
      <c r="T334" s="185" t="str">
        <f t="shared" si="87"/>
        <v/>
      </c>
      <c r="U334" s="183" t="str">
        <f t="shared" si="99"/>
        <v/>
      </c>
      <c r="V334" s="186" t="str">
        <f t="shared" si="88"/>
        <v/>
      </c>
      <c r="W334" s="186" t="str">
        <f t="shared" si="89"/>
        <v/>
      </c>
      <c r="X334" s="187" t="str">
        <f t="shared" si="90"/>
        <v/>
      </c>
      <c r="Y334" s="182" t="str">
        <f t="shared" ref="Y334:Y397" si="100">IF(Y333="","",IF(T334="","",Y333+T334))</f>
        <v/>
      </c>
      <c r="Z334" s="209" t="str">
        <f t="shared" si="91"/>
        <v/>
      </c>
      <c r="AA334" s="209" t="str">
        <f t="shared" si="92"/>
        <v/>
      </c>
      <c r="AB334" s="200"/>
      <c r="AC334" s="192"/>
    </row>
    <row r="335" spans="1:29" ht="11.4">
      <c r="A335" s="211" t="str">
        <f t="shared" si="93"/>
        <v/>
      </c>
      <c r="B335" s="211"/>
      <c r="C335" s="215"/>
      <c r="D335" s="213" t="str">
        <f t="shared" si="94"/>
        <v/>
      </c>
      <c r="E335" s="213" t="str">
        <f t="shared" si="85"/>
        <v/>
      </c>
      <c r="F335" s="214" t="str">
        <f t="shared" si="95"/>
        <v/>
      </c>
      <c r="G335" s="180"/>
      <c r="H335" s="181" t="str">
        <f t="shared" si="96"/>
        <v/>
      </c>
      <c r="I335" s="227"/>
      <c r="J335" s="227"/>
      <c r="K335" s="227"/>
      <c r="L335" s="227"/>
      <c r="M335" s="210" t="str">
        <f t="shared" ref="M335:M398" si="101">IF(J335="","",J335)</f>
        <v/>
      </c>
      <c r="N335" s="210"/>
      <c r="O335" s="207"/>
      <c r="P335" s="182" t="str">
        <f t="shared" si="86"/>
        <v/>
      </c>
      <c r="Q335" s="183" t="str">
        <f t="shared" si="97"/>
        <v/>
      </c>
      <c r="R335" s="182" t="str">
        <f>IF(M335&lt;&gt;"",IF(#REF!*F335*10=0,"",#REF!*F335*10),"")</f>
        <v/>
      </c>
      <c r="S335" s="184" t="str">
        <f t="shared" si="98"/>
        <v/>
      </c>
      <c r="T335" s="185" t="str">
        <f t="shared" si="87"/>
        <v/>
      </c>
      <c r="U335" s="183" t="str">
        <f t="shared" si="99"/>
        <v/>
      </c>
      <c r="V335" s="186" t="str">
        <f t="shared" si="88"/>
        <v/>
      </c>
      <c r="W335" s="186" t="str">
        <f t="shared" si="89"/>
        <v/>
      </c>
      <c r="X335" s="187" t="str">
        <f t="shared" si="90"/>
        <v/>
      </c>
      <c r="Y335" s="182" t="str">
        <f t="shared" si="100"/>
        <v/>
      </c>
      <c r="Z335" s="209" t="str">
        <f t="shared" si="91"/>
        <v/>
      </c>
      <c r="AA335" s="209" t="str">
        <f t="shared" si="92"/>
        <v/>
      </c>
      <c r="AB335" s="200"/>
      <c r="AC335" s="192"/>
    </row>
    <row r="336" spans="1:29" ht="11.4">
      <c r="A336" s="211" t="str">
        <f t="shared" si="93"/>
        <v/>
      </c>
      <c r="B336" s="211"/>
      <c r="C336" s="215"/>
      <c r="D336" s="213" t="str">
        <f t="shared" si="94"/>
        <v/>
      </c>
      <c r="E336" s="213" t="str">
        <f t="shared" ref="E336:E399" si="102">IF(G336="","","M30")</f>
        <v/>
      </c>
      <c r="F336" s="214" t="str">
        <f t="shared" si="95"/>
        <v/>
      </c>
      <c r="G336" s="180"/>
      <c r="H336" s="181" t="str">
        <f t="shared" si="96"/>
        <v/>
      </c>
      <c r="I336" s="227"/>
      <c r="J336" s="227"/>
      <c r="K336" s="227"/>
      <c r="L336" s="227"/>
      <c r="M336" s="210" t="str">
        <f t="shared" si="101"/>
        <v/>
      </c>
      <c r="N336" s="210"/>
      <c r="O336" s="207"/>
      <c r="P336" s="182" t="str">
        <f t="shared" si="86"/>
        <v/>
      </c>
      <c r="Q336" s="183" t="str">
        <f t="shared" si="97"/>
        <v/>
      </c>
      <c r="R336" s="182" t="str">
        <f>IF(M336&lt;&gt;"",IF(#REF!*F336*10=0,"",#REF!*F336*10),"")</f>
        <v/>
      </c>
      <c r="S336" s="184" t="str">
        <f t="shared" si="98"/>
        <v/>
      </c>
      <c r="T336" s="185" t="str">
        <f t="shared" si="87"/>
        <v/>
      </c>
      <c r="U336" s="183" t="str">
        <f t="shared" si="99"/>
        <v/>
      </c>
      <c r="V336" s="186" t="str">
        <f t="shared" si="88"/>
        <v/>
      </c>
      <c r="W336" s="186" t="str">
        <f t="shared" si="89"/>
        <v/>
      </c>
      <c r="X336" s="187" t="str">
        <f t="shared" si="90"/>
        <v/>
      </c>
      <c r="Y336" s="182" t="str">
        <f t="shared" si="100"/>
        <v/>
      </c>
      <c r="Z336" s="209" t="str">
        <f t="shared" si="91"/>
        <v/>
      </c>
      <c r="AA336" s="209" t="str">
        <f t="shared" si="92"/>
        <v/>
      </c>
      <c r="AB336" s="200"/>
      <c r="AC336" s="192"/>
    </row>
    <row r="337" spans="1:29" ht="11.4">
      <c r="A337" s="211" t="str">
        <f t="shared" si="93"/>
        <v/>
      </c>
      <c r="B337" s="211"/>
      <c r="C337" s="215"/>
      <c r="D337" s="213" t="str">
        <f t="shared" si="94"/>
        <v/>
      </c>
      <c r="E337" s="213" t="str">
        <f t="shared" si="102"/>
        <v/>
      </c>
      <c r="F337" s="214" t="str">
        <f t="shared" si="95"/>
        <v/>
      </c>
      <c r="G337" s="180"/>
      <c r="H337" s="181" t="str">
        <f t="shared" si="96"/>
        <v/>
      </c>
      <c r="I337" s="227"/>
      <c r="J337" s="227"/>
      <c r="K337" s="227"/>
      <c r="L337" s="227"/>
      <c r="M337" s="210" t="str">
        <f t="shared" si="101"/>
        <v/>
      </c>
      <c r="N337" s="210"/>
      <c r="O337" s="207"/>
      <c r="P337" s="182" t="str">
        <f t="shared" si="86"/>
        <v/>
      </c>
      <c r="Q337" s="183" t="str">
        <f t="shared" si="97"/>
        <v/>
      </c>
      <c r="R337" s="182" t="str">
        <f>IF(M337&lt;&gt;"",IF(#REF!*F337*10=0,"",#REF!*F337*10),"")</f>
        <v/>
      </c>
      <c r="S337" s="184" t="str">
        <f t="shared" si="98"/>
        <v/>
      </c>
      <c r="T337" s="185" t="str">
        <f t="shared" si="87"/>
        <v/>
      </c>
      <c r="U337" s="183" t="str">
        <f t="shared" si="99"/>
        <v/>
      </c>
      <c r="V337" s="186" t="str">
        <f t="shared" si="88"/>
        <v/>
      </c>
      <c r="W337" s="186" t="str">
        <f t="shared" si="89"/>
        <v/>
      </c>
      <c r="X337" s="187" t="str">
        <f t="shared" si="90"/>
        <v/>
      </c>
      <c r="Y337" s="182" t="str">
        <f t="shared" si="100"/>
        <v/>
      </c>
      <c r="Z337" s="209" t="str">
        <f t="shared" si="91"/>
        <v/>
      </c>
      <c r="AA337" s="209" t="str">
        <f t="shared" si="92"/>
        <v/>
      </c>
      <c r="AB337" s="200"/>
      <c r="AC337" s="192"/>
    </row>
    <row r="338" spans="1:29" ht="11.4">
      <c r="A338" s="211" t="str">
        <f t="shared" si="93"/>
        <v/>
      </c>
      <c r="B338" s="211"/>
      <c r="C338" s="215"/>
      <c r="D338" s="213" t="str">
        <f t="shared" si="94"/>
        <v/>
      </c>
      <c r="E338" s="213" t="str">
        <f t="shared" si="102"/>
        <v/>
      </c>
      <c r="F338" s="214" t="str">
        <f t="shared" si="95"/>
        <v/>
      </c>
      <c r="G338" s="180"/>
      <c r="H338" s="181" t="str">
        <f t="shared" si="96"/>
        <v/>
      </c>
      <c r="I338" s="227"/>
      <c r="J338" s="227"/>
      <c r="K338" s="227"/>
      <c r="L338" s="227"/>
      <c r="M338" s="210" t="str">
        <f t="shared" si="101"/>
        <v/>
      </c>
      <c r="N338" s="210"/>
      <c r="O338" s="207"/>
      <c r="P338" s="182" t="str">
        <f t="shared" si="86"/>
        <v/>
      </c>
      <c r="Q338" s="183" t="str">
        <f t="shared" si="97"/>
        <v/>
      </c>
      <c r="R338" s="182" t="str">
        <f>IF(M338&lt;&gt;"",IF(#REF!*F338*10=0,"",#REF!*F338*10),"")</f>
        <v/>
      </c>
      <c r="S338" s="184" t="str">
        <f t="shared" si="98"/>
        <v/>
      </c>
      <c r="T338" s="185" t="str">
        <f t="shared" si="87"/>
        <v/>
      </c>
      <c r="U338" s="183" t="str">
        <f t="shared" si="99"/>
        <v/>
      </c>
      <c r="V338" s="186" t="str">
        <f t="shared" si="88"/>
        <v/>
      </c>
      <c r="W338" s="186" t="str">
        <f t="shared" si="89"/>
        <v/>
      </c>
      <c r="X338" s="187" t="str">
        <f t="shared" si="90"/>
        <v/>
      </c>
      <c r="Y338" s="182" t="str">
        <f t="shared" si="100"/>
        <v/>
      </c>
      <c r="Z338" s="209" t="str">
        <f t="shared" si="91"/>
        <v/>
      </c>
      <c r="AA338" s="209" t="str">
        <f t="shared" si="92"/>
        <v/>
      </c>
      <c r="AB338" s="200"/>
      <c r="AC338" s="192"/>
    </row>
    <row r="339" spans="1:29" ht="11.4">
      <c r="A339" s="211" t="str">
        <f t="shared" si="93"/>
        <v/>
      </c>
      <c r="B339" s="211"/>
      <c r="C339" s="215"/>
      <c r="D339" s="213" t="str">
        <f t="shared" si="94"/>
        <v/>
      </c>
      <c r="E339" s="213" t="str">
        <f t="shared" si="102"/>
        <v/>
      </c>
      <c r="F339" s="214" t="str">
        <f t="shared" si="95"/>
        <v/>
      </c>
      <c r="G339" s="180"/>
      <c r="H339" s="181" t="str">
        <f t="shared" si="96"/>
        <v/>
      </c>
      <c r="I339" s="227"/>
      <c r="J339" s="227"/>
      <c r="K339" s="227"/>
      <c r="L339" s="227"/>
      <c r="M339" s="210" t="str">
        <f t="shared" si="101"/>
        <v/>
      </c>
      <c r="N339" s="210"/>
      <c r="O339" s="207"/>
      <c r="P339" s="182" t="str">
        <f t="shared" si="86"/>
        <v/>
      </c>
      <c r="Q339" s="183" t="str">
        <f t="shared" si="97"/>
        <v/>
      </c>
      <c r="R339" s="182" t="str">
        <f>IF(M339&lt;&gt;"",IF(#REF!*F339*10=0,"",#REF!*F339*10),"")</f>
        <v/>
      </c>
      <c r="S339" s="184" t="str">
        <f t="shared" si="98"/>
        <v/>
      </c>
      <c r="T339" s="185" t="str">
        <f t="shared" si="87"/>
        <v/>
      </c>
      <c r="U339" s="183" t="str">
        <f t="shared" si="99"/>
        <v/>
      </c>
      <c r="V339" s="186" t="str">
        <f t="shared" si="88"/>
        <v/>
      </c>
      <c r="W339" s="186" t="str">
        <f t="shared" si="89"/>
        <v/>
      </c>
      <c r="X339" s="187" t="str">
        <f t="shared" si="90"/>
        <v/>
      </c>
      <c r="Y339" s="182" t="str">
        <f t="shared" si="100"/>
        <v/>
      </c>
      <c r="Z339" s="209" t="str">
        <f t="shared" si="91"/>
        <v/>
      </c>
      <c r="AA339" s="209" t="str">
        <f t="shared" si="92"/>
        <v/>
      </c>
      <c r="AB339" s="200"/>
      <c r="AC339" s="192"/>
    </row>
    <row r="340" spans="1:29" ht="11.4">
      <c r="A340" s="211" t="str">
        <f t="shared" si="93"/>
        <v/>
      </c>
      <c r="B340" s="211"/>
      <c r="C340" s="215"/>
      <c r="D340" s="213" t="str">
        <f t="shared" si="94"/>
        <v/>
      </c>
      <c r="E340" s="213" t="str">
        <f t="shared" si="102"/>
        <v/>
      </c>
      <c r="F340" s="214" t="str">
        <f t="shared" si="95"/>
        <v/>
      </c>
      <c r="G340" s="180"/>
      <c r="H340" s="181" t="str">
        <f t="shared" si="96"/>
        <v/>
      </c>
      <c r="I340" s="227"/>
      <c r="J340" s="227"/>
      <c r="K340" s="227"/>
      <c r="L340" s="227"/>
      <c r="M340" s="210" t="str">
        <f t="shared" si="101"/>
        <v/>
      </c>
      <c r="N340" s="210"/>
      <c r="O340" s="207"/>
      <c r="P340" s="182" t="str">
        <f t="shared" si="86"/>
        <v/>
      </c>
      <c r="Q340" s="183" t="str">
        <f t="shared" si="97"/>
        <v/>
      </c>
      <c r="R340" s="182" t="str">
        <f>IF(M340&lt;&gt;"",IF(#REF!*F340*10=0,"",#REF!*F340*10),"")</f>
        <v/>
      </c>
      <c r="S340" s="184" t="str">
        <f t="shared" si="98"/>
        <v/>
      </c>
      <c r="T340" s="185" t="str">
        <f t="shared" si="87"/>
        <v/>
      </c>
      <c r="U340" s="183" t="str">
        <f t="shared" si="99"/>
        <v/>
      </c>
      <c r="V340" s="186" t="str">
        <f t="shared" si="88"/>
        <v/>
      </c>
      <c r="W340" s="186" t="str">
        <f t="shared" si="89"/>
        <v/>
      </c>
      <c r="X340" s="187" t="str">
        <f t="shared" si="90"/>
        <v/>
      </c>
      <c r="Y340" s="182" t="str">
        <f t="shared" si="100"/>
        <v/>
      </c>
      <c r="Z340" s="209" t="str">
        <f t="shared" si="91"/>
        <v/>
      </c>
      <c r="AA340" s="209" t="str">
        <f t="shared" si="92"/>
        <v/>
      </c>
      <c r="AB340" s="200"/>
      <c r="AC340" s="192"/>
    </row>
    <row r="341" spans="1:29" ht="11.4">
      <c r="A341" s="211" t="str">
        <f t="shared" si="93"/>
        <v/>
      </c>
      <c r="B341" s="211"/>
      <c r="C341" s="215"/>
      <c r="D341" s="213" t="str">
        <f t="shared" si="94"/>
        <v/>
      </c>
      <c r="E341" s="213" t="str">
        <f t="shared" si="102"/>
        <v/>
      </c>
      <c r="F341" s="214" t="str">
        <f t="shared" si="95"/>
        <v/>
      </c>
      <c r="G341" s="180"/>
      <c r="H341" s="181" t="str">
        <f t="shared" si="96"/>
        <v/>
      </c>
      <c r="I341" s="227"/>
      <c r="J341" s="227"/>
      <c r="K341" s="227"/>
      <c r="L341" s="227"/>
      <c r="M341" s="210" t="str">
        <f t="shared" si="101"/>
        <v/>
      </c>
      <c r="N341" s="210"/>
      <c r="O341" s="207"/>
      <c r="P341" s="182" t="str">
        <f t="shared" si="86"/>
        <v/>
      </c>
      <c r="Q341" s="183" t="str">
        <f t="shared" si="97"/>
        <v/>
      </c>
      <c r="R341" s="182" t="str">
        <f>IF(M341&lt;&gt;"",IF(#REF!*F341*10=0,"",#REF!*F341*10),"")</f>
        <v/>
      </c>
      <c r="S341" s="184" t="str">
        <f t="shared" si="98"/>
        <v/>
      </c>
      <c r="T341" s="185" t="str">
        <f t="shared" si="87"/>
        <v/>
      </c>
      <c r="U341" s="183" t="str">
        <f t="shared" si="99"/>
        <v/>
      </c>
      <c r="V341" s="186" t="str">
        <f t="shared" si="88"/>
        <v/>
      </c>
      <c r="W341" s="186" t="str">
        <f t="shared" si="89"/>
        <v/>
      </c>
      <c r="X341" s="187" t="str">
        <f t="shared" si="90"/>
        <v/>
      </c>
      <c r="Y341" s="182" t="str">
        <f t="shared" si="100"/>
        <v/>
      </c>
      <c r="Z341" s="209" t="str">
        <f t="shared" si="91"/>
        <v/>
      </c>
      <c r="AA341" s="209" t="str">
        <f t="shared" si="92"/>
        <v/>
      </c>
      <c r="AB341" s="200"/>
      <c r="AC341" s="192"/>
    </row>
    <row r="342" spans="1:29" ht="11.4">
      <c r="A342" s="211" t="str">
        <f t="shared" si="93"/>
        <v/>
      </c>
      <c r="B342" s="211"/>
      <c r="C342" s="215"/>
      <c r="D342" s="213" t="str">
        <f t="shared" si="94"/>
        <v/>
      </c>
      <c r="E342" s="213" t="str">
        <f t="shared" si="102"/>
        <v/>
      </c>
      <c r="F342" s="214" t="str">
        <f t="shared" si="95"/>
        <v/>
      </c>
      <c r="G342" s="180"/>
      <c r="H342" s="181" t="str">
        <f t="shared" si="96"/>
        <v/>
      </c>
      <c r="I342" s="227"/>
      <c r="J342" s="227"/>
      <c r="K342" s="227"/>
      <c r="L342" s="227"/>
      <c r="M342" s="210" t="str">
        <f t="shared" si="101"/>
        <v/>
      </c>
      <c r="N342" s="210"/>
      <c r="O342" s="207"/>
      <c r="P342" s="182" t="str">
        <f t="shared" si="86"/>
        <v/>
      </c>
      <c r="Q342" s="183" t="str">
        <f t="shared" si="97"/>
        <v/>
      </c>
      <c r="R342" s="182" t="str">
        <f>IF(M342&lt;&gt;"",IF(#REF!*F342*10=0,"",#REF!*F342*10),"")</f>
        <v/>
      </c>
      <c r="S342" s="184" t="str">
        <f t="shared" si="98"/>
        <v/>
      </c>
      <c r="T342" s="185" t="str">
        <f t="shared" si="87"/>
        <v/>
      </c>
      <c r="U342" s="183" t="str">
        <f t="shared" si="99"/>
        <v/>
      </c>
      <c r="V342" s="186" t="str">
        <f t="shared" si="88"/>
        <v/>
      </c>
      <c r="W342" s="186" t="str">
        <f t="shared" si="89"/>
        <v/>
      </c>
      <c r="X342" s="187" t="str">
        <f t="shared" si="90"/>
        <v/>
      </c>
      <c r="Y342" s="182" t="str">
        <f t="shared" si="100"/>
        <v/>
      </c>
      <c r="Z342" s="209" t="str">
        <f t="shared" si="91"/>
        <v/>
      </c>
      <c r="AA342" s="209" t="str">
        <f t="shared" si="92"/>
        <v/>
      </c>
      <c r="AB342" s="200"/>
      <c r="AC342" s="192"/>
    </row>
    <row r="343" spans="1:29" ht="11.4">
      <c r="A343" s="211" t="str">
        <f t="shared" si="93"/>
        <v/>
      </c>
      <c r="B343" s="211"/>
      <c r="C343" s="215"/>
      <c r="D343" s="213" t="str">
        <f t="shared" si="94"/>
        <v/>
      </c>
      <c r="E343" s="213" t="str">
        <f t="shared" si="102"/>
        <v/>
      </c>
      <c r="F343" s="214" t="str">
        <f t="shared" si="95"/>
        <v/>
      </c>
      <c r="G343" s="180"/>
      <c r="H343" s="181" t="str">
        <f t="shared" si="96"/>
        <v/>
      </c>
      <c r="I343" s="227"/>
      <c r="J343" s="227"/>
      <c r="K343" s="227"/>
      <c r="L343" s="227"/>
      <c r="M343" s="210" t="str">
        <f t="shared" si="101"/>
        <v/>
      </c>
      <c r="N343" s="210"/>
      <c r="O343" s="207"/>
      <c r="P343" s="182" t="str">
        <f t="shared" si="86"/>
        <v/>
      </c>
      <c r="Q343" s="183" t="str">
        <f t="shared" si="97"/>
        <v/>
      </c>
      <c r="R343" s="182" t="str">
        <f>IF(M343&lt;&gt;"",IF(#REF!*F343*10=0,"",#REF!*F343*10),"")</f>
        <v/>
      </c>
      <c r="S343" s="184" t="str">
        <f t="shared" si="98"/>
        <v/>
      </c>
      <c r="T343" s="185" t="str">
        <f t="shared" si="87"/>
        <v/>
      </c>
      <c r="U343" s="183" t="str">
        <f t="shared" si="99"/>
        <v/>
      </c>
      <c r="V343" s="186" t="str">
        <f t="shared" si="88"/>
        <v/>
      </c>
      <c r="W343" s="186" t="str">
        <f t="shared" si="89"/>
        <v/>
      </c>
      <c r="X343" s="187" t="str">
        <f t="shared" si="90"/>
        <v/>
      </c>
      <c r="Y343" s="182" t="str">
        <f t="shared" si="100"/>
        <v/>
      </c>
      <c r="Z343" s="209" t="str">
        <f t="shared" si="91"/>
        <v/>
      </c>
      <c r="AA343" s="209" t="str">
        <f t="shared" si="92"/>
        <v/>
      </c>
      <c r="AB343" s="200"/>
      <c r="AC343" s="192"/>
    </row>
    <row r="344" spans="1:29" ht="11.4">
      <c r="A344" s="211" t="str">
        <f t="shared" si="93"/>
        <v/>
      </c>
      <c r="B344" s="211"/>
      <c r="C344" s="215"/>
      <c r="D344" s="213" t="str">
        <f t="shared" si="94"/>
        <v/>
      </c>
      <c r="E344" s="213" t="str">
        <f t="shared" si="102"/>
        <v/>
      </c>
      <c r="F344" s="214" t="str">
        <f t="shared" si="95"/>
        <v/>
      </c>
      <c r="G344" s="180"/>
      <c r="H344" s="181" t="str">
        <f t="shared" si="96"/>
        <v/>
      </c>
      <c r="I344" s="227"/>
      <c r="J344" s="227"/>
      <c r="K344" s="227"/>
      <c r="L344" s="227"/>
      <c r="M344" s="210" t="str">
        <f t="shared" si="101"/>
        <v/>
      </c>
      <c r="N344" s="210"/>
      <c r="O344" s="207"/>
      <c r="P344" s="182" t="str">
        <f t="shared" si="86"/>
        <v/>
      </c>
      <c r="Q344" s="183" t="str">
        <f t="shared" si="97"/>
        <v/>
      </c>
      <c r="R344" s="182" t="str">
        <f>IF(M344&lt;&gt;"",IF(#REF!*F344*10=0,"",#REF!*F344*10),"")</f>
        <v/>
      </c>
      <c r="S344" s="184" t="str">
        <f t="shared" si="98"/>
        <v/>
      </c>
      <c r="T344" s="185" t="str">
        <f t="shared" si="87"/>
        <v/>
      </c>
      <c r="U344" s="183" t="str">
        <f t="shared" si="99"/>
        <v/>
      </c>
      <c r="V344" s="186" t="str">
        <f t="shared" si="88"/>
        <v/>
      </c>
      <c r="W344" s="186" t="str">
        <f t="shared" si="89"/>
        <v/>
      </c>
      <c r="X344" s="187" t="str">
        <f t="shared" si="90"/>
        <v/>
      </c>
      <c r="Y344" s="182" t="str">
        <f t="shared" si="100"/>
        <v/>
      </c>
      <c r="Z344" s="209" t="str">
        <f t="shared" si="91"/>
        <v/>
      </c>
      <c r="AA344" s="209" t="str">
        <f t="shared" si="92"/>
        <v/>
      </c>
      <c r="AB344" s="200"/>
      <c r="AC344" s="192"/>
    </row>
    <row r="345" spans="1:29" ht="11.4">
      <c r="A345" s="211" t="str">
        <f t="shared" si="93"/>
        <v/>
      </c>
      <c r="B345" s="211"/>
      <c r="C345" s="215"/>
      <c r="D345" s="213" t="str">
        <f t="shared" si="94"/>
        <v/>
      </c>
      <c r="E345" s="213" t="str">
        <f t="shared" si="102"/>
        <v/>
      </c>
      <c r="F345" s="214" t="str">
        <f t="shared" si="95"/>
        <v/>
      </c>
      <c r="G345" s="180"/>
      <c r="H345" s="181" t="str">
        <f t="shared" si="96"/>
        <v/>
      </c>
      <c r="I345" s="227"/>
      <c r="J345" s="227"/>
      <c r="K345" s="227"/>
      <c r="L345" s="227"/>
      <c r="M345" s="210" t="str">
        <f t="shared" si="101"/>
        <v/>
      </c>
      <c r="N345" s="210"/>
      <c r="O345" s="207"/>
      <c r="P345" s="182" t="str">
        <f t="shared" si="86"/>
        <v/>
      </c>
      <c r="Q345" s="183" t="str">
        <f t="shared" si="97"/>
        <v/>
      </c>
      <c r="R345" s="182" t="str">
        <f>IF(M345&lt;&gt;"",IF(#REF!*F345*10=0,"",#REF!*F345*10),"")</f>
        <v/>
      </c>
      <c r="S345" s="184" t="str">
        <f t="shared" si="98"/>
        <v/>
      </c>
      <c r="T345" s="185" t="str">
        <f t="shared" si="87"/>
        <v/>
      </c>
      <c r="U345" s="183" t="str">
        <f t="shared" si="99"/>
        <v/>
      </c>
      <c r="V345" s="186" t="str">
        <f t="shared" si="88"/>
        <v/>
      </c>
      <c r="W345" s="186" t="str">
        <f t="shared" si="89"/>
        <v/>
      </c>
      <c r="X345" s="187" t="str">
        <f t="shared" si="90"/>
        <v/>
      </c>
      <c r="Y345" s="182" t="str">
        <f t="shared" si="100"/>
        <v/>
      </c>
      <c r="Z345" s="209" t="str">
        <f t="shared" si="91"/>
        <v/>
      </c>
      <c r="AA345" s="209" t="str">
        <f t="shared" si="92"/>
        <v/>
      </c>
      <c r="AB345" s="200"/>
      <c r="AC345" s="192"/>
    </row>
    <row r="346" spans="1:29" ht="11.4">
      <c r="A346" s="211" t="str">
        <f t="shared" si="93"/>
        <v/>
      </c>
      <c r="B346" s="211"/>
      <c r="C346" s="215"/>
      <c r="D346" s="213" t="str">
        <f t="shared" si="94"/>
        <v/>
      </c>
      <c r="E346" s="213" t="str">
        <f t="shared" si="102"/>
        <v/>
      </c>
      <c r="F346" s="214" t="str">
        <f t="shared" si="95"/>
        <v/>
      </c>
      <c r="G346" s="180"/>
      <c r="H346" s="181" t="str">
        <f t="shared" si="96"/>
        <v/>
      </c>
      <c r="I346" s="227"/>
      <c r="J346" s="227"/>
      <c r="K346" s="227"/>
      <c r="L346" s="227"/>
      <c r="M346" s="210" t="str">
        <f t="shared" si="101"/>
        <v/>
      </c>
      <c r="N346" s="210"/>
      <c r="O346" s="207"/>
      <c r="P346" s="182" t="str">
        <f t="shared" si="86"/>
        <v/>
      </c>
      <c r="Q346" s="183" t="str">
        <f t="shared" si="97"/>
        <v/>
      </c>
      <c r="R346" s="182" t="str">
        <f>IF(M346&lt;&gt;"",IF(#REF!*F346*10=0,"",#REF!*F346*10),"")</f>
        <v/>
      </c>
      <c r="S346" s="184" t="str">
        <f t="shared" si="98"/>
        <v/>
      </c>
      <c r="T346" s="185" t="str">
        <f t="shared" si="87"/>
        <v/>
      </c>
      <c r="U346" s="183" t="str">
        <f t="shared" si="99"/>
        <v/>
      </c>
      <c r="V346" s="186" t="str">
        <f t="shared" si="88"/>
        <v/>
      </c>
      <c r="W346" s="186" t="str">
        <f t="shared" si="89"/>
        <v/>
      </c>
      <c r="X346" s="187" t="str">
        <f t="shared" si="90"/>
        <v/>
      </c>
      <c r="Y346" s="182" t="str">
        <f t="shared" si="100"/>
        <v/>
      </c>
      <c r="Z346" s="209" t="str">
        <f t="shared" si="91"/>
        <v/>
      </c>
      <c r="AA346" s="209" t="str">
        <f t="shared" si="92"/>
        <v/>
      </c>
      <c r="AB346" s="200"/>
      <c r="AC346" s="192"/>
    </row>
    <row r="347" spans="1:29" ht="11.4">
      <c r="A347" s="211" t="str">
        <f t="shared" si="93"/>
        <v/>
      </c>
      <c r="B347" s="211"/>
      <c r="C347" s="215"/>
      <c r="D347" s="213" t="str">
        <f t="shared" si="94"/>
        <v/>
      </c>
      <c r="E347" s="213" t="str">
        <f t="shared" si="102"/>
        <v/>
      </c>
      <c r="F347" s="214" t="str">
        <f t="shared" si="95"/>
        <v/>
      </c>
      <c r="G347" s="180"/>
      <c r="H347" s="181" t="str">
        <f t="shared" si="96"/>
        <v/>
      </c>
      <c r="I347" s="227"/>
      <c r="J347" s="227"/>
      <c r="K347" s="227"/>
      <c r="L347" s="227"/>
      <c r="M347" s="210" t="str">
        <f t="shared" si="101"/>
        <v/>
      </c>
      <c r="N347" s="210"/>
      <c r="O347" s="207"/>
      <c r="P347" s="182" t="str">
        <f t="shared" si="86"/>
        <v/>
      </c>
      <c r="Q347" s="183" t="str">
        <f t="shared" si="97"/>
        <v/>
      </c>
      <c r="R347" s="182" t="str">
        <f>IF(M347&lt;&gt;"",IF(#REF!*F347*10=0,"",#REF!*F347*10),"")</f>
        <v/>
      </c>
      <c r="S347" s="184" t="str">
        <f t="shared" si="98"/>
        <v/>
      </c>
      <c r="T347" s="185" t="str">
        <f t="shared" si="87"/>
        <v/>
      </c>
      <c r="U347" s="183" t="str">
        <f t="shared" si="99"/>
        <v/>
      </c>
      <c r="V347" s="186" t="str">
        <f t="shared" si="88"/>
        <v/>
      </c>
      <c r="W347" s="186" t="str">
        <f t="shared" si="89"/>
        <v/>
      </c>
      <c r="X347" s="187" t="str">
        <f t="shared" si="90"/>
        <v/>
      </c>
      <c r="Y347" s="182" t="str">
        <f t="shared" si="100"/>
        <v/>
      </c>
      <c r="Z347" s="209" t="str">
        <f t="shared" si="91"/>
        <v/>
      </c>
      <c r="AA347" s="209" t="str">
        <f t="shared" si="92"/>
        <v/>
      </c>
      <c r="AB347" s="200"/>
      <c r="AC347" s="192"/>
    </row>
    <row r="348" spans="1:29" ht="11.4">
      <c r="A348" s="211" t="str">
        <f t="shared" si="93"/>
        <v/>
      </c>
      <c r="B348" s="211"/>
      <c r="C348" s="215"/>
      <c r="D348" s="213" t="str">
        <f t="shared" si="94"/>
        <v/>
      </c>
      <c r="E348" s="213" t="str">
        <f t="shared" si="102"/>
        <v/>
      </c>
      <c r="F348" s="214" t="str">
        <f t="shared" si="95"/>
        <v/>
      </c>
      <c r="G348" s="180"/>
      <c r="H348" s="181" t="str">
        <f t="shared" si="96"/>
        <v/>
      </c>
      <c r="I348" s="227"/>
      <c r="J348" s="227"/>
      <c r="K348" s="227"/>
      <c r="L348" s="227"/>
      <c r="M348" s="210" t="str">
        <f t="shared" si="101"/>
        <v/>
      </c>
      <c r="N348" s="210"/>
      <c r="O348" s="207"/>
      <c r="P348" s="182" t="str">
        <f t="shared" si="86"/>
        <v/>
      </c>
      <c r="Q348" s="183" t="str">
        <f t="shared" si="97"/>
        <v/>
      </c>
      <c r="R348" s="182" t="str">
        <f>IF(M348&lt;&gt;"",IF(#REF!*F348*10=0,"",#REF!*F348*10),"")</f>
        <v/>
      </c>
      <c r="S348" s="184" t="str">
        <f t="shared" si="98"/>
        <v/>
      </c>
      <c r="T348" s="185" t="str">
        <f t="shared" si="87"/>
        <v/>
      </c>
      <c r="U348" s="183" t="str">
        <f t="shared" si="99"/>
        <v/>
      </c>
      <c r="V348" s="186" t="str">
        <f t="shared" si="88"/>
        <v/>
      </c>
      <c r="W348" s="186" t="str">
        <f t="shared" si="89"/>
        <v/>
      </c>
      <c r="X348" s="187" t="str">
        <f t="shared" si="90"/>
        <v/>
      </c>
      <c r="Y348" s="182" t="str">
        <f t="shared" si="100"/>
        <v/>
      </c>
      <c r="Z348" s="209" t="str">
        <f t="shared" si="91"/>
        <v/>
      </c>
      <c r="AA348" s="209" t="str">
        <f t="shared" si="92"/>
        <v/>
      </c>
      <c r="AB348" s="200"/>
      <c r="AC348" s="192"/>
    </row>
    <row r="349" spans="1:29" ht="11.4">
      <c r="A349" s="211" t="str">
        <f t="shared" si="93"/>
        <v/>
      </c>
      <c r="B349" s="211"/>
      <c r="C349" s="215"/>
      <c r="D349" s="213" t="str">
        <f t="shared" si="94"/>
        <v/>
      </c>
      <c r="E349" s="213" t="str">
        <f t="shared" si="102"/>
        <v/>
      </c>
      <c r="F349" s="214" t="str">
        <f t="shared" si="95"/>
        <v/>
      </c>
      <c r="G349" s="180"/>
      <c r="H349" s="181" t="str">
        <f t="shared" si="96"/>
        <v/>
      </c>
      <c r="I349" s="227"/>
      <c r="J349" s="227"/>
      <c r="K349" s="227"/>
      <c r="L349" s="227"/>
      <c r="M349" s="210" t="str">
        <f t="shared" si="101"/>
        <v/>
      </c>
      <c r="N349" s="210"/>
      <c r="O349" s="207"/>
      <c r="P349" s="182" t="str">
        <f t="shared" si="86"/>
        <v/>
      </c>
      <c r="Q349" s="183" t="str">
        <f t="shared" si="97"/>
        <v/>
      </c>
      <c r="R349" s="182" t="str">
        <f>IF(M349&lt;&gt;"",IF(#REF!*F349*10=0,"",#REF!*F349*10),"")</f>
        <v/>
      </c>
      <c r="S349" s="184" t="str">
        <f t="shared" si="98"/>
        <v/>
      </c>
      <c r="T349" s="185" t="str">
        <f t="shared" si="87"/>
        <v/>
      </c>
      <c r="U349" s="183" t="str">
        <f t="shared" si="99"/>
        <v/>
      </c>
      <c r="V349" s="186" t="str">
        <f t="shared" si="88"/>
        <v/>
      </c>
      <c r="W349" s="186" t="str">
        <f t="shared" si="89"/>
        <v/>
      </c>
      <c r="X349" s="187" t="str">
        <f t="shared" si="90"/>
        <v/>
      </c>
      <c r="Y349" s="182" t="str">
        <f t="shared" si="100"/>
        <v/>
      </c>
      <c r="Z349" s="209" t="str">
        <f t="shared" si="91"/>
        <v/>
      </c>
      <c r="AA349" s="209" t="str">
        <f t="shared" si="92"/>
        <v/>
      </c>
      <c r="AB349" s="200"/>
      <c r="AC349" s="192"/>
    </row>
    <row r="350" spans="1:29" ht="11.4">
      <c r="A350" s="211" t="str">
        <f t="shared" si="93"/>
        <v/>
      </c>
      <c r="B350" s="211"/>
      <c r="C350" s="215"/>
      <c r="D350" s="213" t="str">
        <f t="shared" si="94"/>
        <v/>
      </c>
      <c r="E350" s="213" t="str">
        <f t="shared" si="102"/>
        <v/>
      </c>
      <c r="F350" s="214" t="str">
        <f t="shared" si="95"/>
        <v/>
      </c>
      <c r="G350" s="180"/>
      <c r="H350" s="181" t="str">
        <f t="shared" si="96"/>
        <v/>
      </c>
      <c r="I350" s="227"/>
      <c r="J350" s="227"/>
      <c r="K350" s="227"/>
      <c r="L350" s="227"/>
      <c r="M350" s="210" t="str">
        <f t="shared" si="101"/>
        <v/>
      </c>
      <c r="N350" s="210"/>
      <c r="O350" s="207"/>
      <c r="P350" s="182" t="str">
        <f t="shared" si="86"/>
        <v/>
      </c>
      <c r="Q350" s="183" t="str">
        <f t="shared" si="97"/>
        <v/>
      </c>
      <c r="R350" s="182" t="str">
        <f>IF(M350&lt;&gt;"",IF(#REF!*F350*10=0,"",#REF!*F350*10),"")</f>
        <v/>
      </c>
      <c r="S350" s="184" t="str">
        <f t="shared" si="98"/>
        <v/>
      </c>
      <c r="T350" s="185" t="str">
        <f t="shared" si="87"/>
        <v/>
      </c>
      <c r="U350" s="183" t="str">
        <f t="shared" si="99"/>
        <v/>
      </c>
      <c r="V350" s="186" t="str">
        <f t="shared" si="88"/>
        <v/>
      </c>
      <c r="W350" s="186" t="str">
        <f t="shared" si="89"/>
        <v/>
      </c>
      <c r="X350" s="187" t="str">
        <f t="shared" si="90"/>
        <v/>
      </c>
      <c r="Y350" s="182" t="str">
        <f t="shared" si="100"/>
        <v/>
      </c>
      <c r="Z350" s="209" t="str">
        <f t="shared" si="91"/>
        <v/>
      </c>
      <c r="AA350" s="209" t="str">
        <f t="shared" si="92"/>
        <v/>
      </c>
      <c r="AB350" s="200"/>
      <c r="AC350" s="192"/>
    </row>
    <row r="351" spans="1:29" ht="11.4">
      <c r="A351" s="211" t="str">
        <f t="shared" si="93"/>
        <v/>
      </c>
      <c r="B351" s="211"/>
      <c r="C351" s="215"/>
      <c r="D351" s="213" t="str">
        <f t="shared" si="94"/>
        <v/>
      </c>
      <c r="E351" s="213" t="str">
        <f t="shared" si="102"/>
        <v/>
      </c>
      <c r="F351" s="214" t="str">
        <f t="shared" si="95"/>
        <v/>
      </c>
      <c r="G351" s="180"/>
      <c r="H351" s="181" t="str">
        <f t="shared" si="96"/>
        <v/>
      </c>
      <c r="I351" s="227"/>
      <c r="J351" s="227"/>
      <c r="K351" s="227"/>
      <c r="L351" s="227"/>
      <c r="M351" s="210" t="str">
        <f t="shared" si="101"/>
        <v/>
      </c>
      <c r="N351" s="210"/>
      <c r="O351" s="207"/>
      <c r="P351" s="182" t="str">
        <f t="shared" si="86"/>
        <v/>
      </c>
      <c r="Q351" s="183" t="str">
        <f t="shared" si="97"/>
        <v/>
      </c>
      <c r="R351" s="182" t="str">
        <f>IF(M351&lt;&gt;"",IF(#REF!*F351*10=0,"",#REF!*F351*10),"")</f>
        <v/>
      </c>
      <c r="S351" s="184" t="str">
        <f t="shared" si="98"/>
        <v/>
      </c>
      <c r="T351" s="185" t="str">
        <f t="shared" si="87"/>
        <v/>
      </c>
      <c r="U351" s="183" t="str">
        <f t="shared" si="99"/>
        <v/>
      </c>
      <c r="V351" s="186" t="str">
        <f t="shared" si="88"/>
        <v/>
      </c>
      <c r="W351" s="186" t="str">
        <f t="shared" si="89"/>
        <v/>
      </c>
      <c r="X351" s="187" t="str">
        <f t="shared" si="90"/>
        <v/>
      </c>
      <c r="Y351" s="182" t="str">
        <f t="shared" si="100"/>
        <v/>
      </c>
      <c r="Z351" s="209" t="str">
        <f t="shared" si="91"/>
        <v/>
      </c>
      <c r="AA351" s="209" t="str">
        <f t="shared" si="92"/>
        <v/>
      </c>
      <c r="AB351" s="200"/>
      <c r="AC351" s="192"/>
    </row>
    <row r="352" spans="1:29" ht="11.4">
      <c r="A352" s="211" t="str">
        <f t="shared" si="93"/>
        <v/>
      </c>
      <c r="B352" s="211"/>
      <c r="C352" s="215"/>
      <c r="D352" s="213" t="str">
        <f t="shared" si="94"/>
        <v/>
      </c>
      <c r="E352" s="213" t="str">
        <f t="shared" si="102"/>
        <v/>
      </c>
      <c r="F352" s="214" t="str">
        <f t="shared" si="95"/>
        <v/>
      </c>
      <c r="G352" s="180"/>
      <c r="H352" s="181" t="str">
        <f t="shared" si="96"/>
        <v/>
      </c>
      <c r="I352" s="227"/>
      <c r="J352" s="227"/>
      <c r="K352" s="227"/>
      <c r="L352" s="227"/>
      <c r="M352" s="210" t="str">
        <f t="shared" si="101"/>
        <v/>
      </c>
      <c r="N352" s="210"/>
      <c r="O352" s="207"/>
      <c r="P352" s="182" t="str">
        <f t="shared" si="86"/>
        <v/>
      </c>
      <c r="Q352" s="183" t="str">
        <f t="shared" si="97"/>
        <v/>
      </c>
      <c r="R352" s="182" t="str">
        <f>IF(M352&lt;&gt;"",IF(#REF!*F352*10=0,"",#REF!*F352*10),"")</f>
        <v/>
      </c>
      <c r="S352" s="184" t="str">
        <f t="shared" si="98"/>
        <v/>
      </c>
      <c r="T352" s="185" t="str">
        <f t="shared" si="87"/>
        <v/>
      </c>
      <c r="U352" s="183" t="str">
        <f t="shared" si="99"/>
        <v/>
      </c>
      <c r="V352" s="186" t="str">
        <f t="shared" si="88"/>
        <v/>
      </c>
      <c r="W352" s="186" t="str">
        <f t="shared" si="89"/>
        <v/>
      </c>
      <c r="X352" s="187" t="str">
        <f t="shared" si="90"/>
        <v/>
      </c>
      <c r="Y352" s="182" t="str">
        <f t="shared" si="100"/>
        <v/>
      </c>
      <c r="Z352" s="209" t="str">
        <f t="shared" si="91"/>
        <v/>
      </c>
      <c r="AA352" s="209" t="str">
        <f t="shared" si="92"/>
        <v/>
      </c>
      <c r="AB352" s="200"/>
      <c r="AC352" s="192"/>
    </row>
    <row r="353" spans="1:29" ht="11.4">
      <c r="A353" s="211" t="str">
        <f t="shared" si="93"/>
        <v/>
      </c>
      <c r="B353" s="211"/>
      <c r="C353" s="215"/>
      <c r="D353" s="213" t="str">
        <f t="shared" si="94"/>
        <v/>
      </c>
      <c r="E353" s="213" t="str">
        <f t="shared" si="102"/>
        <v/>
      </c>
      <c r="F353" s="214" t="str">
        <f t="shared" si="95"/>
        <v/>
      </c>
      <c r="G353" s="180"/>
      <c r="H353" s="181" t="str">
        <f t="shared" si="96"/>
        <v/>
      </c>
      <c r="I353" s="227"/>
      <c r="J353" s="227"/>
      <c r="K353" s="227"/>
      <c r="L353" s="227"/>
      <c r="M353" s="210" t="str">
        <f t="shared" si="101"/>
        <v/>
      </c>
      <c r="N353" s="210"/>
      <c r="O353" s="207"/>
      <c r="P353" s="182" t="str">
        <f t="shared" si="86"/>
        <v/>
      </c>
      <c r="Q353" s="183" t="str">
        <f t="shared" si="97"/>
        <v/>
      </c>
      <c r="R353" s="182" t="str">
        <f>IF(M353&lt;&gt;"",IF(#REF!*F353*10=0,"",#REF!*F353*10),"")</f>
        <v/>
      </c>
      <c r="S353" s="184" t="str">
        <f t="shared" si="98"/>
        <v/>
      </c>
      <c r="T353" s="185" t="str">
        <f t="shared" si="87"/>
        <v/>
      </c>
      <c r="U353" s="183" t="str">
        <f t="shared" si="99"/>
        <v/>
      </c>
      <c r="V353" s="186" t="str">
        <f t="shared" si="88"/>
        <v/>
      </c>
      <c r="W353" s="186" t="str">
        <f t="shared" si="89"/>
        <v/>
      </c>
      <c r="X353" s="187" t="str">
        <f t="shared" si="90"/>
        <v/>
      </c>
      <c r="Y353" s="182" t="str">
        <f t="shared" si="100"/>
        <v/>
      </c>
      <c r="Z353" s="209" t="str">
        <f t="shared" si="91"/>
        <v/>
      </c>
      <c r="AA353" s="209" t="str">
        <f t="shared" si="92"/>
        <v/>
      </c>
      <c r="AB353" s="200"/>
      <c r="AC353" s="192"/>
    </row>
    <row r="354" spans="1:29" ht="11.4">
      <c r="A354" s="211" t="str">
        <f t="shared" si="93"/>
        <v/>
      </c>
      <c r="B354" s="211"/>
      <c r="C354" s="215"/>
      <c r="D354" s="213" t="str">
        <f t="shared" si="94"/>
        <v/>
      </c>
      <c r="E354" s="213" t="str">
        <f t="shared" si="102"/>
        <v/>
      </c>
      <c r="F354" s="214" t="str">
        <f t="shared" si="95"/>
        <v/>
      </c>
      <c r="G354" s="180"/>
      <c r="H354" s="181" t="str">
        <f t="shared" si="96"/>
        <v/>
      </c>
      <c r="I354" s="227"/>
      <c r="J354" s="227"/>
      <c r="K354" s="227"/>
      <c r="L354" s="227"/>
      <c r="M354" s="210" t="str">
        <f t="shared" si="101"/>
        <v/>
      </c>
      <c r="N354" s="210"/>
      <c r="O354" s="207"/>
      <c r="P354" s="182" t="str">
        <f t="shared" si="86"/>
        <v/>
      </c>
      <c r="Q354" s="183" t="str">
        <f t="shared" si="97"/>
        <v/>
      </c>
      <c r="R354" s="182" t="str">
        <f>IF(M354&lt;&gt;"",IF(#REF!*F354*10=0,"",#REF!*F354*10),"")</f>
        <v/>
      </c>
      <c r="S354" s="184" t="str">
        <f t="shared" si="98"/>
        <v/>
      </c>
      <c r="T354" s="185" t="str">
        <f t="shared" si="87"/>
        <v/>
      </c>
      <c r="U354" s="183" t="str">
        <f t="shared" si="99"/>
        <v/>
      </c>
      <c r="V354" s="186" t="str">
        <f t="shared" si="88"/>
        <v/>
      </c>
      <c r="W354" s="186" t="str">
        <f t="shared" si="89"/>
        <v/>
      </c>
      <c r="X354" s="187" t="str">
        <f t="shared" si="90"/>
        <v/>
      </c>
      <c r="Y354" s="182" t="str">
        <f t="shared" si="100"/>
        <v/>
      </c>
      <c r="Z354" s="209" t="str">
        <f t="shared" si="91"/>
        <v/>
      </c>
      <c r="AA354" s="209" t="str">
        <f t="shared" si="92"/>
        <v/>
      </c>
      <c r="AB354" s="200"/>
      <c r="AC354" s="192"/>
    </row>
    <row r="355" spans="1:29" ht="11.4">
      <c r="A355" s="211" t="str">
        <f t="shared" si="93"/>
        <v/>
      </c>
      <c r="B355" s="211"/>
      <c r="C355" s="215"/>
      <c r="D355" s="213" t="str">
        <f t="shared" si="94"/>
        <v/>
      </c>
      <c r="E355" s="213" t="str">
        <f t="shared" si="102"/>
        <v/>
      </c>
      <c r="F355" s="214" t="str">
        <f t="shared" si="95"/>
        <v/>
      </c>
      <c r="G355" s="180"/>
      <c r="H355" s="181" t="str">
        <f t="shared" si="96"/>
        <v/>
      </c>
      <c r="I355" s="227"/>
      <c r="J355" s="227"/>
      <c r="K355" s="227"/>
      <c r="L355" s="227"/>
      <c r="M355" s="210" t="str">
        <f t="shared" si="101"/>
        <v/>
      </c>
      <c r="N355" s="210"/>
      <c r="O355" s="207"/>
      <c r="P355" s="182" t="str">
        <f t="shared" si="86"/>
        <v/>
      </c>
      <c r="Q355" s="183" t="str">
        <f t="shared" si="97"/>
        <v/>
      </c>
      <c r="R355" s="182" t="str">
        <f>IF(M355&lt;&gt;"",IF(#REF!*F355*10=0,"",#REF!*F355*10),"")</f>
        <v/>
      </c>
      <c r="S355" s="184" t="str">
        <f t="shared" si="98"/>
        <v/>
      </c>
      <c r="T355" s="185" t="str">
        <f t="shared" si="87"/>
        <v/>
      </c>
      <c r="U355" s="183" t="str">
        <f t="shared" si="99"/>
        <v/>
      </c>
      <c r="V355" s="186" t="str">
        <f t="shared" si="88"/>
        <v/>
      </c>
      <c r="W355" s="186" t="str">
        <f t="shared" si="89"/>
        <v/>
      </c>
      <c r="X355" s="187" t="str">
        <f t="shared" si="90"/>
        <v/>
      </c>
      <c r="Y355" s="182" t="str">
        <f t="shared" si="100"/>
        <v/>
      </c>
      <c r="Z355" s="209" t="str">
        <f t="shared" si="91"/>
        <v/>
      </c>
      <c r="AA355" s="209" t="str">
        <f t="shared" si="92"/>
        <v/>
      </c>
      <c r="AB355" s="200"/>
      <c r="AC355" s="192"/>
    </row>
    <row r="356" spans="1:29" ht="11.4">
      <c r="A356" s="211" t="str">
        <f t="shared" si="93"/>
        <v/>
      </c>
      <c r="B356" s="211"/>
      <c r="C356" s="215"/>
      <c r="D356" s="213" t="str">
        <f t="shared" si="94"/>
        <v/>
      </c>
      <c r="E356" s="213" t="str">
        <f t="shared" si="102"/>
        <v/>
      </c>
      <c r="F356" s="214" t="str">
        <f t="shared" si="95"/>
        <v/>
      </c>
      <c r="G356" s="180"/>
      <c r="H356" s="181" t="str">
        <f t="shared" si="96"/>
        <v/>
      </c>
      <c r="I356" s="227"/>
      <c r="J356" s="227"/>
      <c r="K356" s="227"/>
      <c r="L356" s="227"/>
      <c r="M356" s="210" t="str">
        <f t="shared" si="101"/>
        <v/>
      </c>
      <c r="N356" s="210"/>
      <c r="O356" s="207"/>
      <c r="P356" s="182" t="str">
        <f t="shared" si="86"/>
        <v/>
      </c>
      <c r="Q356" s="183" t="str">
        <f t="shared" si="97"/>
        <v/>
      </c>
      <c r="R356" s="182" t="str">
        <f>IF(M356&lt;&gt;"",IF(#REF!*F356*10=0,"",#REF!*F356*10),"")</f>
        <v/>
      </c>
      <c r="S356" s="184" t="str">
        <f t="shared" si="98"/>
        <v/>
      </c>
      <c r="T356" s="185" t="str">
        <f t="shared" si="87"/>
        <v/>
      </c>
      <c r="U356" s="183" t="str">
        <f t="shared" si="99"/>
        <v/>
      </c>
      <c r="V356" s="186" t="str">
        <f t="shared" si="88"/>
        <v/>
      </c>
      <c r="W356" s="186" t="str">
        <f t="shared" si="89"/>
        <v/>
      </c>
      <c r="X356" s="187" t="str">
        <f t="shared" si="90"/>
        <v/>
      </c>
      <c r="Y356" s="182" t="str">
        <f t="shared" si="100"/>
        <v/>
      </c>
      <c r="Z356" s="209" t="str">
        <f t="shared" si="91"/>
        <v/>
      </c>
      <c r="AA356" s="209" t="str">
        <f t="shared" si="92"/>
        <v/>
      </c>
      <c r="AB356" s="200"/>
      <c r="AC356" s="192"/>
    </row>
    <row r="357" spans="1:29" ht="11.4">
      <c r="A357" s="211" t="str">
        <f t="shared" si="93"/>
        <v/>
      </c>
      <c r="B357" s="211"/>
      <c r="C357" s="215"/>
      <c r="D357" s="213" t="str">
        <f t="shared" si="94"/>
        <v/>
      </c>
      <c r="E357" s="213" t="str">
        <f t="shared" si="102"/>
        <v/>
      </c>
      <c r="F357" s="214" t="str">
        <f t="shared" si="95"/>
        <v/>
      </c>
      <c r="G357" s="180"/>
      <c r="H357" s="181" t="str">
        <f t="shared" si="96"/>
        <v/>
      </c>
      <c r="I357" s="227"/>
      <c r="J357" s="227"/>
      <c r="K357" s="227"/>
      <c r="L357" s="227"/>
      <c r="M357" s="210" t="str">
        <f t="shared" si="101"/>
        <v/>
      </c>
      <c r="N357" s="210"/>
      <c r="O357" s="207"/>
      <c r="P357" s="182" t="str">
        <f t="shared" si="86"/>
        <v/>
      </c>
      <c r="Q357" s="183" t="str">
        <f t="shared" si="97"/>
        <v/>
      </c>
      <c r="R357" s="182" t="str">
        <f>IF(M357&lt;&gt;"",IF(#REF!*F357*10=0,"",#REF!*F357*10),"")</f>
        <v/>
      </c>
      <c r="S357" s="184" t="str">
        <f t="shared" si="98"/>
        <v/>
      </c>
      <c r="T357" s="185" t="str">
        <f t="shared" si="87"/>
        <v/>
      </c>
      <c r="U357" s="183" t="str">
        <f t="shared" si="99"/>
        <v/>
      </c>
      <c r="V357" s="186" t="str">
        <f t="shared" si="88"/>
        <v/>
      </c>
      <c r="W357" s="186" t="str">
        <f t="shared" si="89"/>
        <v/>
      </c>
      <c r="X357" s="187" t="str">
        <f t="shared" si="90"/>
        <v/>
      </c>
      <c r="Y357" s="182" t="str">
        <f t="shared" si="100"/>
        <v/>
      </c>
      <c r="Z357" s="209" t="str">
        <f t="shared" si="91"/>
        <v/>
      </c>
      <c r="AA357" s="209" t="str">
        <f t="shared" si="92"/>
        <v/>
      </c>
      <c r="AB357" s="200"/>
      <c r="AC357" s="192"/>
    </row>
    <row r="358" spans="1:29" ht="11.4">
      <c r="A358" s="211" t="str">
        <f t="shared" si="93"/>
        <v/>
      </c>
      <c r="B358" s="211"/>
      <c r="C358" s="215"/>
      <c r="D358" s="213" t="str">
        <f t="shared" si="94"/>
        <v/>
      </c>
      <c r="E358" s="213" t="str">
        <f t="shared" si="102"/>
        <v/>
      </c>
      <c r="F358" s="214" t="str">
        <f t="shared" si="95"/>
        <v/>
      </c>
      <c r="G358" s="180"/>
      <c r="H358" s="181" t="str">
        <f t="shared" si="96"/>
        <v/>
      </c>
      <c r="I358" s="227"/>
      <c r="J358" s="227"/>
      <c r="K358" s="227"/>
      <c r="L358" s="227"/>
      <c r="M358" s="210" t="str">
        <f t="shared" si="101"/>
        <v/>
      </c>
      <c r="N358" s="210"/>
      <c r="O358" s="207"/>
      <c r="P358" s="182" t="str">
        <f t="shared" si="86"/>
        <v/>
      </c>
      <c r="Q358" s="183" t="str">
        <f t="shared" si="97"/>
        <v/>
      </c>
      <c r="R358" s="182" t="str">
        <f>IF(M358&lt;&gt;"",IF(#REF!*F358*10=0,"",#REF!*F358*10),"")</f>
        <v/>
      </c>
      <c r="S358" s="184" t="str">
        <f t="shared" si="98"/>
        <v/>
      </c>
      <c r="T358" s="185" t="str">
        <f t="shared" si="87"/>
        <v/>
      </c>
      <c r="U358" s="183" t="str">
        <f t="shared" si="99"/>
        <v/>
      </c>
      <c r="V358" s="186" t="str">
        <f t="shared" si="88"/>
        <v/>
      </c>
      <c r="W358" s="186" t="str">
        <f t="shared" si="89"/>
        <v/>
      </c>
      <c r="X358" s="187" t="str">
        <f t="shared" si="90"/>
        <v/>
      </c>
      <c r="Y358" s="182" t="str">
        <f t="shared" si="100"/>
        <v/>
      </c>
      <c r="Z358" s="209" t="str">
        <f t="shared" si="91"/>
        <v/>
      </c>
      <c r="AA358" s="209" t="str">
        <f t="shared" si="92"/>
        <v/>
      </c>
      <c r="AB358" s="200"/>
      <c r="AC358" s="192"/>
    </row>
    <row r="359" spans="1:29" ht="11.4">
      <c r="A359" s="211" t="str">
        <f t="shared" si="93"/>
        <v/>
      </c>
      <c r="B359" s="211"/>
      <c r="C359" s="215"/>
      <c r="D359" s="213" t="str">
        <f t="shared" si="94"/>
        <v/>
      </c>
      <c r="E359" s="213" t="str">
        <f t="shared" si="102"/>
        <v/>
      </c>
      <c r="F359" s="214" t="str">
        <f t="shared" si="95"/>
        <v/>
      </c>
      <c r="G359" s="180"/>
      <c r="H359" s="181" t="str">
        <f t="shared" si="96"/>
        <v/>
      </c>
      <c r="I359" s="227"/>
      <c r="J359" s="227"/>
      <c r="K359" s="227"/>
      <c r="L359" s="227"/>
      <c r="M359" s="210" t="str">
        <f t="shared" si="101"/>
        <v/>
      </c>
      <c r="N359" s="210"/>
      <c r="O359" s="207"/>
      <c r="P359" s="182" t="str">
        <f t="shared" si="86"/>
        <v/>
      </c>
      <c r="Q359" s="183" t="str">
        <f t="shared" si="97"/>
        <v/>
      </c>
      <c r="R359" s="182" t="str">
        <f>IF(M359&lt;&gt;"",IF(#REF!*F359*10=0,"",#REF!*F359*10),"")</f>
        <v/>
      </c>
      <c r="S359" s="184" t="str">
        <f t="shared" si="98"/>
        <v/>
      </c>
      <c r="T359" s="185" t="str">
        <f t="shared" si="87"/>
        <v/>
      </c>
      <c r="U359" s="183" t="str">
        <f t="shared" si="99"/>
        <v/>
      </c>
      <c r="V359" s="186" t="str">
        <f t="shared" si="88"/>
        <v/>
      </c>
      <c r="W359" s="186" t="str">
        <f t="shared" si="89"/>
        <v/>
      </c>
      <c r="X359" s="187" t="str">
        <f t="shared" si="90"/>
        <v/>
      </c>
      <c r="Y359" s="182" t="str">
        <f t="shared" si="100"/>
        <v/>
      </c>
      <c r="Z359" s="209" t="str">
        <f t="shared" si="91"/>
        <v/>
      </c>
      <c r="AA359" s="209" t="str">
        <f t="shared" si="92"/>
        <v/>
      </c>
      <c r="AB359" s="200"/>
      <c r="AC359" s="192"/>
    </row>
    <row r="360" spans="1:29" ht="11.4">
      <c r="A360" s="211" t="str">
        <f t="shared" si="93"/>
        <v/>
      </c>
      <c r="B360" s="211"/>
      <c r="C360" s="215"/>
      <c r="D360" s="213" t="str">
        <f t="shared" si="94"/>
        <v/>
      </c>
      <c r="E360" s="213" t="str">
        <f t="shared" si="102"/>
        <v/>
      </c>
      <c r="F360" s="214" t="str">
        <f t="shared" si="95"/>
        <v/>
      </c>
      <c r="G360" s="180"/>
      <c r="H360" s="181" t="str">
        <f t="shared" si="96"/>
        <v/>
      </c>
      <c r="I360" s="227"/>
      <c r="J360" s="227"/>
      <c r="K360" s="227"/>
      <c r="L360" s="227"/>
      <c r="M360" s="210" t="str">
        <f t="shared" si="101"/>
        <v/>
      </c>
      <c r="N360" s="210"/>
      <c r="O360" s="207"/>
      <c r="P360" s="182" t="str">
        <f t="shared" si="86"/>
        <v/>
      </c>
      <c r="Q360" s="183" t="str">
        <f t="shared" si="97"/>
        <v/>
      </c>
      <c r="R360" s="182" t="str">
        <f>IF(M360&lt;&gt;"",IF(#REF!*F360*10=0,"",#REF!*F360*10),"")</f>
        <v/>
      </c>
      <c r="S360" s="184" t="str">
        <f t="shared" si="98"/>
        <v/>
      </c>
      <c r="T360" s="185" t="str">
        <f t="shared" si="87"/>
        <v/>
      </c>
      <c r="U360" s="183" t="str">
        <f t="shared" si="99"/>
        <v/>
      </c>
      <c r="V360" s="186" t="str">
        <f t="shared" si="88"/>
        <v/>
      </c>
      <c r="W360" s="186" t="str">
        <f t="shared" si="89"/>
        <v/>
      </c>
      <c r="X360" s="187" t="str">
        <f t="shared" si="90"/>
        <v/>
      </c>
      <c r="Y360" s="182" t="str">
        <f t="shared" si="100"/>
        <v/>
      </c>
      <c r="Z360" s="209" t="str">
        <f t="shared" si="91"/>
        <v/>
      </c>
      <c r="AA360" s="209" t="str">
        <f t="shared" si="92"/>
        <v/>
      </c>
      <c r="AB360" s="200"/>
      <c r="AC360" s="192"/>
    </row>
    <row r="361" spans="1:29" ht="11.4">
      <c r="A361" s="211" t="str">
        <f t="shared" si="93"/>
        <v/>
      </c>
      <c r="B361" s="211"/>
      <c r="C361" s="215"/>
      <c r="D361" s="213" t="str">
        <f t="shared" si="94"/>
        <v/>
      </c>
      <c r="E361" s="213" t="str">
        <f t="shared" si="102"/>
        <v/>
      </c>
      <c r="F361" s="214" t="str">
        <f t="shared" si="95"/>
        <v/>
      </c>
      <c r="G361" s="180"/>
      <c r="H361" s="181" t="str">
        <f t="shared" si="96"/>
        <v/>
      </c>
      <c r="I361" s="227"/>
      <c r="J361" s="227"/>
      <c r="K361" s="227"/>
      <c r="L361" s="227"/>
      <c r="M361" s="210" t="str">
        <f t="shared" si="101"/>
        <v/>
      </c>
      <c r="N361" s="210"/>
      <c r="O361" s="207"/>
      <c r="P361" s="182" t="str">
        <f t="shared" si="86"/>
        <v/>
      </c>
      <c r="Q361" s="183" t="str">
        <f t="shared" si="97"/>
        <v/>
      </c>
      <c r="R361" s="182" t="str">
        <f>IF(M361&lt;&gt;"",IF(#REF!*F361*10=0,"",#REF!*F361*10),"")</f>
        <v/>
      </c>
      <c r="S361" s="184" t="str">
        <f t="shared" si="98"/>
        <v/>
      </c>
      <c r="T361" s="185" t="str">
        <f t="shared" si="87"/>
        <v/>
      </c>
      <c r="U361" s="183" t="str">
        <f t="shared" si="99"/>
        <v/>
      </c>
      <c r="V361" s="186" t="str">
        <f t="shared" si="88"/>
        <v/>
      </c>
      <c r="W361" s="186" t="str">
        <f t="shared" si="89"/>
        <v/>
      </c>
      <c r="X361" s="187" t="str">
        <f t="shared" si="90"/>
        <v/>
      </c>
      <c r="Y361" s="182" t="str">
        <f t="shared" si="100"/>
        <v/>
      </c>
      <c r="Z361" s="209" t="str">
        <f t="shared" si="91"/>
        <v/>
      </c>
      <c r="AA361" s="209" t="str">
        <f t="shared" si="92"/>
        <v/>
      </c>
      <c r="AB361" s="200"/>
      <c r="AC361" s="192"/>
    </row>
    <row r="362" spans="1:29" ht="11.4">
      <c r="A362" s="211" t="str">
        <f t="shared" si="93"/>
        <v/>
      </c>
      <c r="B362" s="211"/>
      <c r="C362" s="215"/>
      <c r="D362" s="213" t="str">
        <f t="shared" si="94"/>
        <v/>
      </c>
      <c r="E362" s="213" t="str">
        <f t="shared" si="102"/>
        <v/>
      </c>
      <c r="F362" s="214" t="str">
        <f t="shared" si="95"/>
        <v/>
      </c>
      <c r="G362" s="180"/>
      <c r="H362" s="181" t="str">
        <f t="shared" si="96"/>
        <v/>
      </c>
      <c r="I362" s="227"/>
      <c r="J362" s="227"/>
      <c r="K362" s="227"/>
      <c r="L362" s="227"/>
      <c r="M362" s="210" t="str">
        <f t="shared" si="101"/>
        <v/>
      </c>
      <c r="N362" s="210"/>
      <c r="O362" s="207"/>
      <c r="P362" s="182" t="str">
        <f t="shared" si="86"/>
        <v/>
      </c>
      <c r="Q362" s="183" t="str">
        <f t="shared" si="97"/>
        <v/>
      </c>
      <c r="R362" s="182" t="str">
        <f>IF(M362&lt;&gt;"",IF(#REF!*F362*10=0,"",#REF!*F362*10),"")</f>
        <v/>
      </c>
      <c r="S362" s="184" t="str">
        <f t="shared" si="98"/>
        <v/>
      </c>
      <c r="T362" s="185" t="str">
        <f t="shared" si="87"/>
        <v/>
      </c>
      <c r="U362" s="183" t="str">
        <f t="shared" si="99"/>
        <v/>
      </c>
      <c r="V362" s="186" t="str">
        <f t="shared" si="88"/>
        <v/>
      </c>
      <c r="W362" s="186" t="str">
        <f t="shared" si="89"/>
        <v/>
      </c>
      <c r="X362" s="187" t="str">
        <f t="shared" si="90"/>
        <v/>
      </c>
      <c r="Y362" s="182" t="str">
        <f t="shared" si="100"/>
        <v/>
      </c>
      <c r="Z362" s="209" t="str">
        <f t="shared" si="91"/>
        <v/>
      </c>
      <c r="AA362" s="209" t="str">
        <f t="shared" si="92"/>
        <v/>
      </c>
      <c r="AB362" s="200"/>
      <c r="AC362" s="192"/>
    </row>
    <row r="363" spans="1:29" ht="11.4">
      <c r="A363" s="211" t="str">
        <f t="shared" si="93"/>
        <v/>
      </c>
      <c r="B363" s="211"/>
      <c r="C363" s="215"/>
      <c r="D363" s="213" t="str">
        <f t="shared" si="94"/>
        <v/>
      </c>
      <c r="E363" s="213" t="str">
        <f t="shared" si="102"/>
        <v/>
      </c>
      <c r="F363" s="214" t="str">
        <f t="shared" si="95"/>
        <v/>
      </c>
      <c r="G363" s="180"/>
      <c r="H363" s="181" t="str">
        <f t="shared" si="96"/>
        <v/>
      </c>
      <c r="I363" s="227"/>
      <c r="J363" s="227"/>
      <c r="K363" s="227"/>
      <c r="L363" s="227"/>
      <c r="M363" s="210" t="str">
        <f t="shared" si="101"/>
        <v/>
      </c>
      <c r="N363" s="210"/>
      <c r="O363" s="207"/>
      <c r="P363" s="182" t="str">
        <f t="shared" si="86"/>
        <v/>
      </c>
      <c r="Q363" s="183" t="str">
        <f t="shared" si="97"/>
        <v/>
      </c>
      <c r="R363" s="182" t="str">
        <f>IF(M363&lt;&gt;"",IF(#REF!*F363*10=0,"",#REF!*F363*10),"")</f>
        <v/>
      </c>
      <c r="S363" s="184" t="str">
        <f t="shared" si="98"/>
        <v/>
      </c>
      <c r="T363" s="185" t="str">
        <f t="shared" si="87"/>
        <v/>
      </c>
      <c r="U363" s="183" t="str">
        <f t="shared" si="99"/>
        <v/>
      </c>
      <c r="V363" s="186" t="str">
        <f t="shared" si="88"/>
        <v/>
      </c>
      <c r="W363" s="186" t="str">
        <f t="shared" si="89"/>
        <v/>
      </c>
      <c r="X363" s="187" t="str">
        <f t="shared" si="90"/>
        <v/>
      </c>
      <c r="Y363" s="182" t="str">
        <f t="shared" si="100"/>
        <v/>
      </c>
      <c r="Z363" s="209" t="str">
        <f t="shared" si="91"/>
        <v/>
      </c>
      <c r="AA363" s="209" t="str">
        <f t="shared" si="92"/>
        <v/>
      </c>
      <c r="AB363" s="200"/>
      <c r="AC363" s="192"/>
    </row>
    <row r="364" spans="1:29" ht="11.4">
      <c r="A364" s="211" t="str">
        <f t="shared" si="93"/>
        <v/>
      </c>
      <c r="B364" s="211"/>
      <c r="C364" s="215"/>
      <c r="D364" s="213" t="str">
        <f t="shared" si="94"/>
        <v/>
      </c>
      <c r="E364" s="213" t="str">
        <f t="shared" si="102"/>
        <v/>
      </c>
      <c r="F364" s="214" t="str">
        <f t="shared" si="95"/>
        <v/>
      </c>
      <c r="G364" s="180"/>
      <c r="H364" s="181" t="str">
        <f t="shared" si="96"/>
        <v/>
      </c>
      <c r="I364" s="227"/>
      <c r="J364" s="227"/>
      <c r="K364" s="227"/>
      <c r="L364" s="227"/>
      <c r="M364" s="210" t="str">
        <f t="shared" si="101"/>
        <v/>
      </c>
      <c r="N364" s="210"/>
      <c r="O364" s="207"/>
      <c r="P364" s="182" t="str">
        <f t="shared" si="86"/>
        <v/>
      </c>
      <c r="Q364" s="183" t="str">
        <f t="shared" si="97"/>
        <v/>
      </c>
      <c r="R364" s="182" t="str">
        <f>IF(M364&lt;&gt;"",IF(#REF!*F364*10=0,"",#REF!*F364*10),"")</f>
        <v/>
      </c>
      <c r="S364" s="184" t="str">
        <f t="shared" si="98"/>
        <v/>
      </c>
      <c r="T364" s="185" t="str">
        <f t="shared" si="87"/>
        <v/>
      </c>
      <c r="U364" s="183" t="str">
        <f t="shared" si="99"/>
        <v/>
      </c>
      <c r="V364" s="186" t="str">
        <f t="shared" si="88"/>
        <v/>
      </c>
      <c r="W364" s="186" t="str">
        <f t="shared" si="89"/>
        <v/>
      </c>
      <c r="X364" s="187" t="str">
        <f t="shared" si="90"/>
        <v/>
      </c>
      <c r="Y364" s="182" t="str">
        <f t="shared" si="100"/>
        <v/>
      </c>
      <c r="Z364" s="209" t="str">
        <f t="shared" si="91"/>
        <v/>
      </c>
      <c r="AA364" s="209" t="str">
        <f t="shared" si="92"/>
        <v/>
      </c>
      <c r="AB364" s="200"/>
      <c r="AC364" s="192"/>
    </row>
    <row r="365" spans="1:29" ht="11.4">
      <c r="A365" s="211" t="str">
        <f t="shared" si="93"/>
        <v/>
      </c>
      <c r="B365" s="211"/>
      <c r="C365" s="215"/>
      <c r="D365" s="213" t="str">
        <f t="shared" si="94"/>
        <v/>
      </c>
      <c r="E365" s="213" t="str">
        <f t="shared" si="102"/>
        <v/>
      </c>
      <c r="F365" s="214" t="str">
        <f t="shared" si="95"/>
        <v/>
      </c>
      <c r="G365" s="180"/>
      <c r="H365" s="181" t="str">
        <f t="shared" si="96"/>
        <v/>
      </c>
      <c r="I365" s="227"/>
      <c r="J365" s="227"/>
      <c r="K365" s="227"/>
      <c r="L365" s="227"/>
      <c r="M365" s="210" t="str">
        <f t="shared" si="101"/>
        <v/>
      </c>
      <c r="N365" s="210"/>
      <c r="O365" s="207"/>
      <c r="P365" s="182" t="str">
        <f t="shared" si="86"/>
        <v/>
      </c>
      <c r="Q365" s="183" t="str">
        <f t="shared" si="97"/>
        <v/>
      </c>
      <c r="R365" s="182" t="str">
        <f>IF(M365&lt;&gt;"",IF(#REF!*F365*10=0,"",#REF!*F365*10),"")</f>
        <v/>
      </c>
      <c r="S365" s="184" t="str">
        <f t="shared" si="98"/>
        <v/>
      </c>
      <c r="T365" s="185" t="str">
        <f t="shared" si="87"/>
        <v/>
      </c>
      <c r="U365" s="183" t="str">
        <f t="shared" si="99"/>
        <v/>
      </c>
      <c r="V365" s="186" t="str">
        <f t="shared" si="88"/>
        <v/>
      </c>
      <c r="W365" s="186" t="str">
        <f t="shared" si="89"/>
        <v/>
      </c>
      <c r="X365" s="187" t="str">
        <f t="shared" si="90"/>
        <v/>
      </c>
      <c r="Y365" s="182" t="str">
        <f t="shared" si="100"/>
        <v/>
      </c>
      <c r="Z365" s="209" t="str">
        <f t="shared" si="91"/>
        <v/>
      </c>
      <c r="AA365" s="209" t="str">
        <f t="shared" si="92"/>
        <v/>
      </c>
      <c r="AB365" s="200"/>
      <c r="AC365" s="192"/>
    </row>
    <row r="366" spans="1:29" ht="11.4">
      <c r="A366" s="211" t="str">
        <f t="shared" si="93"/>
        <v/>
      </c>
      <c r="B366" s="211"/>
      <c r="C366" s="215"/>
      <c r="D366" s="213" t="str">
        <f t="shared" si="94"/>
        <v/>
      </c>
      <c r="E366" s="213" t="str">
        <f t="shared" si="102"/>
        <v/>
      </c>
      <c r="F366" s="214" t="str">
        <f t="shared" si="95"/>
        <v/>
      </c>
      <c r="G366" s="180"/>
      <c r="H366" s="181" t="str">
        <f t="shared" si="96"/>
        <v/>
      </c>
      <c r="I366" s="227"/>
      <c r="J366" s="227"/>
      <c r="K366" s="227"/>
      <c r="L366" s="227"/>
      <c r="M366" s="210" t="str">
        <f t="shared" si="101"/>
        <v/>
      </c>
      <c r="N366" s="210"/>
      <c r="O366" s="207"/>
      <c r="P366" s="182" t="str">
        <f t="shared" si="86"/>
        <v/>
      </c>
      <c r="Q366" s="183" t="str">
        <f t="shared" si="97"/>
        <v/>
      </c>
      <c r="R366" s="182" t="str">
        <f>IF(M366&lt;&gt;"",IF(#REF!*F366*10=0,"",#REF!*F366*10),"")</f>
        <v/>
      </c>
      <c r="S366" s="184" t="str">
        <f t="shared" si="98"/>
        <v/>
      </c>
      <c r="T366" s="185" t="str">
        <f t="shared" si="87"/>
        <v/>
      </c>
      <c r="U366" s="183" t="str">
        <f t="shared" si="99"/>
        <v/>
      </c>
      <c r="V366" s="186" t="str">
        <f t="shared" si="88"/>
        <v/>
      </c>
      <c r="W366" s="186" t="str">
        <f t="shared" si="89"/>
        <v/>
      </c>
      <c r="X366" s="187" t="str">
        <f t="shared" si="90"/>
        <v/>
      </c>
      <c r="Y366" s="182" t="str">
        <f t="shared" si="100"/>
        <v/>
      </c>
      <c r="Z366" s="209" t="str">
        <f t="shared" si="91"/>
        <v/>
      </c>
      <c r="AA366" s="209" t="str">
        <f t="shared" si="92"/>
        <v/>
      </c>
      <c r="AB366" s="200"/>
      <c r="AC366" s="192"/>
    </row>
    <row r="367" spans="1:29" ht="11.4">
      <c r="A367" s="211" t="str">
        <f t="shared" si="93"/>
        <v/>
      </c>
      <c r="B367" s="211"/>
      <c r="C367" s="215"/>
      <c r="D367" s="213" t="str">
        <f t="shared" si="94"/>
        <v/>
      </c>
      <c r="E367" s="213" t="str">
        <f t="shared" si="102"/>
        <v/>
      </c>
      <c r="F367" s="214" t="str">
        <f t="shared" si="95"/>
        <v/>
      </c>
      <c r="G367" s="180"/>
      <c r="H367" s="181" t="str">
        <f t="shared" si="96"/>
        <v/>
      </c>
      <c r="I367" s="227"/>
      <c r="J367" s="227"/>
      <c r="K367" s="227"/>
      <c r="L367" s="227"/>
      <c r="M367" s="210" t="str">
        <f t="shared" si="101"/>
        <v/>
      </c>
      <c r="N367" s="210"/>
      <c r="O367" s="207"/>
      <c r="P367" s="182" t="str">
        <f t="shared" si="86"/>
        <v/>
      </c>
      <c r="Q367" s="183" t="str">
        <f t="shared" si="97"/>
        <v/>
      </c>
      <c r="R367" s="182" t="str">
        <f>IF(M367&lt;&gt;"",IF(#REF!*F367*10=0,"",#REF!*F367*10),"")</f>
        <v/>
      </c>
      <c r="S367" s="184" t="str">
        <f t="shared" si="98"/>
        <v/>
      </c>
      <c r="T367" s="185" t="str">
        <f t="shared" si="87"/>
        <v/>
      </c>
      <c r="U367" s="183" t="str">
        <f t="shared" si="99"/>
        <v/>
      </c>
      <c r="V367" s="186" t="str">
        <f t="shared" si="88"/>
        <v/>
      </c>
      <c r="W367" s="186" t="str">
        <f t="shared" si="89"/>
        <v/>
      </c>
      <c r="X367" s="187" t="str">
        <f t="shared" si="90"/>
        <v/>
      </c>
      <c r="Y367" s="182" t="str">
        <f t="shared" si="100"/>
        <v/>
      </c>
      <c r="Z367" s="209" t="str">
        <f t="shared" si="91"/>
        <v/>
      </c>
      <c r="AA367" s="209" t="str">
        <f t="shared" si="92"/>
        <v/>
      </c>
      <c r="AB367" s="200"/>
      <c r="AC367" s="192"/>
    </row>
    <row r="368" spans="1:29" ht="11.4">
      <c r="A368" s="211" t="str">
        <f t="shared" si="93"/>
        <v/>
      </c>
      <c r="B368" s="211"/>
      <c r="C368" s="215"/>
      <c r="D368" s="213" t="str">
        <f t="shared" si="94"/>
        <v/>
      </c>
      <c r="E368" s="213" t="str">
        <f t="shared" si="102"/>
        <v/>
      </c>
      <c r="F368" s="214" t="str">
        <f t="shared" si="95"/>
        <v/>
      </c>
      <c r="G368" s="180"/>
      <c r="H368" s="181" t="str">
        <f t="shared" si="96"/>
        <v/>
      </c>
      <c r="I368" s="227"/>
      <c r="J368" s="227"/>
      <c r="K368" s="227"/>
      <c r="L368" s="227"/>
      <c r="M368" s="210" t="str">
        <f t="shared" si="101"/>
        <v/>
      </c>
      <c r="N368" s="210"/>
      <c r="O368" s="207"/>
      <c r="P368" s="182" t="str">
        <f t="shared" si="86"/>
        <v/>
      </c>
      <c r="Q368" s="183" t="str">
        <f t="shared" si="97"/>
        <v/>
      </c>
      <c r="R368" s="182" t="str">
        <f>IF(M368&lt;&gt;"",IF(#REF!*F368*10=0,"",#REF!*F368*10),"")</f>
        <v/>
      </c>
      <c r="S368" s="184" t="str">
        <f t="shared" si="98"/>
        <v/>
      </c>
      <c r="T368" s="185" t="str">
        <f t="shared" si="87"/>
        <v/>
      </c>
      <c r="U368" s="183" t="str">
        <f t="shared" si="99"/>
        <v/>
      </c>
      <c r="V368" s="186" t="str">
        <f t="shared" si="88"/>
        <v/>
      </c>
      <c r="W368" s="186" t="str">
        <f t="shared" si="89"/>
        <v/>
      </c>
      <c r="X368" s="187" t="str">
        <f t="shared" si="90"/>
        <v/>
      </c>
      <c r="Y368" s="182" t="str">
        <f t="shared" si="100"/>
        <v/>
      </c>
      <c r="Z368" s="209" t="str">
        <f t="shared" si="91"/>
        <v/>
      </c>
      <c r="AA368" s="209" t="str">
        <f t="shared" si="92"/>
        <v/>
      </c>
      <c r="AB368" s="200"/>
      <c r="AC368" s="192"/>
    </row>
    <row r="369" spans="1:29" ht="11.4">
      <c r="A369" s="211" t="str">
        <f t="shared" si="93"/>
        <v/>
      </c>
      <c r="B369" s="211"/>
      <c r="C369" s="215"/>
      <c r="D369" s="213" t="str">
        <f t="shared" si="94"/>
        <v/>
      </c>
      <c r="E369" s="213" t="str">
        <f t="shared" si="102"/>
        <v/>
      </c>
      <c r="F369" s="214" t="str">
        <f t="shared" si="95"/>
        <v/>
      </c>
      <c r="G369" s="180"/>
      <c r="H369" s="181" t="str">
        <f t="shared" si="96"/>
        <v/>
      </c>
      <c r="I369" s="227"/>
      <c r="J369" s="227"/>
      <c r="K369" s="227"/>
      <c r="L369" s="227"/>
      <c r="M369" s="210" t="str">
        <f t="shared" si="101"/>
        <v/>
      </c>
      <c r="N369" s="210"/>
      <c r="O369" s="207"/>
      <c r="P369" s="182" t="str">
        <f t="shared" si="86"/>
        <v/>
      </c>
      <c r="Q369" s="183" t="str">
        <f t="shared" si="97"/>
        <v/>
      </c>
      <c r="R369" s="182" t="str">
        <f>IF(M369&lt;&gt;"",IF(#REF!*F369*10=0,"",#REF!*F369*10),"")</f>
        <v/>
      </c>
      <c r="S369" s="184" t="str">
        <f t="shared" si="98"/>
        <v/>
      </c>
      <c r="T369" s="185" t="str">
        <f t="shared" si="87"/>
        <v/>
      </c>
      <c r="U369" s="183" t="str">
        <f t="shared" si="99"/>
        <v/>
      </c>
      <c r="V369" s="186" t="str">
        <f t="shared" si="88"/>
        <v/>
      </c>
      <c r="W369" s="186" t="str">
        <f t="shared" si="89"/>
        <v/>
      </c>
      <c r="X369" s="187" t="str">
        <f t="shared" si="90"/>
        <v/>
      </c>
      <c r="Y369" s="182" t="str">
        <f t="shared" si="100"/>
        <v/>
      </c>
      <c r="Z369" s="209" t="str">
        <f t="shared" si="91"/>
        <v/>
      </c>
      <c r="AA369" s="209" t="str">
        <f t="shared" si="92"/>
        <v/>
      </c>
      <c r="AB369" s="200"/>
      <c r="AC369" s="192"/>
    </row>
    <row r="370" spans="1:29" ht="11.4">
      <c r="A370" s="211" t="str">
        <f t="shared" si="93"/>
        <v/>
      </c>
      <c r="B370" s="211"/>
      <c r="C370" s="215"/>
      <c r="D370" s="213" t="str">
        <f t="shared" si="94"/>
        <v/>
      </c>
      <c r="E370" s="213" t="str">
        <f t="shared" si="102"/>
        <v/>
      </c>
      <c r="F370" s="214" t="str">
        <f t="shared" si="95"/>
        <v/>
      </c>
      <c r="G370" s="180"/>
      <c r="H370" s="181" t="str">
        <f t="shared" si="96"/>
        <v/>
      </c>
      <c r="I370" s="227"/>
      <c r="J370" s="227"/>
      <c r="K370" s="227"/>
      <c r="L370" s="227"/>
      <c r="M370" s="210" t="str">
        <f t="shared" si="101"/>
        <v/>
      </c>
      <c r="N370" s="210"/>
      <c r="O370" s="207"/>
      <c r="P370" s="182" t="str">
        <f t="shared" si="86"/>
        <v/>
      </c>
      <c r="Q370" s="183" t="str">
        <f t="shared" si="97"/>
        <v/>
      </c>
      <c r="R370" s="182" t="str">
        <f>IF(M370&lt;&gt;"",IF(#REF!*F370*10=0,"",#REF!*F370*10),"")</f>
        <v/>
      </c>
      <c r="S370" s="184" t="str">
        <f t="shared" si="98"/>
        <v/>
      </c>
      <c r="T370" s="185" t="str">
        <f t="shared" si="87"/>
        <v/>
      </c>
      <c r="U370" s="183" t="str">
        <f t="shared" si="99"/>
        <v/>
      </c>
      <c r="V370" s="186" t="str">
        <f t="shared" si="88"/>
        <v/>
      </c>
      <c r="W370" s="186" t="str">
        <f t="shared" si="89"/>
        <v/>
      </c>
      <c r="X370" s="187" t="str">
        <f t="shared" si="90"/>
        <v/>
      </c>
      <c r="Y370" s="182" t="str">
        <f t="shared" si="100"/>
        <v/>
      </c>
      <c r="Z370" s="209" t="str">
        <f t="shared" si="91"/>
        <v/>
      </c>
      <c r="AA370" s="209" t="str">
        <f t="shared" si="92"/>
        <v/>
      </c>
      <c r="AB370" s="200"/>
      <c r="AC370" s="192"/>
    </row>
    <row r="371" spans="1:29" ht="11.4">
      <c r="A371" s="211" t="str">
        <f t="shared" si="93"/>
        <v/>
      </c>
      <c r="B371" s="211"/>
      <c r="C371" s="215"/>
      <c r="D371" s="213" t="str">
        <f t="shared" si="94"/>
        <v/>
      </c>
      <c r="E371" s="213" t="str">
        <f t="shared" si="102"/>
        <v/>
      </c>
      <c r="F371" s="214" t="str">
        <f t="shared" si="95"/>
        <v/>
      </c>
      <c r="G371" s="180"/>
      <c r="H371" s="181" t="str">
        <f t="shared" si="96"/>
        <v/>
      </c>
      <c r="I371" s="227"/>
      <c r="J371" s="227"/>
      <c r="K371" s="227"/>
      <c r="L371" s="227"/>
      <c r="M371" s="210" t="str">
        <f t="shared" si="101"/>
        <v/>
      </c>
      <c r="N371" s="210"/>
      <c r="O371" s="207"/>
      <c r="P371" s="182" t="str">
        <f t="shared" si="86"/>
        <v/>
      </c>
      <c r="Q371" s="183" t="str">
        <f t="shared" si="97"/>
        <v/>
      </c>
      <c r="R371" s="182" t="str">
        <f>IF(M371&lt;&gt;"",IF(#REF!*F371*10=0,"",#REF!*F371*10),"")</f>
        <v/>
      </c>
      <c r="S371" s="184" t="str">
        <f t="shared" si="98"/>
        <v/>
      </c>
      <c r="T371" s="185" t="str">
        <f t="shared" si="87"/>
        <v/>
      </c>
      <c r="U371" s="183" t="str">
        <f t="shared" si="99"/>
        <v/>
      </c>
      <c r="V371" s="186" t="str">
        <f t="shared" si="88"/>
        <v/>
      </c>
      <c r="W371" s="186" t="str">
        <f t="shared" si="89"/>
        <v/>
      </c>
      <c r="X371" s="187" t="str">
        <f t="shared" si="90"/>
        <v/>
      </c>
      <c r="Y371" s="182" t="str">
        <f t="shared" si="100"/>
        <v/>
      </c>
      <c r="Z371" s="209" t="str">
        <f t="shared" si="91"/>
        <v/>
      </c>
      <c r="AA371" s="209" t="str">
        <f t="shared" si="92"/>
        <v/>
      </c>
      <c r="AB371" s="200"/>
      <c r="AC371" s="192"/>
    </row>
    <row r="372" spans="1:29" ht="11.4">
      <c r="A372" s="211" t="str">
        <f t="shared" si="93"/>
        <v/>
      </c>
      <c r="B372" s="211"/>
      <c r="C372" s="215"/>
      <c r="D372" s="213" t="str">
        <f t="shared" si="94"/>
        <v/>
      </c>
      <c r="E372" s="213" t="str">
        <f t="shared" si="102"/>
        <v/>
      </c>
      <c r="F372" s="214" t="str">
        <f t="shared" si="95"/>
        <v/>
      </c>
      <c r="G372" s="180"/>
      <c r="H372" s="181" t="str">
        <f t="shared" si="96"/>
        <v/>
      </c>
      <c r="I372" s="227"/>
      <c r="J372" s="227"/>
      <c r="K372" s="227"/>
      <c r="L372" s="227"/>
      <c r="M372" s="210" t="str">
        <f t="shared" si="101"/>
        <v/>
      </c>
      <c r="N372" s="210"/>
      <c r="O372" s="207"/>
      <c r="P372" s="182" t="str">
        <f t="shared" si="86"/>
        <v/>
      </c>
      <c r="Q372" s="183" t="str">
        <f t="shared" si="97"/>
        <v/>
      </c>
      <c r="R372" s="182" t="str">
        <f>IF(M372&lt;&gt;"",IF(#REF!*F372*10=0,"",#REF!*F372*10),"")</f>
        <v/>
      </c>
      <c r="S372" s="184" t="str">
        <f t="shared" si="98"/>
        <v/>
      </c>
      <c r="T372" s="185" t="str">
        <f t="shared" si="87"/>
        <v/>
      </c>
      <c r="U372" s="183" t="str">
        <f t="shared" si="99"/>
        <v/>
      </c>
      <c r="V372" s="186" t="str">
        <f t="shared" si="88"/>
        <v/>
      </c>
      <c r="W372" s="186" t="str">
        <f t="shared" si="89"/>
        <v/>
      </c>
      <c r="X372" s="187" t="str">
        <f t="shared" si="90"/>
        <v/>
      </c>
      <c r="Y372" s="182" t="str">
        <f t="shared" si="100"/>
        <v/>
      </c>
      <c r="Z372" s="209" t="str">
        <f t="shared" si="91"/>
        <v/>
      </c>
      <c r="AA372" s="209" t="str">
        <f t="shared" si="92"/>
        <v/>
      </c>
      <c r="AB372" s="200"/>
      <c r="AC372" s="192"/>
    </row>
    <row r="373" spans="1:29" ht="11.4">
      <c r="A373" s="211" t="str">
        <f t="shared" si="93"/>
        <v/>
      </c>
      <c r="B373" s="211"/>
      <c r="C373" s="215"/>
      <c r="D373" s="213" t="str">
        <f t="shared" si="94"/>
        <v/>
      </c>
      <c r="E373" s="213" t="str">
        <f t="shared" si="102"/>
        <v/>
      </c>
      <c r="F373" s="214" t="str">
        <f t="shared" si="95"/>
        <v/>
      </c>
      <c r="G373" s="180"/>
      <c r="H373" s="181" t="str">
        <f t="shared" si="96"/>
        <v/>
      </c>
      <c r="I373" s="227"/>
      <c r="J373" s="227"/>
      <c r="K373" s="227"/>
      <c r="L373" s="227"/>
      <c r="M373" s="210" t="str">
        <f t="shared" si="101"/>
        <v/>
      </c>
      <c r="N373" s="210"/>
      <c r="O373" s="207"/>
      <c r="P373" s="182" t="str">
        <f t="shared" si="86"/>
        <v/>
      </c>
      <c r="Q373" s="183" t="str">
        <f t="shared" si="97"/>
        <v/>
      </c>
      <c r="R373" s="182" t="str">
        <f>IF(M373&lt;&gt;"",IF(#REF!*F373*10=0,"",#REF!*F373*10),"")</f>
        <v/>
      </c>
      <c r="S373" s="184" t="str">
        <f t="shared" si="98"/>
        <v/>
      </c>
      <c r="T373" s="185" t="str">
        <f t="shared" si="87"/>
        <v/>
      </c>
      <c r="U373" s="183" t="str">
        <f t="shared" si="99"/>
        <v/>
      </c>
      <c r="V373" s="186" t="str">
        <f t="shared" si="88"/>
        <v/>
      </c>
      <c r="W373" s="186" t="str">
        <f t="shared" si="89"/>
        <v/>
      </c>
      <c r="X373" s="187" t="str">
        <f t="shared" si="90"/>
        <v/>
      </c>
      <c r="Y373" s="182" t="str">
        <f t="shared" si="100"/>
        <v/>
      </c>
      <c r="Z373" s="209" t="str">
        <f t="shared" si="91"/>
        <v/>
      </c>
      <c r="AA373" s="209" t="str">
        <f t="shared" si="92"/>
        <v/>
      </c>
      <c r="AB373" s="200"/>
      <c r="AC373" s="192"/>
    </row>
    <row r="374" spans="1:29" ht="11.4">
      <c r="A374" s="211" t="str">
        <f t="shared" si="93"/>
        <v/>
      </c>
      <c r="B374" s="211"/>
      <c r="C374" s="215"/>
      <c r="D374" s="213" t="str">
        <f t="shared" si="94"/>
        <v/>
      </c>
      <c r="E374" s="213" t="str">
        <f t="shared" si="102"/>
        <v/>
      </c>
      <c r="F374" s="214" t="str">
        <f t="shared" si="95"/>
        <v/>
      </c>
      <c r="G374" s="180"/>
      <c r="H374" s="181" t="str">
        <f t="shared" si="96"/>
        <v/>
      </c>
      <c r="I374" s="227"/>
      <c r="J374" s="227"/>
      <c r="K374" s="227"/>
      <c r="L374" s="227"/>
      <c r="M374" s="210" t="str">
        <f t="shared" si="101"/>
        <v/>
      </c>
      <c r="N374" s="210"/>
      <c r="O374" s="207"/>
      <c r="P374" s="182" t="str">
        <f t="shared" si="86"/>
        <v/>
      </c>
      <c r="Q374" s="183" t="str">
        <f t="shared" si="97"/>
        <v/>
      </c>
      <c r="R374" s="182" t="str">
        <f>IF(M374&lt;&gt;"",IF(#REF!*F374*10=0,"",#REF!*F374*10),"")</f>
        <v/>
      </c>
      <c r="S374" s="184" t="str">
        <f t="shared" si="98"/>
        <v/>
      </c>
      <c r="T374" s="185" t="str">
        <f t="shared" si="87"/>
        <v/>
      </c>
      <c r="U374" s="183" t="str">
        <f t="shared" si="99"/>
        <v/>
      </c>
      <c r="V374" s="186" t="str">
        <f t="shared" si="88"/>
        <v/>
      </c>
      <c r="W374" s="186" t="str">
        <f t="shared" si="89"/>
        <v/>
      </c>
      <c r="X374" s="187" t="str">
        <f t="shared" si="90"/>
        <v/>
      </c>
      <c r="Y374" s="182" t="str">
        <f t="shared" si="100"/>
        <v/>
      </c>
      <c r="Z374" s="209" t="str">
        <f t="shared" si="91"/>
        <v/>
      </c>
      <c r="AA374" s="209" t="str">
        <f t="shared" si="92"/>
        <v/>
      </c>
      <c r="AB374" s="200"/>
      <c r="AC374" s="192"/>
    </row>
    <row r="375" spans="1:29" ht="11.4">
      <c r="A375" s="211" t="str">
        <f t="shared" si="93"/>
        <v/>
      </c>
      <c r="B375" s="211"/>
      <c r="C375" s="215"/>
      <c r="D375" s="213" t="str">
        <f t="shared" si="94"/>
        <v/>
      </c>
      <c r="E375" s="213" t="str">
        <f t="shared" si="102"/>
        <v/>
      </c>
      <c r="F375" s="214" t="str">
        <f t="shared" si="95"/>
        <v/>
      </c>
      <c r="G375" s="180"/>
      <c r="H375" s="181" t="str">
        <f t="shared" si="96"/>
        <v/>
      </c>
      <c r="I375" s="227"/>
      <c r="J375" s="227"/>
      <c r="K375" s="227"/>
      <c r="L375" s="227"/>
      <c r="M375" s="210" t="str">
        <f t="shared" si="101"/>
        <v/>
      </c>
      <c r="N375" s="210"/>
      <c r="O375" s="207"/>
      <c r="P375" s="182" t="str">
        <f t="shared" si="86"/>
        <v/>
      </c>
      <c r="Q375" s="183" t="str">
        <f t="shared" si="97"/>
        <v/>
      </c>
      <c r="R375" s="182" t="str">
        <f>IF(M375&lt;&gt;"",IF(#REF!*F375*10=0,"",#REF!*F375*10),"")</f>
        <v/>
      </c>
      <c r="S375" s="184" t="str">
        <f t="shared" si="98"/>
        <v/>
      </c>
      <c r="T375" s="185" t="str">
        <f t="shared" si="87"/>
        <v/>
      </c>
      <c r="U375" s="183" t="str">
        <f t="shared" si="99"/>
        <v/>
      </c>
      <c r="V375" s="186" t="str">
        <f t="shared" si="88"/>
        <v/>
      </c>
      <c r="W375" s="186" t="str">
        <f t="shared" si="89"/>
        <v/>
      </c>
      <c r="X375" s="187" t="str">
        <f t="shared" si="90"/>
        <v/>
      </c>
      <c r="Y375" s="182" t="str">
        <f t="shared" si="100"/>
        <v/>
      </c>
      <c r="Z375" s="209" t="str">
        <f t="shared" si="91"/>
        <v/>
      </c>
      <c r="AA375" s="209" t="str">
        <f t="shared" si="92"/>
        <v/>
      </c>
      <c r="AB375" s="200"/>
      <c r="AC375" s="192"/>
    </row>
    <row r="376" spans="1:29" ht="11.4">
      <c r="A376" s="211" t="str">
        <f t="shared" si="93"/>
        <v/>
      </c>
      <c r="B376" s="211"/>
      <c r="C376" s="215"/>
      <c r="D376" s="213" t="str">
        <f t="shared" si="94"/>
        <v/>
      </c>
      <c r="E376" s="213" t="str">
        <f t="shared" si="102"/>
        <v/>
      </c>
      <c r="F376" s="214" t="str">
        <f t="shared" si="95"/>
        <v/>
      </c>
      <c r="G376" s="180"/>
      <c r="H376" s="181" t="str">
        <f t="shared" si="96"/>
        <v/>
      </c>
      <c r="I376" s="227"/>
      <c r="J376" s="227"/>
      <c r="K376" s="227"/>
      <c r="L376" s="227"/>
      <c r="M376" s="210" t="str">
        <f t="shared" si="101"/>
        <v/>
      </c>
      <c r="N376" s="210"/>
      <c r="O376" s="207"/>
      <c r="P376" s="182" t="str">
        <f t="shared" si="86"/>
        <v/>
      </c>
      <c r="Q376" s="183" t="str">
        <f t="shared" si="97"/>
        <v/>
      </c>
      <c r="R376" s="182" t="str">
        <f>IF(M376&lt;&gt;"",IF(#REF!*F376*10=0,"",#REF!*F376*10),"")</f>
        <v/>
      </c>
      <c r="S376" s="184" t="str">
        <f t="shared" si="98"/>
        <v/>
      </c>
      <c r="T376" s="185" t="str">
        <f t="shared" si="87"/>
        <v/>
      </c>
      <c r="U376" s="183" t="str">
        <f t="shared" si="99"/>
        <v/>
      </c>
      <c r="V376" s="186" t="str">
        <f t="shared" si="88"/>
        <v/>
      </c>
      <c r="W376" s="186" t="str">
        <f t="shared" si="89"/>
        <v/>
      </c>
      <c r="X376" s="187" t="str">
        <f t="shared" si="90"/>
        <v/>
      </c>
      <c r="Y376" s="182" t="str">
        <f t="shared" si="100"/>
        <v/>
      </c>
      <c r="Z376" s="209" t="str">
        <f t="shared" si="91"/>
        <v/>
      </c>
      <c r="AA376" s="209" t="str">
        <f t="shared" si="92"/>
        <v/>
      </c>
      <c r="AB376" s="200"/>
      <c r="AC376" s="192"/>
    </row>
    <row r="377" spans="1:29" ht="11.4">
      <c r="A377" s="211" t="str">
        <f t="shared" si="93"/>
        <v/>
      </c>
      <c r="B377" s="211"/>
      <c r="C377" s="215"/>
      <c r="D377" s="213" t="str">
        <f t="shared" si="94"/>
        <v/>
      </c>
      <c r="E377" s="213" t="str">
        <f t="shared" si="102"/>
        <v/>
      </c>
      <c r="F377" s="214" t="str">
        <f t="shared" si="95"/>
        <v/>
      </c>
      <c r="G377" s="180"/>
      <c r="H377" s="181" t="str">
        <f t="shared" si="96"/>
        <v/>
      </c>
      <c r="I377" s="227"/>
      <c r="J377" s="227"/>
      <c r="K377" s="227"/>
      <c r="L377" s="227"/>
      <c r="M377" s="210" t="str">
        <f t="shared" si="101"/>
        <v/>
      </c>
      <c r="N377" s="210"/>
      <c r="O377" s="207"/>
      <c r="P377" s="182" t="str">
        <f t="shared" si="86"/>
        <v/>
      </c>
      <c r="Q377" s="183" t="str">
        <f t="shared" si="97"/>
        <v/>
      </c>
      <c r="R377" s="182" t="str">
        <f>IF(M377&lt;&gt;"",IF(#REF!*F377*10=0,"",#REF!*F377*10),"")</f>
        <v/>
      </c>
      <c r="S377" s="184" t="str">
        <f t="shared" si="98"/>
        <v/>
      </c>
      <c r="T377" s="185" t="str">
        <f t="shared" si="87"/>
        <v/>
      </c>
      <c r="U377" s="183" t="str">
        <f t="shared" si="99"/>
        <v/>
      </c>
      <c r="V377" s="186" t="str">
        <f t="shared" si="88"/>
        <v/>
      </c>
      <c r="W377" s="186" t="str">
        <f t="shared" si="89"/>
        <v/>
      </c>
      <c r="X377" s="187" t="str">
        <f t="shared" si="90"/>
        <v/>
      </c>
      <c r="Y377" s="182" t="str">
        <f t="shared" si="100"/>
        <v/>
      </c>
      <c r="Z377" s="209" t="str">
        <f t="shared" si="91"/>
        <v/>
      </c>
      <c r="AA377" s="209" t="str">
        <f t="shared" si="92"/>
        <v/>
      </c>
      <c r="AB377" s="200"/>
      <c r="AC377" s="192"/>
    </row>
    <row r="378" spans="1:29" ht="11.4">
      <c r="A378" s="211" t="str">
        <f t="shared" si="93"/>
        <v/>
      </c>
      <c r="B378" s="211"/>
      <c r="C378" s="215"/>
      <c r="D378" s="213" t="str">
        <f t="shared" si="94"/>
        <v/>
      </c>
      <c r="E378" s="213" t="str">
        <f t="shared" si="102"/>
        <v/>
      </c>
      <c r="F378" s="214" t="str">
        <f t="shared" si="95"/>
        <v/>
      </c>
      <c r="G378" s="180"/>
      <c r="H378" s="181" t="str">
        <f t="shared" si="96"/>
        <v/>
      </c>
      <c r="I378" s="227"/>
      <c r="J378" s="227"/>
      <c r="K378" s="227"/>
      <c r="L378" s="227"/>
      <c r="M378" s="210" t="str">
        <f t="shared" si="101"/>
        <v/>
      </c>
      <c r="N378" s="210"/>
      <c r="O378" s="207"/>
      <c r="P378" s="182" t="str">
        <f t="shared" si="86"/>
        <v/>
      </c>
      <c r="Q378" s="183" t="str">
        <f t="shared" si="97"/>
        <v/>
      </c>
      <c r="R378" s="182" t="str">
        <f>IF(M378&lt;&gt;"",IF(#REF!*F378*10=0,"",#REF!*F378*10),"")</f>
        <v/>
      </c>
      <c r="S378" s="184" t="str">
        <f t="shared" si="98"/>
        <v/>
      </c>
      <c r="T378" s="185" t="str">
        <f t="shared" si="87"/>
        <v/>
      </c>
      <c r="U378" s="183" t="str">
        <f t="shared" si="99"/>
        <v/>
      </c>
      <c r="V378" s="186" t="str">
        <f t="shared" si="88"/>
        <v/>
      </c>
      <c r="W378" s="186" t="str">
        <f t="shared" si="89"/>
        <v/>
      </c>
      <c r="X378" s="187" t="str">
        <f t="shared" si="90"/>
        <v/>
      </c>
      <c r="Y378" s="182" t="str">
        <f t="shared" si="100"/>
        <v/>
      </c>
      <c r="Z378" s="209" t="str">
        <f t="shared" si="91"/>
        <v/>
      </c>
      <c r="AA378" s="209" t="str">
        <f t="shared" si="92"/>
        <v/>
      </c>
      <c r="AB378" s="200"/>
      <c r="AC378" s="192"/>
    </row>
    <row r="379" spans="1:29" ht="11.4">
      <c r="A379" s="211" t="str">
        <f t="shared" si="93"/>
        <v/>
      </c>
      <c r="B379" s="211"/>
      <c r="C379" s="215"/>
      <c r="D379" s="213" t="str">
        <f t="shared" si="94"/>
        <v/>
      </c>
      <c r="E379" s="213" t="str">
        <f t="shared" si="102"/>
        <v/>
      </c>
      <c r="F379" s="214" t="str">
        <f t="shared" si="95"/>
        <v/>
      </c>
      <c r="G379" s="180"/>
      <c r="H379" s="181" t="str">
        <f t="shared" si="96"/>
        <v/>
      </c>
      <c r="I379" s="227"/>
      <c r="J379" s="227"/>
      <c r="K379" s="227"/>
      <c r="L379" s="227"/>
      <c r="M379" s="210" t="str">
        <f t="shared" si="101"/>
        <v/>
      </c>
      <c r="N379" s="210"/>
      <c r="O379" s="207"/>
      <c r="P379" s="182" t="str">
        <f t="shared" si="86"/>
        <v/>
      </c>
      <c r="Q379" s="183" t="str">
        <f t="shared" si="97"/>
        <v/>
      </c>
      <c r="R379" s="182" t="str">
        <f>IF(M379&lt;&gt;"",IF(#REF!*F379*10=0,"",#REF!*F379*10),"")</f>
        <v/>
      </c>
      <c r="S379" s="184" t="str">
        <f t="shared" si="98"/>
        <v/>
      </c>
      <c r="T379" s="185" t="str">
        <f t="shared" si="87"/>
        <v/>
      </c>
      <c r="U379" s="183" t="str">
        <f t="shared" si="99"/>
        <v/>
      </c>
      <c r="V379" s="186" t="str">
        <f t="shared" si="88"/>
        <v/>
      </c>
      <c r="W379" s="186" t="str">
        <f t="shared" si="89"/>
        <v/>
      </c>
      <c r="X379" s="187" t="str">
        <f t="shared" si="90"/>
        <v/>
      </c>
      <c r="Y379" s="182" t="str">
        <f t="shared" si="100"/>
        <v/>
      </c>
      <c r="Z379" s="209" t="str">
        <f t="shared" si="91"/>
        <v/>
      </c>
      <c r="AA379" s="209" t="str">
        <f t="shared" si="92"/>
        <v/>
      </c>
      <c r="AB379" s="200"/>
      <c r="AC379" s="192"/>
    </row>
    <row r="380" spans="1:29" ht="11.4">
      <c r="A380" s="211" t="str">
        <f t="shared" si="93"/>
        <v/>
      </c>
      <c r="B380" s="211"/>
      <c r="C380" s="215"/>
      <c r="D380" s="213" t="str">
        <f t="shared" si="94"/>
        <v/>
      </c>
      <c r="E380" s="213" t="str">
        <f t="shared" si="102"/>
        <v/>
      </c>
      <c r="F380" s="214" t="str">
        <f t="shared" si="95"/>
        <v/>
      </c>
      <c r="G380" s="180"/>
      <c r="H380" s="181" t="str">
        <f t="shared" si="96"/>
        <v/>
      </c>
      <c r="I380" s="227"/>
      <c r="J380" s="227"/>
      <c r="K380" s="227"/>
      <c r="L380" s="227"/>
      <c r="M380" s="210" t="str">
        <f t="shared" si="101"/>
        <v/>
      </c>
      <c r="N380" s="210"/>
      <c r="O380" s="207"/>
      <c r="P380" s="182" t="str">
        <f t="shared" si="86"/>
        <v/>
      </c>
      <c r="Q380" s="183" t="str">
        <f t="shared" si="97"/>
        <v/>
      </c>
      <c r="R380" s="182" t="str">
        <f>IF(M380&lt;&gt;"",IF(#REF!*F380*10=0,"",#REF!*F380*10),"")</f>
        <v/>
      </c>
      <c r="S380" s="184" t="str">
        <f t="shared" si="98"/>
        <v/>
      </c>
      <c r="T380" s="185" t="str">
        <f t="shared" si="87"/>
        <v/>
      </c>
      <c r="U380" s="183" t="str">
        <f t="shared" si="99"/>
        <v/>
      </c>
      <c r="V380" s="186" t="str">
        <f t="shared" si="88"/>
        <v/>
      </c>
      <c r="W380" s="186" t="str">
        <f t="shared" si="89"/>
        <v/>
      </c>
      <c r="X380" s="187" t="str">
        <f t="shared" si="90"/>
        <v/>
      </c>
      <c r="Y380" s="182" t="str">
        <f t="shared" si="100"/>
        <v/>
      </c>
      <c r="Z380" s="209" t="str">
        <f t="shared" si="91"/>
        <v/>
      </c>
      <c r="AA380" s="209" t="str">
        <f t="shared" si="92"/>
        <v/>
      </c>
      <c r="AB380" s="200"/>
      <c r="AC380" s="192"/>
    </row>
    <row r="381" spans="1:29" ht="11.4">
      <c r="A381" s="211" t="str">
        <f t="shared" si="93"/>
        <v/>
      </c>
      <c r="B381" s="211"/>
      <c r="C381" s="215"/>
      <c r="D381" s="213" t="str">
        <f t="shared" si="94"/>
        <v/>
      </c>
      <c r="E381" s="213" t="str">
        <f t="shared" si="102"/>
        <v/>
      </c>
      <c r="F381" s="214" t="str">
        <f t="shared" si="95"/>
        <v/>
      </c>
      <c r="G381" s="180"/>
      <c r="H381" s="181" t="str">
        <f t="shared" si="96"/>
        <v/>
      </c>
      <c r="I381" s="227"/>
      <c r="J381" s="227"/>
      <c r="K381" s="227"/>
      <c r="L381" s="227"/>
      <c r="M381" s="210" t="str">
        <f t="shared" si="101"/>
        <v/>
      </c>
      <c r="N381" s="210"/>
      <c r="O381" s="207"/>
      <c r="P381" s="182" t="str">
        <f t="shared" si="86"/>
        <v/>
      </c>
      <c r="Q381" s="183" t="str">
        <f t="shared" si="97"/>
        <v/>
      </c>
      <c r="R381" s="182" t="str">
        <f>IF(M381&lt;&gt;"",IF(#REF!*F381*10=0,"",#REF!*F381*10),"")</f>
        <v/>
      </c>
      <c r="S381" s="184" t="str">
        <f t="shared" si="98"/>
        <v/>
      </c>
      <c r="T381" s="185" t="str">
        <f t="shared" si="87"/>
        <v/>
      </c>
      <c r="U381" s="183" t="str">
        <f t="shared" si="99"/>
        <v/>
      </c>
      <c r="V381" s="186" t="str">
        <f t="shared" si="88"/>
        <v/>
      </c>
      <c r="W381" s="186" t="str">
        <f t="shared" si="89"/>
        <v/>
      </c>
      <c r="X381" s="187" t="str">
        <f t="shared" si="90"/>
        <v/>
      </c>
      <c r="Y381" s="182" t="str">
        <f t="shared" si="100"/>
        <v/>
      </c>
      <c r="Z381" s="209" t="str">
        <f t="shared" si="91"/>
        <v/>
      </c>
      <c r="AA381" s="209" t="str">
        <f t="shared" si="92"/>
        <v/>
      </c>
      <c r="AB381" s="200"/>
      <c r="AC381" s="192"/>
    </row>
    <row r="382" spans="1:29" ht="11.4">
      <c r="A382" s="211" t="str">
        <f t="shared" si="93"/>
        <v/>
      </c>
      <c r="B382" s="211"/>
      <c r="C382" s="215"/>
      <c r="D382" s="213" t="str">
        <f t="shared" si="94"/>
        <v/>
      </c>
      <c r="E382" s="213" t="str">
        <f t="shared" si="102"/>
        <v/>
      </c>
      <c r="F382" s="214" t="str">
        <f t="shared" si="95"/>
        <v/>
      </c>
      <c r="G382" s="180"/>
      <c r="H382" s="181" t="str">
        <f t="shared" si="96"/>
        <v/>
      </c>
      <c r="I382" s="227"/>
      <c r="J382" s="227"/>
      <c r="K382" s="227"/>
      <c r="L382" s="227"/>
      <c r="M382" s="210" t="str">
        <f t="shared" si="101"/>
        <v/>
      </c>
      <c r="N382" s="210"/>
      <c r="O382" s="207"/>
      <c r="P382" s="182" t="str">
        <f t="shared" si="86"/>
        <v/>
      </c>
      <c r="Q382" s="183" t="str">
        <f t="shared" si="97"/>
        <v/>
      </c>
      <c r="R382" s="182" t="str">
        <f>IF(M382&lt;&gt;"",IF(#REF!*F382*10=0,"",#REF!*F382*10),"")</f>
        <v/>
      </c>
      <c r="S382" s="184" t="str">
        <f t="shared" si="98"/>
        <v/>
      </c>
      <c r="T382" s="185" t="str">
        <f t="shared" si="87"/>
        <v/>
      </c>
      <c r="U382" s="183" t="str">
        <f t="shared" si="99"/>
        <v/>
      </c>
      <c r="V382" s="186" t="str">
        <f t="shared" si="88"/>
        <v/>
      </c>
      <c r="W382" s="186" t="str">
        <f t="shared" si="89"/>
        <v/>
      </c>
      <c r="X382" s="187" t="str">
        <f t="shared" si="90"/>
        <v/>
      </c>
      <c r="Y382" s="182" t="str">
        <f t="shared" si="100"/>
        <v/>
      </c>
      <c r="Z382" s="209" t="str">
        <f t="shared" si="91"/>
        <v/>
      </c>
      <c r="AA382" s="209" t="str">
        <f t="shared" si="92"/>
        <v/>
      </c>
      <c r="AB382" s="200"/>
      <c r="AC382" s="192"/>
    </row>
    <row r="383" spans="1:29" ht="11.4">
      <c r="A383" s="211" t="str">
        <f t="shared" si="93"/>
        <v/>
      </c>
      <c r="B383" s="211"/>
      <c r="C383" s="215"/>
      <c r="D383" s="213" t="str">
        <f t="shared" si="94"/>
        <v/>
      </c>
      <c r="E383" s="213" t="str">
        <f t="shared" si="102"/>
        <v/>
      </c>
      <c r="F383" s="214" t="str">
        <f t="shared" si="95"/>
        <v/>
      </c>
      <c r="G383" s="180"/>
      <c r="H383" s="181" t="str">
        <f t="shared" si="96"/>
        <v/>
      </c>
      <c r="I383" s="227"/>
      <c r="J383" s="227"/>
      <c r="K383" s="227"/>
      <c r="L383" s="227"/>
      <c r="M383" s="210" t="str">
        <f t="shared" si="101"/>
        <v/>
      </c>
      <c r="N383" s="210"/>
      <c r="O383" s="207"/>
      <c r="P383" s="182" t="str">
        <f t="shared" si="86"/>
        <v/>
      </c>
      <c r="Q383" s="183" t="str">
        <f t="shared" si="97"/>
        <v/>
      </c>
      <c r="R383" s="182" t="str">
        <f>IF(M383&lt;&gt;"",IF(#REF!*F383*10=0,"",#REF!*F383*10),"")</f>
        <v/>
      </c>
      <c r="S383" s="184" t="str">
        <f t="shared" si="98"/>
        <v/>
      </c>
      <c r="T383" s="185" t="str">
        <f t="shared" si="87"/>
        <v/>
      </c>
      <c r="U383" s="183" t="str">
        <f t="shared" si="99"/>
        <v/>
      </c>
      <c r="V383" s="186" t="str">
        <f t="shared" si="88"/>
        <v/>
      </c>
      <c r="W383" s="186" t="str">
        <f t="shared" si="89"/>
        <v/>
      </c>
      <c r="X383" s="187" t="str">
        <f t="shared" si="90"/>
        <v/>
      </c>
      <c r="Y383" s="182" t="str">
        <f t="shared" si="100"/>
        <v/>
      </c>
      <c r="Z383" s="209" t="str">
        <f t="shared" si="91"/>
        <v/>
      </c>
      <c r="AA383" s="209" t="str">
        <f t="shared" si="92"/>
        <v/>
      </c>
      <c r="AB383" s="200"/>
      <c r="AC383" s="192"/>
    </row>
    <row r="384" spans="1:29" ht="11.4">
      <c r="A384" s="211" t="str">
        <f t="shared" si="93"/>
        <v/>
      </c>
      <c r="B384" s="211"/>
      <c r="C384" s="215"/>
      <c r="D384" s="213" t="str">
        <f t="shared" si="94"/>
        <v/>
      </c>
      <c r="E384" s="213" t="str">
        <f t="shared" si="102"/>
        <v/>
      </c>
      <c r="F384" s="214" t="str">
        <f t="shared" si="95"/>
        <v/>
      </c>
      <c r="G384" s="180"/>
      <c r="H384" s="181" t="str">
        <f t="shared" si="96"/>
        <v/>
      </c>
      <c r="I384" s="227"/>
      <c r="J384" s="227"/>
      <c r="K384" s="227"/>
      <c r="L384" s="227"/>
      <c r="M384" s="210" t="str">
        <f t="shared" si="101"/>
        <v/>
      </c>
      <c r="N384" s="210"/>
      <c r="O384" s="207"/>
      <c r="P384" s="182" t="str">
        <f t="shared" si="86"/>
        <v/>
      </c>
      <c r="Q384" s="183" t="str">
        <f t="shared" si="97"/>
        <v/>
      </c>
      <c r="R384" s="182" t="str">
        <f>IF(M384&lt;&gt;"",IF(#REF!*F384*10=0,"",#REF!*F384*10),"")</f>
        <v/>
      </c>
      <c r="S384" s="184" t="str">
        <f t="shared" si="98"/>
        <v/>
      </c>
      <c r="T384" s="185" t="str">
        <f t="shared" si="87"/>
        <v/>
      </c>
      <c r="U384" s="183" t="str">
        <f t="shared" si="99"/>
        <v/>
      </c>
      <c r="V384" s="186" t="str">
        <f t="shared" si="88"/>
        <v/>
      </c>
      <c r="W384" s="186" t="str">
        <f t="shared" si="89"/>
        <v/>
      </c>
      <c r="X384" s="187" t="str">
        <f t="shared" si="90"/>
        <v/>
      </c>
      <c r="Y384" s="182" t="str">
        <f t="shared" si="100"/>
        <v/>
      </c>
      <c r="Z384" s="209" t="str">
        <f t="shared" si="91"/>
        <v/>
      </c>
      <c r="AA384" s="209" t="str">
        <f t="shared" si="92"/>
        <v/>
      </c>
      <c r="AB384" s="200"/>
      <c r="AC384" s="192"/>
    </row>
    <row r="385" spans="1:29" ht="11.4">
      <c r="A385" s="211" t="str">
        <f t="shared" si="93"/>
        <v/>
      </c>
      <c r="B385" s="211"/>
      <c r="C385" s="215"/>
      <c r="D385" s="213" t="str">
        <f t="shared" si="94"/>
        <v/>
      </c>
      <c r="E385" s="213" t="str">
        <f t="shared" si="102"/>
        <v/>
      </c>
      <c r="F385" s="214" t="str">
        <f t="shared" si="95"/>
        <v/>
      </c>
      <c r="G385" s="180"/>
      <c r="H385" s="181" t="str">
        <f t="shared" si="96"/>
        <v/>
      </c>
      <c r="I385" s="227"/>
      <c r="J385" s="227"/>
      <c r="K385" s="227"/>
      <c r="L385" s="227"/>
      <c r="M385" s="210" t="str">
        <f t="shared" si="101"/>
        <v/>
      </c>
      <c r="N385" s="210"/>
      <c r="O385" s="207"/>
      <c r="P385" s="182" t="str">
        <f t="shared" si="86"/>
        <v/>
      </c>
      <c r="Q385" s="183" t="str">
        <f t="shared" si="97"/>
        <v/>
      </c>
      <c r="R385" s="182" t="str">
        <f>IF(M385&lt;&gt;"",IF(#REF!*F385*10=0,"",#REF!*F385*10),"")</f>
        <v/>
      </c>
      <c r="S385" s="184" t="str">
        <f t="shared" si="98"/>
        <v/>
      </c>
      <c r="T385" s="185" t="str">
        <f t="shared" si="87"/>
        <v/>
      </c>
      <c r="U385" s="183" t="str">
        <f t="shared" si="99"/>
        <v/>
      </c>
      <c r="V385" s="186" t="str">
        <f t="shared" si="88"/>
        <v/>
      </c>
      <c r="W385" s="186" t="str">
        <f t="shared" si="89"/>
        <v/>
      </c>
      <c r="X385" s="187" t="str">
        <f t="shared" si="90"/>
        <v/>
      </c>
      <c r="Y385" s="182" t="str">
        <f t="shared" si="100"/>
        <v/>
      </c>
      <c r="Z385" s="209" t="str">
        <f t="shared" si="91"/>
        <v/>
      </c>
      <c r="AA385" s="209" t="str">
        <f t="shared" si="92"/>
        <v/>
      </c>
      <c r="AB385" s="200"/>
      <c r="AC385" s="192"/>
    </row>
    <row r="386" spans="1:29" ht="11.4">
      <c r="A386" s="211" t="str">
        <f t="shared" si="93"/>
        <v/>
      </c>
      <c r="B386" s="211"/>
      <c r="C386" s="215"/>
      <c r="D386" s="213" t="str">
        <f t="shared" si="94"/>
        <v/>
      </c>
      <c r="E386" s="213" t="str">
        <f t="shared" si="102"/>
        <v/>
      </c>
      <c r="F386" s="214" t="str">
        <f t="shared" si="95"/>
        <v/>
      </c>
      <c r="G386" s="180"/>
      <c r="H386" s="181" t="str">
        <f t="shared" si="96"/>
        <v/>
      </c>
      <c r="I386" s="227"/>
      <c r="J386" s="227"/>
      <c r="K386" s="227"/>
      <c r="L386" s="227"/>
      <c r="M386" s="210" t="str">
        <f t="shared" si="101"/>
        <v/>
      </c>
      <c r="N386" s="210"/>
      <c r="O386" s="207"/>
      <c r="P386" s="182" t="str">
        <f t="shared" si="86"/>
        <v/>
      </c>
      <c r="Q386" s="183" t="str">
        <f t="shared" si="97"/>
        <v/>
      </c>
      <c r="R386" s="182" t="str">
        <f>IF(M386&lt;&gt;"",IF(#REF!*F386*10=0,"",#REF!*F386*10),"")</f>
        <v/>
      </c>
      <c r="S386" s="184" t="str">
        <f t="shared" si="98"/>
        <v/>
      </c>
      <c r="T386" s="185" t="str">
        <f t="shared" si="87"/>
        <v/>
      </c>
      <c r="U386" s="183" t="str">
        <f t="shared" si="99"/>
        <v/>
      </c>
      <c r="V386" s="186" t="str">
        <f t="shared" si="88"/>
        <v/>
      </c>
      <c r="W386" s="186" t="str">
        <f t="shared" si="89"/>
        <v/>
      </c>
      <c r="X386" s="187" t="str">
        <f t="shared" si="90"/>
        <v/>
      </c>
      <c r="Y386" s="182" t="str">
        <f t="shared" si="100"/>
        <v/>
      </c>
      <c r="Z386" s="209" t="str">
        <f t="shared" si="91"/>
        <v/>
      </c>
      <c r="AA386" s="209" t="str">
        <f t="shared" si="92"/>
        <v/>
      </c>
      <c r="AB386" s="200"/>
      <c r="AC386" s="192"/>
    </row>
    <row r="387" spans="1:29" ht="11.4">
      <c r="A387" s="211" t="str">
        <f t="shared" si="93"/>
        <v/>
      </c>
      <c r="B387" s="211"/>
      <c r="C387" s="215"/>
      <c r="D387" s="213" t="str">
        <f t="shared" si="94"/>
        <v/>
      </c>
      <c r="E387" s="213" t="str">
        <f t="shared" si="102"/>
        <v/>
      </c>
      <c r="F387" s="214" t="str">
        <f t="shared" si="95"/>
        <v/>
      </c>
      <c r="G387" s="180"/>
      <c r="H387" s="181" t="str">
        <f t="shared" si="96"/>
        <v/>
      </c>
      <c r="I387" s="227"/>
      <c r="J387" s="227"/>
      <c r="K387" s="227"/>
      <c r="L387" s="227"/>
      <c r="M387" s="210" t="str">
        <f t="shared" si="101"/>
        <v/>
      </c>
      <c r="N387" s="210"/>
      <c r="O387" s="207"/>
      <c r="P387" s="182" t="str">
        <f t="shared" si="86"/>
        <v/>
      </c>
      <c r="Q387" s="183" t="str">
        <f t="shared" si="97"/>
        <v/>
      </c>
      <c r="R387" s="182" t="str">
        <f>IF(M387&lt;&gt;"",IF(#REF!*F387*10=0,"",#REF!*F387*10),"")</f>
        <v/>
      </c>
      <c r="S387" s="184" t="str">
        <f t="shared" si="98"/>
        <v/>
      </c>
      <c r="T387" s="185" t="str">
        <f t="shared" si="87"/>
        <v/>
      </c>
      <c r="U387" s="183" t="str">
        <f t="shared" si="99"/>
        <v/>
      </c>
      <c r="V387" s="186" t="str">
        <f t="shared" si="88"/>
        <v/>
      </c>
      <c r="W387" s="186" t="str">
        <f t="shared" si="89"/>
        <v/>
      </c>
      <c r="X387" s="187" t="str">
        <f t="shared" si="90"/>
        <v/>
      </c>
      <c r="Y387" s="182" t="str">
        <f t="shared" si="100"/>
        <v/>
      </c>
      <c r="Z387" s="209" t="str">
        <f t="shared" si="91"/>
        <v/>
      </c>
      <c r="AA387" s="209" t="str">
        <f t="shared" si="92"/>
        <v/>
      </c>
      <c r="AB387" s="200"/>
      <c r="AC387" s="192"/>
    </row>
    <row r="388" spans="1:29" ht="11.4">
      <c r="A388" s="211" t="str">
        <f t="shared" si="93"/>
        <v/>
      </c>
      <c r="B388" s="211"/>
      <c r="C388" s="215"/>
      <c r="D388" s="213" t="str">
        <f t="shared" si="94"/>
        <v/>
      </c>
      <c r="E388" s="213" t="str">
        <f t="shared" si="102"/>
        <v/>
      </c>
      <c r="F388" s="214" t="str">
        <f t="shared" si="95"/>
        <v/>
      </c>
      <c r="G388" s="180"/>
      <c r="H388" s="181" t="str">
        <f t="shared" si="96"/>
        <v/>
      </c>
      <c r="I388" s="227"/>
      <c r="J388" s="227"/>
      <c r="K388" s="227"/>
      <c r="L388" s="227"/>
      <c r="M388" s="210" t="str">
        <f t="shared" si="101"/>
        <v/>
      </c>
      <c r="N388" s="210"/>
      <c r="O388" s="207"/>
      <c r="P388" s="182" t="str">
        <f t="shared" si="86"/>
        <v/>
      </c>
      <c r="Q388" s="183" t="str">
        <f t="shared" si="97"/>
        <v/>
      </c>
      <c r="R388" s="182" t="str">
        <f>IF(M388&lt;&gt;"",IF(#REF!*F388*10=0,"",#REF!*F388*10),"")</f>
        <v/>
      </c>
      <c r="S388" s="184" t="str">
        <f t="shared" si="98"/>
        <v/>
      </c>
      <c r="T388" s="185" t="str">
        <f t="shared" si="87"/>
        <v/>
      </c>
      <c r="U388" s="183" t="str">
        <f t="shared" si="99"/>
        <v/>
      </c>
      <c r="V388" s="186" t="str">
        <f t="shared" si="88"/>
        <v/>
      </c>
      <c r="W388" s="186" t="str">
        <f t="shared" si="89"/>
        <v/>
      </c>
      <c r="X388" s="187" t="str">
        <f t="shared" si="90"/>
        <v/>
      </c>
      <c r="Y388" s="182" t="str">
        <f t="shared" si="100"/>
        <v/>
      </c>
      <c r="Z388" s="209" t="str">
        <f t="shared" si="91"/>
        <v/>
      </c>
      <c r="AA388" s="209" t="str">
        <f t="shared" si="92"/>
        <v/>
      </c>
      <c r="AB388" s="200"/>
      <c r="AC388" s="192"/>
    </row>
    <row r="389" spans="1:29" ht="11.4">
      <c r="A389" s="211" t="str">
        <f t="shared" si="93"/>
        <v/>
      </c>
      <c r="B389" s="211"/>
      <c r="C389" s="215"/>
      <c r="D389" s="213" t="str">
        <f t="shared" si="94"/>
        <v/>
      </c>
      <c r="E389" s="213" t="str">
        <f t="shared" si="102"/>
        <v/>
      </c>
      <c r="F389" s="214" t="str">
        <f t="shared" si="95"/>
        <v/>
      </c>
      <c r="G389" s="180"/>
      <c r="H389" s="181" t="str">
        <f t="shared" si="96"/>
        <v/>
      </c>
      <c r="I389" s="227"/>
      <c r="J389" s="227"/>
      <c r="K389" s="227"/>
      <c r="L389" s="227"/>
      <c r="M389" s="210" t="str">
        <f t="shared" si="101"/>
        <v/>
      </c>
      <c r="N389" s="210"/>
      <c r="O389" s="207"/>
      <c r="P389" s="182" t="str">
        <f t="shared" si="86"/>
        <v/>
      </c>
      <c r="Q389" s="183" t="str">
        <f t="shared" si="97"/>
        <v/>
      </c>
      <c r="R389" s="182" t="str">
        <f>IF(M389&lt;&gt;"",IF(#REF!*F389*10=0,"",#REF!*F389*10),"")</f>
        <v/>
      </c>
      <c r="S389" s="184" t="str">
        <f t="shared" si="98"/>
        <v/>
      </c>
      <c r="T389" s="185" t="str">
        <f t="shared" si="87"/>
        <v/>
      </c>
      <c r="U389" s="183" t="str">
        <f t="shared" si="99"/>
        <v/>
      </c>
      <c r="V389" s="186" t="str">
        <f t="shared" si="88"/>
        <v/>
      </c>
      <c r="W389" s="186" t="str">
        <f t="shared" si="89"/>
        <v/>
      </c>
      <c r="X389" s="187" t="str">
        <f t="shared" si="90"/>
        <v/>
      </c>
      <c r="Y389" s="182" t="str">
        <f t="shared" si="100"/>
        <v/>
      </c>
      <c r="Z389" s="209" t="str">
        <f t="shared" si="91"/>
        <v/>
      </c>
      <c r="AA389" s="209" t="str">
        <f t="shared" si="92"/>
        <v/>
      </c>
      <c r="AB389" s="200"/>
      <c r="AC389" s="192"/>
    </row>
    <row r="390" spans="1:29" ht="11.4">
      <c r="A390" s="211" t="str">
        <f t="shared" si="93"/>
        <v/>
      </c>
      <c r="B390" s="211"/>
      <c r="C390" s="215"/>
      <c r="D390" s="213" t="str">
        <f t="shared" si="94"/>
        <v/>
      </c>
      <c r="E390" s="213" t="str">
        <f t="shared" si="102"/>
        <v/>
      </c>
      <c r="F390" s="214" t="str">
        <f t="shared" si="95"/>
        <v/>
      </c>
      <c r="G390" s="180"/>
      <c r="H390" s="181" t="str">
        <f t="shared" si="96"/>
        <v/>
      </c>
      <c r="I390" s="227"/>
      <c r="J390" s="227"/>
      <c r="K390" s="227"/>
      <c r="L390" s="227"/>
      <c r="M390" s="210" t="str">
        <f t="shared" si="101"/>
        <v/>
      </c>
      <c r="N390" s="210"/>
      <c r="O390" s="207"/>
      <c r="P390" s="182" t="str">
        <f t="shared" si="86"/>
        <v/>
      </c>
      <c r="Q390" s="183" t="str">
        <f t="shared" si="97"/>
        <v/>
      </c>
      <c r="R390" s="182" t="str">
        <f>IF(M390&lt;&gt;"",IF(#REF!*F390*10=0,"",#REF!*F390*10),"")</f>
        <v/>
      </c>
      <c r="S390" s="184" t="str">
        <f t="shared" si="98"/>
        <v/>
      </c>
      <c r="T390" s="185" t="str">
        <f t="shared" si="87"/>
        <v/>
      </c>
      <c r="U390" s="183" t="str">
        <f t="shared" si="99"/>
        <v/>
      </c>
      <c r="V390" s="186" t="str">
        <f t="shared" si="88"/>
        <v/>
      </c>
      <c r="W390" s="186" t="str">
        <f t="shared" si="89"/>
        <v/>
      </c>
      <c r="X390" s="187" t="str">
        <f t="shared" si="90"/>
        <v/>
      </c>
      <c r="Y390" s="182" t="str">
        <f t="shared" si="100"/>
        <v/>
      </c>
      <c r="Z390" s="209" t="str">
        <f t="shared" si="91"/>
        <v/>
      </c>
      <c r="AA390" s="209" t="str">
        <f t="shared" si="92"/>
        <v/>
      </c>
      <c r="AB390" s="200"/>
      <c r="AC390" s="192"/>
    </row>
    <row r="391" spans="1:29" ht="11.4">
      <c r="A391" s="211" t="str">
        <f t="shared" si="93"/>
        <v/>
      </c>
      <c r="B391" s="211"/>
      <c r="C391" s="215"/>
      <c r="D391" s="213" t="str">
        <f t="shared" si="94"/>
        <v/>
      </c>
      <c r="E391" s="213" t="str">
        <f t="shared" si="102"/>
        <v/>
      </c>
      <c r="F391" s="214" t="str">
        <f t="shared" si="95"/>
        <v/>
      </c>
      <c r="G391" s="180"/>
      <c r="H391" s="181" t="str">
        <f t="shared" si="96"/>
        <v/>
      </c>
      <c r="I391" s="227"/>
      <c r="J391" s="227"/>
      <c r="K391" s="227"/>
      <c r="L391" s="227"/>
      <c r="M391" s="210" t="str">
        <f t="shared" si="101"/>
        <v/>
      </c>
      <c r="N391" s="210"/>
      <c r="O391" s="207"/>
      <c r="P391" s="182" t="str">
        <f t="shared" si="86"/>
        <v/>
      </c>
      <c r="Q391" s="183" t="str">
        <f t="shared" si="97"/>
        <v/>
      </c>
      <c r="R391" s="182" t="str">
        <f>IF(M391&lt;&gt;"",IF(#REF!*F391*10=0,"",#REF!*F391*10),"")</f>
        <v/>
      </c>
      <c r="S391" s="184" t="str">
        <f t="shared" si="98"/>
        <v/>
      </c>
      <c r="T391" s="185" t="str">
        <f t="shared" si="87"/>
        <v/>
      </c>
      <c r="U391" s="183" t="str">
        <f t="shared" si="99"/>
        <v/>
      </c>
      <c r="V391" s="186" t="str">
        <f t="shared" si="88"/>
        <v/>
      </c>
      <c r="W391" s="186" t="str">
        <f t="shared" si="89"/>
        <v/>
      </c>
      <c r="X391" s="187" t="str">
        <f t="shared" si="90"/>
        <v/>
      </c>
      <c r="Y391" s="182" t="str">
        <f t="shared" si="100"/>
        <v/>
      </c>
      <c r="Z391" s="209" t="str">
        <f t="shared" si="91"/>
        <v/>
      </c>
      <c r="AA391" s="209" t="str">
        <f t="shared" si="92"/>
        <v/>
      </c>
      <c r="AB391" s="200"/>
      <c r="AC391" s="192"/>
    </row>
    <row r="392" spans="1:29" ht="11.4">
      <c r="A392" s="211" t="str">
        <f t="shared" si="93"/>
        <v/>
      </c>
      <c r="B392" s="211"/>
      <c r="C392" s="215"/>
      <c r="D392" s="213" t="str">
        <f t="shared" si="94"/>
        <v/>
      </c>
      <c r="E392" s="213" t="str">
        <f t="shared" si="102"/>
        <v/>
      </c>
      <c r="F392" s="214" t="str">
        <f t="shared" si="95"/>
        <v/>
      </c>
      <c r="G392" s="180"/>
      <c r="H392" s="181" t="str">
        <f t="shared" si="96"/>
        <v/>
      </c>
      <c r="I392" s="227"/>
      <c r="J392" s="227"/>
      <c r="K392" s="227"/>
      <c r="L392" s="227"/>
      <c r="M392" s="210" t="str">
        <f t="shared" si="101"/>
        <v/>
      </c>
      <c r="N392" s="210"/>
      <c r="O392" s="207"/>
      <c r="P392" s="182" t="str">
        <f t="shared" si="86"/>
        <v/>
      </c>
      <c r="Q392" s="183" t="str">
        <f t="shared" si="97"/>
        <v/>
      </c>
      <c r="R392" s="182" t="str">
        <f>IF(M392&lt;&gt;"",IF(#REF!*F392*10=0,"",#REF!*F392*10),"")</f>
        <v/>
      </c>
      <c r="S392" s="184" t="str">
        <f t="shared" si="98"/>
        <v/>
      </c>
      <c r="T392" s="185" t="str">
        <f t="shared" si="87"/>
        <v/>
      </c>
      <c r="U392" s="183" t="str">
        <f t="shared" si="99"/>
        <v/>
      </c>
      <c r="V392" s="186" t="str">
        <f t="shared" si="88"/>
        <v/>
      </c>
      <c r="W392" s="186" t="str">
        <f t="shared" si="89"/>
        <v/>
      </c>
      <c r="X392" s="187" t="str">
        <f t="shared" si="90"/>
        <v/>
      </c>
      <c r="Y392" s="182" t="str">
        <f t="shared" si="100"/>
        <v/>
      </c>
      <c r="Z392" s="209" t="str">
        <f t="shared" si="91"/>
        <v/>
      </c>
      <c r="AA392" s="209" t="str">
        <f t="shared" si="92"/>
        <v/>
      </c>
      <c r="AB392" s="200"/>
      <c r="AC392" s="192"/>
    </row>
    <row r="393" spans="1:29" ht="11.4">
      <c r="A393" s="211" t="str">
        <f t="shared" si="93"/>
        <v/>
      </c>
      <c r="B393" s="211"/>
      <c r="C393" s="215"/>
      <c r="D393" s="213" t="str">
        <f t="shared" si="94"/>
        <v/>
      </c>
      <c r="E393" s="213" t="str">
        <f t="shared" si="102"/>
        <v/>
      </c>
      <c r="F393" s="214" t="str">
        <f t="shared" si="95"/>
        <v/>
      </c>
      <c r="G393" s="180"/>
      <c r="H393" s="181" t="str">
        <f t="shared" si="96"/>
        <v/>
      </c>
      <c r="I393" s="227"/>
      <c r="J393" s="227"/>
      <c r="K393" s="227"/>
      <c r="L393" s="227"/>
      <c r="M393" s="210" t="str">
        <f t="shared" si="101"/>
        <v/>
      </c>
      <c r="N393" s="210"/>
      <c r="O393" s="207"/>
      <c r="P393" s="182" t="str">
        <f t="shared" si="86"/>
        <v/>
      </c>
      <c r="Q393" s="183" t="str">
        <f t="shared" si="97"/>
        <v/>
      </c>
      <c r="R393" s="182" t="str">
        <f>IF(M393&lt;&gt;"",IF(#REF!*F393*10=0,"",#REF!*F393*10),"")</f>
        <v/>
      </c>
      <c r="S393" s="184" t="str">
        <f t="shared" si="98"/>
        <v/>
      </c>
      <c r="T393" s="185" t="str">
        <f t="shared" si="87"/>
        <v/>
      </c>
      <c r="U393" s="183" t="str">
        <f t="shared" si="99"/>
        <v/>
      </c>
      <c r="V393" s="186" t="str">
        <f t="shared" si="88"/>
        <v/>
      </c>
      <c r="W393" s="186" t="str">
        <f t="shared" si="89"/>
        <v/>
      </c>
      <c r="X393" s="187" t="str">
        <f t="shared" si="90"/>
        <v/>
      </c>
      <c r="Y393" s="182" t="str">
        <f t="shared" si="100"/>
        <v/>
      </c>
      <c r="Z393" s="209" t="str">
        <f t="shared" si="91"/>
        <v/>
      </c>
      <c r="AA393" s="209" t="str">
        <f t="shared" si="92"/>
        <v/>
      </c>
      <c r="AB393" s="200"/>
      <c r="AC393" s="192"/>
    </row>
    <row r="394" spans="1:29" ht="11.4">
      <c r="A394" s="211" t="str">
        <f t="shared" si="93"/>
        <v/>
      </c>
      <c r="B394" s="211"/>
      <c r="C394" s="215"/>
      <c r="D394" s="213" t="str">
        <f t="shared" si="94"/>
        <v/>
      </c>
      <c r="E394" s="213" t="str">
        <f t="shared" si="102"/>
        <v/>
      </c>
      <c r="F394" s="214" t="str">
        <f t="shared" si="95"/>
        <v/>
      </c>
      <c r="G394" s="180"/>
      <c r="H394" s="181" t="str">
        <f t="shared" si="96"/>
        <v/>
      </c>
      <c r="I394" s="227"/>
      <c r="J394" s="227"/>
      <c r="K394" s="227"/>
      <c r="L394" s="227"/>
      <c r="M394" s="210" t="str">
        <f t="shared" si="101"/>
        <v/>
      </c>
      <c r="N394" s="210"/>
      <c r="O394" s="207"/>
      <c r="P394" s="182" t="str">
        <f t="shared" si="86"/>
        <v/>
      </c>
      <c r="Q394" s="183" t="str">
        <f t="shared" si="97"/>
        <v/>
      </c>
      <c r="R394" s="182" t="str">
        <f>IF(M394&lt;&gt;"",IF(#REF!*F394*10=0,"",#REF!*F394*10),"")</f>
        <v/>
      </c>
      <c r="S394" s="184" t="str">
        <f t="shared" si="98"/>
        <v/>
      </c>
      <c r="T394" s="185" t="str">
        <f t="shared" si="87"/>
        <v/>
      </c>
      <c r="U394" s="183" t="str">
        <f t="shared" si="99"/>
        <v/>
      </c>
      <c r="V394" s="186" t="str">
        <f t="shared" si="88"/>
        <v/>
      </c>
      <c r="W394" s="186" t="str">
        <f t="shared" si="89"/>
        <v/>
      </c>
      <c r="X394" s="187" t="str">
        <f t="shared" si="90"/>
        <v/>
      </c>
      <c r="Y394" s="182" t="str">
        <f t="shared" si="100"/>
        <v/>
      </c>
      <c r="Z394" s="209" t="str">
        <f t="shared" si="91"/>
        <v/>
      </c>
      <c r="AA394" s="209" t="str">
        <f t="shared" si="92"/>
        <v/>
      </c>
      <c r="AB394" s="200"/>
      <c r="AC394" s="192"/>
    </row>
    <row r="395" spans="1:29" ht="11.4">
      <c r="A395" s="211" t="str">
        <f t="shared" si="93"/>
        <v/>
      </c>
      <c r="B395" s="211"/>
      <c r="C395" s="215"/>
      <c r="D395" s="213" t="str">
        <f t="shared" si="94"/>
        <v/>
      </c>
      <c r="E395" s="213" t="str">
        <f t="shared" si="102"/>
        <v/>
      </c>
      <c r="F395" s="214" t="str">
        <f t="shared" si="95"/>
        <v/>
      </c>
      <c r="G395" s="180"/>
      <c r="H395" s="181" t="str">
        <f t="shared" si="96"/>
        <v/>
      </c>
      <c r="I395" s="227"/>
      <c r="J395" s="227"/>
      <c r="K395" s="227"/>
      <c r="L395" s="227"/>
      <c r="M395" s="210" t="str">
        <f t="shared" si="101"/>
        <v/>
      </c>
      <c r="N395" s="210"/>
      <c r="O395" s="207"/>
      <c r="P395" s="182" t="str">
        <f t="shared" si="86"/>
        <v/>
      </c>
      <c r="Q395" s="183" t="str">
        <f t="shared" si="97"/>
        <v/>
      </c>
      <c r="R395" s="182" t="str">
        <f>IF(M395&lt;&gt;"",IF(#REF!*F395*10=0,"",#REF!*F395*10),"")</f>
        <v/>
      </c>
      <c r="S395" s="184" t="str">
        <f t="shared" si="98"/>
        <v/>
      </c>
      <c r="T395" s="185" t="str">
        <f t="shared" si="87"/>
        <v/>
      </c>
      <c r="U395" s="183" t="str">
        <f t="shared" si="99"/>
        <v/>
      </c>
      <c r="V395" s="186" t="str">
        <f t="shared" si="88"/>
        <v/>
      </c>
      <c r="W395" s="186" t="str">
        <f t="shared" si="89"/>
        <v/>
      </c>
      <c r="X395" s="187" t="str">
        <f t="shared" si="90"/>
        <v/>
      </c>
      <c r="Y395" s="182" t="str">
        <f t="shared" si="100"/>
        <v/>
      </c>
      <c r="Z395" s="209" t="str">
        <f t="shared" si="91"/>
        <v/>
      </c>
      <c r="AA395" s="209" t="str">
        <f t="shared" si="92"/>
        <v/>
      </c>
      <c r="AB395" s="200"/>
      <c r="AC395" s="192"/>
    </row>
    <row r="396" spans="1:29" ht="11.4">
      <c r="A396" s="211" t="str">
        <f t="shared" si="93"/>
        <v/>
      </c>
      <c r="B396" s="211"/>
      <c r="C396" s="215"/>
      <c r="D396" s="213" t="str">
        <f t="shared" si="94"/>
        <v/>
      </c>
      <c r="E396" s="213" t="str">
        <f t="shared" si="102"/>
        <v/>
      </c>
      <c r="F396" s="214" t="str">
        <f t="shared" si="95"/>
        <v/>
      </c>
      <c r="G396" s="180"/>
      <c r="H396" s="181" t="str">
        <f t="shared" si="96"/>
        <v/>
      </c>
      <c r="I396" s="227"/>
      <c r="J396" s="227"/>
      <c r="K396" s="227"/>
      <c r="L396" s="227"/>
      <c r="M396" s="210" t="str">
        <f t="shared" si="101"/>
        <v/>
      </c>
      <c r="N396" s="210"/>
      <c r="O396" s="207"/>
      <c r="P396" s="182" t="str">
        <f t="shared" ref="P396:P459" si="103">IF(M396="","",IF(L396*F396*$D$3=0,0,L396*F396*$D$3))</f>
        <v/>
      </c>
      <c r="Q396" s="183" t="str">
        <f t="shared" si="97"/>
        <v/>
      </c>
      <c r="R396" s="182" t="str">
        <f>IF(M396&lt;&gt;"",IF(#REF!*F396*10=0,"",#REF!*F396*10),"")</f>
        <v/>
      </c>
      <c r="S396" s="184" t="str">
        <f t="shared" si="98"/>
        <v/>
      </c>
      <c r="T396" s="185" t="str">
        <f t="shared" ref="T396:T459" si="104">IF(X396="","",X396*F396*$D$3)</f>
        <v/>
      </c>
      <c r="U396" s="183" t="str">
        <f t="shared" si="99"/>
        <v/>
      </c>
      <c r="V396" s="186" t="str">
        <f t="shared" ref="V396:V459" si="105">IF(M396="","",IF(AND(M396&gt;I396,H396="L"),1, IF(AND(I396&gt;M396,H396="S"),1,0)))</f>
        <v/>
      </c>
      <c r="W396" s="186" t="str">
        <f t="shared" ref="W396:W459" si="106">IF(M396="","",IF(AND(M396&lt;I396,H396="L"),1, IF(AND(I396&lt;M396,H396="S"),1,0)))</f>
        <v/>
      </c>
      <c r="X396" s="187" t="str">
        <f t="shared" ref="X396:X459" si="107">IF((M396=""),"",IF(H396="Buy",1,-1)*(M396-I396)*IF(LEN(RIGHT(I396,LEN(I396)-FIND(".",I396)))&gt;3,10000,100))</f>
        <v/>
      </c>
      <c r="Y396" s="182" t="str">
        <f t="shared" si="100"/>
        <v/>
      </c>
      <c r="Z396" s="209" t="str">
        <f t="shared" ref="Z396:Z459" si="108">IF(C396="","",MONTH(LEFT(C396,8)))</f>
        <v/>
      </c>
      <c r="AA396" s="209" t="str">
        <f t="shared" ref="AA396:AA459" si="109">IF(C396="","",YEAR(LEFT(C396,8)))</f>
        <v/>
      </c>
      <c r="AB396" s="200"/>
      <c r="AC396" s="192"/>
    </row>
    <row r="397" spans="1:29" ht="11.4">
      <c r="A397" s="211" t="str">
        <f t="shared" ref="A397:A460" si="110">IF(D397="","",1)</f>
        <v/>
      </c>
      <c r="B397" s="211"/>
      <c r="C397" s="215"/>
      <c r="D397" s="213" t="str">
        <f t="shared" ref="D397:D460" si="111">IF(G397="","","SUGAR")</f>
        <v/>
      </c>
      <c r="E397" s="213" t="str">
        <f t="shared" si="102"/>
        <v/>
      </c>
      <c r="F397" s="214" t="str">
        <f t="shared" ref="F397:F460" si="112">IF(G397="","",0.01)</f>
        <v/>
      </c>
      <c r="G397" s="180"/>
      <c r="H397" s="181" t="str">
        <f t="shared" ref="H397:H460" si="113">IF(G397="","",IF(OR(G397="第二类买点",G397="第三类买点"),"Buy","Sell"))</f>
        <v/>
      </c>
      <c r="I397" s="227"/>
      <c r="J397" s="227"/>
      <c r="K397" s="227"/>
      <c r="L397" s="227"/>
      <c r="M397" s="210" t="str">
        <f t="shared" si="101"/>
        <v/>
      </c>
      <c r="N397" s="210"/>
      <c r="O397" s="207"/>
      <c r="P397" s="182" t="str">
        <f t="shared" si="103"/>
        <v/>
      </c>
      <c r="Q397" s="183" t="str">
        <f t="shared" ref="Q397:Q460" si="114">IF(P397="","",IF(P397=0,0,P397/$I$4))</f>
        <v/>
      </c>
      <c r="R397" s="182" t="str">
        <f>IF(M397&lt;&gt;"",IF(#REF!*F397*10=0,"",#REF!*F397*10),"")</f>
        <v/>
      </c>
      <c r="S397" s="184" t="str">
        <f t="shared" ref="S397:S460" si="115">IF(P397="","",IF(P397=0,0,R397/P397))</f>
        <v/>
      </c>
      <c r="T397" s="185" t="str">
        <f t="shared" si="104"/>
        <v/>
      </c>
      <c r="U397" s="183" t="str">
        <f t="shared" ref="U397:U460" si="116">IF(T397="","",IF($I$4="","",T397/$I$4))</f>
        <v/>
      </c>
      <c r="V397" s="186" t="str">
        <f t="shared" si="105"/>
        <v/>
      </c>
      <c r="W397" s="186" t="str">
        <f t="shared" si="106"/>
        <v/>
      </c>
      <c r="X397" s="187" t="str">
        <f t="shared" si="107"/>
        <v/>
      </c>
      <c r="Y397" s="182" t="str">
        <f t="shared" si="100"/>
        <v/>
      </c>
      <c r="Z397" s="209" t="str">
        <f t="shared" si="108"/>
        <v/>
      </c>
      <c r="AA397" s="209" t="str">
        <f t="shared" si="109"/>
        <v/>
      </c>
      <c r="AB397" s="200"/>
      <c r="AC397" s="192"/>
    </row>
    <row r="398" spans="1:29" ht="11.4">
      <c r="A398" s="211" t="str">
        <f t="shared" si="110"/>
        <v/>
      </c>
      <c r="B398" s="211"/>
      <c r="C398" s="215"/>
      <c r="D398" s="213" t="str">
        <f t="shared" si="111"/>
        <v/>
      </c>
      <c r="E398" s="213" t="str">
        <f t="shared" si="102"/>
        <v/>
      </c>
      <c r="F398" s="214" t="str">
        <f t="shared" si="112"/>
        <v/>
      </c>
      <c r="G398" s="180"/>
      <c r="H398" s="181" t="str">
        <f t="shared" si="113"/>
        <v/>
      </c>
      <c r="I398" s="227"/>
      <c r="J398" s="227"/>
      <c r="K398" s="227"/>
      <c r="L398" s="227"/>
      <c r="M398" s="210" t="str">
        <f t="shared" si="101"/>
        <v/>
      </c>
      <c r="N398" s="210"/>
      <c r="O398" s="207"/>
      <c r="P398" s="182" t="str">
        <f t="shared" si="103"/>
        <v/>
      </c>
      <c r="Q398" s="183" t="str">
        <f t="shared" si="114"/>
        <v/>
      </c>
      <c r="R398" s="182" t="str">
        <f>IF(M398&lt;&gt;"",IF(#REF!*F398*10=0,"",#REF!*F398*10),"")</f>
        <v/>
      </c>
      <c r="S398" s="184" t="str">
        <f t="shared" si="115"/>
        <v/>
      </c>
      <c r="T398" s="185" t="str">
        <f t="shared" si="104"/>
        <v/>
      </c>
      <c r="U398" s="183" t="str">
        <f t="shared" si="116"/>
        <v/>
      </c>
      <c r="V398" s="186" t="str">
        <f t="shared" si="105"/>
        <v/>
      </c>
      <c r="W398" s="186" t="str">
        <f t="shared" si="106"/>
        <v/>
      </c>
      <c r="X398" s="187" t="str">
        <f t="shared" si="107"/>
        <v/>
      </c>
      <c r="Y398" s="182" t="str">
        <f t="shared" ref="Y398:Y461" si="117">IF(Y397="","",IF(T398="","",Y397+T398))</f>
        <v/>
      </c>
      <c r="Z398" s="209" t="str">
        <f t="shared" si="108"/>
        <v/>
      </c>
      <c r="AA398" s="209" t="str">
        <f t="shared" si="109"/>
        <v/>
      </c>
      <c r="AB398" s="200"/>
      <c r="AC398" s="192"/>
    </row>
    <row r="399" spans="1:29" ht="11.4">
      <c r="A399" s="211" t="str">
        <f t="shared" si="110"/>
        <v/>
      </c>
      <c r="B399" s="211"/>
      <c r="C399" s="215"/>
      <c r="D399" s="213" t="str">
        <f t="shared" si="111"/>
        <v/>
      </c>
      <c r="E399" s="213" t="str">
        <f t="shared" si="102"/>
        <v/>
      </c>
      <c r="F399" s="214" t="str">
        <f t="shared" si="112"/>
        <v/>
      </c>
      <c r="G399" s="180"/>
      <c r="H399" s="181" t="str">
        <f t="shared" si="113"/>
        <v/>
      </c>
      <c r="I399" s="227"/>
      <c r="J399" s="227"/>
      <c r="K399" s="227"/>
      <c r="L399" s="227"/>
      <c r="M399" s="210" t="str">
        <f t="shared" ref="M399:M462" si="118">IF(J399="","",J399)</f>
        <v/>
      </c>
      <c r="N399" s="210"/>
      <c r="O399" s="207"/>
      <c r="P399" s="182" t="str">
        <f t="shared" si="103"/>
        <v/>
      </c>
      <c r="Q399" s="183" t="str">
        <f t="shared" si="114"/>
        <v/>
      </c>
      <c r="R399" s="182" t="str">
        <f>IF(M399&lt;&gt;"",IF(#REF!*F399*10=0,"",#REF!*F399*10),"")</f>
        <v/>
      </c>
      <c r="S399" s="184" t="str">
        <f t="shared" si="115"/>
        <v/>
      </c>
      <c r="T399" s="185" t="str">
        <f t="shared" si="104"/>
        <v/>
      </c>
      <c r="U399" s="183" t="str">
        <f t="shared" si="116"/>
        <v/>
      </c>
      <c r="V399" s="186" t="str">
        <f t="shared" si="105"/>
        <v/>
      </c>
      <c r="W399" s="186" t="str">
        <f t="shared" si="106"/>
        <v/>
      </c>
      <c r="X399" s="187" t="str">
        <f t="shared" si="107"/>
        <v/>
      </c>
      <c r="Y399" s="182" t="str">
        <f t="shared" si="117"/>
        <v/>
      </c>
      <c r="Z399" s="209" t="str">
        <f t="shared" si="108"/>
        <v/>
      </c>
      <c r="AA399" s="209" t="str">
        <f t="shared" si="109"/>
        <v/>
      </c>
      <c r="AB399" s="200"/>
      <c r="AC399" s="192"/>
    </row>
    <row r="400" spans="1:29" ht="11.4">
      <c r="A400" s="211" t="str">
        <f t="shared" si="110"/>
        <v/>
      </c>
      <c r="B400" s="211"/>
      <c r="C400" s="215"/>
      <c r="D400" s="213" t="str">
        <f t="shared" si="111"/>
        <v/>
      </c>
      <c r="E400" s="213" t="str">
        <f t="shared" ref="E400:E463" si="119">IF(G400="","","M30")</f>
        <v/>
      </c>
      <c r="F400" s="214" t="str">
        <f t="shared" si="112"/>
        <v/>
      </c>
      <c r="G400" s="180"/>
      <c r="H400" s="181" t="str">
        <f t="shared" si="113"/>
        <v/>
      </c>
      <c r="I400" s="227"/>
      <c r="J400" s="227"/>
      <c r="K400" s="227"/>
      <c r="L400" s="227"/>
      <c r="M400" s="210" t="str">
        <f t="shared" si="118"/>
        <v/>
      </c>
      <c r="N400" s="210"/>
      <c r="O400" s="207"/>
      <c r="P400" s="182" t="str">
        <f t="shared" si="103"/>
        <v/>
      </c>
      <c r="Q400" s="183" t="str">
        <f t="shared" si="114"/>
        <v/>
      </c>
      <c r="R400" s="182" t="str">
        <f>IF(M400&lt;&gt;"",IF(#REF!*F400*10=0,"",#REF!*F400*10),"")</f>
        <v/>
      </c>
      <c r="S400" s="184" t="str">
        <f t="shared" si="115"/>
        <v/>
      </c>
      <c r="T400" s="185" t="str">
        <f t="shared" si="104"/>
        <v/>
      </c>
      <c r="U400" s="183" t="str">
        <f t="shared" si="116"/>
        <v/>
      </c>
      <c r="V400" s="186" t="str">
        <f t="shared" si="105"/>
        <v/>
      </c>
      <c r="W400" s="186" t="str">
        <f t="shared" si="106"/>
        <v/>
      </c>
      <c r="X400" s="187" t="str">
        <f t="shared" si="107"/>
        <v/>
      </c>
      <c r="Y400" s="182" t="str">
        <f t="shared" si="117"/>
        <v/>
      </c>
      <c r="Z400" s="209" t="str">
        <f t="shared" si="108"/>
        <v/>
      </c>
      <c r="AA400" s="209" t="str">
        <f t="shared" si="109"/>
        <v/>
      </c>
      <c r="AB400" s="200"/>
      <c r="AC400" s="192"/>
    </row>
    <row r="401" spans="1:29" ht="11.4">
      <c r="A401" s="211" t="str">
        <f t="shared" si="110"/>
        <v/>
      </c>
      <c r="B401" s="211"/>
      <c r="C401" s="215"/>
      <c r="D401" s="213" t="str">
        <f t="shared" si="111"/>
        <v/>
      </c>
      <c r="E401" s="213" t="str">
        <f t="shared" si="119"/>
        <v/>
      </c>
      <c r="F401" s="214" t="str">
        <f t="shared" si="112"/>
        <v/>
      </c>
      <c r="G401" s="180"/>
      <c r="H401" s="181" t="str">
        <f t="shared" si="113"/>
        <v/>
      </c>
      <c r="I401" s="227"/>
      <c r="J401" s="227"/>
      <c r="K401" s="227"/>
      <c r="L401" s="227"/>
      <c r="M401" s="210" t="str">
        <f t="shared" si="118"/>
        <v/>
      </c>
      <c r="N401" s="210"/>
      <c r="O401" s="207"/>
      <c r="P401" s="182" t="str">
        <f t="shared" si="103"/>
        <v/>
      </c>
      <c r="Q401" s="183" t="str">
        <f t="shared" si="114"/>
        <v/>
      </c>
      <c r="R401" s="182" t="str">
        <f>IF(M401&lt;&gt;"",IF(#REF!*F401*10=0,"",#REF!*F401*10),"")</f>
        <v/>
      </c>
      <c r="S401" s="184" t="str">
        <f t="shared" si="115"/>
        <v/>
      </c>
      <c r="T401" s="185" t="str">
        <f t="shared" si="104"/>
        <v/>
      </c>
      <c r="U401" s="183" t="str">
        <f t="shared" si="116"/>
        <v/>
      </c>
      <c r="V401" s="186" t="str">
        <f t="shared" si="105"/>
        <v/>
      </c>
      <c r="W401" s="186" t="str">
        <f t="shared" si="106"/>
        <v/>
      </c>
      <c r="X401" s="187" t="str">
        <f t="shared" si="107"/>
        <v/>
      </c>
      <c r="Y401" s="182" t="str">
        <f t="shared" si="117"/>
        <v/>
      </c>
      <c r="Z401" s="209" t="str">
        <f t="shared" si="108"/>
        <v/>
      </c>
      <c r="AA401" s="209" t="str">
        <f t="shared" si="109"/>
        <v/>
      </c>
      <c r="AB401" s="200"/>
      <c r="AC401" s="192"/>
    </row>
    <row r="402" spans="1:29" ht="11.4">
      <c r="A402" s="211" t="str">
        <f t="shared" si="110"/>
        <v/>
      </c>
      <c r="B402" s="211"/>
      <c r="C402" s="215"/>
      <c r="D402" s="213" t="str">
        <f t="shared" si="111"/>
        <v/>
      </c>
      <c r="E402" s="213" t="str">
        <f t="shared" si="119"/>
        <v/>
      </c>
      <c r="F402" s="214" t="str">
        <f t="shared" si="112"/>
        <v/>
      </c>
      <c r="G402" s="180"/>
      <c r="H402" s="181" t="str">
        <f t="shared" si="113"/>
        <v/>
      </c>
      <c r="I402" s="227"/>
      <c r="J402" s="227"/>
      <c r="K402" s="227"/>
      <c r="L402" s="227"/>
      <c r="M402" s="210" t="str">
        <f t="shared" si="118"/>
        <v/>
      </c>
      <c r="N402" s="210"/>
      <c r="O402" s="207"/>
      <c r="P402" s="182" t="str">
        <f t="shared" si="103"/>
        <v/>
      </c>
      <c r="Q402" s="183" t="str">
        <f t="shared" si="114"/>
        <v/>
      </c>
      <c r="R402" s="182" t="str">
        <f>IF(M402&lt;&gt;"",IF(#REF!*F402*10=0,"",#REF!*F402*10),"")</f>
        <v/>
      </c>
      <c r="S402" s="184" t="str">
        <f t="shared" si="115"/>
        <v/>
      </c>
      <c r="T402" s="185" t="str">
        <f t="shared" si="104"/>
        <v/>
      </c>
      <c r="U402" s="183" t="str">
        <f t="shared" si="116"/>
        <v/>
      </c>
      <c r="V402" s="186" t="str">
        <f t="shared" si="105"/>
        <v/>
      </c>
      <c r="W402" s="186" t="str">
        <f t="shared" si="106"/>
        <v/>
      </c>
      <c r="X402" s="187" t="str">
        <f t="shared" si="107"/>
        <v/>
      </c>
      <c r="Y402" s="182" t="str">
        <f t="shared" si="117"/>
        <v/>
      </c>
      <c r="Z402" s="209" t="str">
        <f t="shared" si="108"/>
        <v/>
      </c>
      <c r="AA402" s="209" t="str">
        <f t="shared" si="109"/>
        <v/>
      </c>
      <c r="AB402" s="200"/>
      <c r="AC402" s="192"/>
    </row>
    <row r="403" spans="1:29" ht="11.4">
      <c r="A403" s="211" t="str">
        <f t="shared" si="110"/>
        <v/>
      </c>
      <c r="B403" s="211"/>
      <c r="C403" s="215"/>
      <c r="D403" s="213" t="str">
        <f t="shared" si="111"/>
        <v/>
      </c>
      <c r="E403" s="213" t="str">
        <f t="shared" si="119"/>
        <v/>
      </c>
      <c r="F403" s="214" t="str">
        <f t="shared" si="112"/>
        <v/>
      </c>
      <c r="G403" s="180"/>
      <c r="H403" s="181" t="str">
        <f t="shared" si="113"/>
        <v/>
      </c>
      <c r="I403" s="227"/>
      <c r="J403" s="227"/>
      <c r="K403" s="227"/>
      <c r="L403" s="227"/>
      <c r="M403" s="210" t="str">
        <f t="shared" si="118"/>
        <v/>
      </c>
      <c r="N403" s="210"/>
      <c r="O403" s="207"/>
      <c r="P403" s="182" t="str">
        <f t="shared" si="103"/>
        <v/>
      </c>
      <c r="Q403" s="183" t="str">
        <f t="shared" si="114"/>
        <v/>
      </c>
      <c r="R403" s="182" t="str">
        <f>IF(M403&lt;&gt;"",IF(#REF!*F403*10=0,"",#REF!*F403*10),"")</f>
        <v/>
      </c>
      <c r="S403" s="184" t="str">
        <f t="shared" si="115"/>
        <v/>
      </c>
      <c r="T403" s="185" t="str">
        <f t="shared" si="104"/>
        <v/>
      </c>
      <c r="U403" s="183" t="str">
        <f t="shared" si="116"/>
        <v/>
      </c>
      <c r="V403" s="186" t="str">
        <f t="shared" si="105"/>
        <v/>
      </c>
      <c r="W403" s="186" t="str">
        <f t="shared" si="106"/>
        <v/>
      </c>
      <c r="X403" s="187" t="str">
        <f t="shared" si="107"/>
        <v/>
      </c>
      <c r="Y403" s="182" t="str">
        <f t="shared" si="117"/>
        <v/>
      </c>
      <c r="Z403" s="209" t="str">
        <f t="shared" si="108"/>
        <v/>
      </c>
      <c r="AA403" s="209" t="str">
        <f t="shared" si="109"/>
        <v/>
      </c>
      <c r="AB403" s="200"/>
      <c r="AC403" s="192"/>
    </row>
    <row r="404" spans="1:29" ht="11.4">
      <c r="A404" s="211" t="str">
        <f t="shared" si="110"/>
        <v/>
      </c>
      <c r="B404" s="211"/>
      <c r="C404" s="215"/>
      <c r="D404" s="213" t="str">
        <f t="shared" si="111"/>
        <v/>
      </c>
      <c r="E404" s="213" t="str">
        <f t="shared" si="119"/>
        <v/>
      </c>
      <c r="F404" s="214" t="str">
        <f t="shared" si="112"/>
        <v/>
      </c>
      <c r="G404" s="180"/>
      <c r="H404" s="181" t="str">
        <f t="shared" si="113"/>
        <v/>
      </c>
      <c r="I404" s="227"/>
      <c r="J404" s="227"/>
      <c r="K404" s="227"/>
      <c r="L404" s="227"/>
      <c r="M404" s="210" t="str">
        <f t="shared" si="118"/>
        <v/>
      </c>
      <c r="N404" s="210"/>
      <c r="O404" s="207"/>
      <c r="P404" s="182" t="str">
        <f t="shared" si="103"/>
        <v/>
      </c>
      <c r="Q404" s="183" t="str">
        <f t="shared" si="114"/>
        <v/>
      </c>
      <c r="R404" s="182" t="str">
        <f>IF(M404&lt;&gt;"",IF(#REF!*F404*10=0,"",#REF!*F404*10),"")</f>
        <v/>
      </c>
      <c r="S404" s="184" t="str">
        <f t="shared" si="115"/>
        <v/>
      </c>
      <c r="T404" s="185" t="str">
        <f t="shared" si="104"/>
        <v/>
      </c>
      <c r="U404" s="183" t="str">
        <f t="shared" si="116"/>
        <v/>
      </c>
      <c r="V404" s="186" t="str">
        <f t="shared" si="105"/>
        <v/>
      </c>
      <c r="W404" s="186" t="str">
        <f t="shared" si="106"/>
        <v/>
      </c>
      <c r="X404" s="187" t="str">
        <f t="shared" si="107"/>
        <v/>
      </c>
      <c r="Y404" s="182" t="str">
        <f t="shared" si="117"/>
        <v/>
      </c>
      <c r="Z404" s="209" t="str">
        <f t="shared" si="108"/>
        <v/>
      </c>
      <c r="AA404" s="209" t="str">
        <f t="shared" si="109"/>
        <v/>
      </c>
      <c r="AB404" s="200"/>
      <c r="AC404" s="192"/>
    </row>
    <row r="405" spans="1:29" ht="11.4">
      <c r="A405" s="211" t="str">
        <f t="shared" si="110"/>
        <v/>
      </c>
      <c r="B405" s="211"/>
      <c r="C405" s="215"/>
      <c r="D405" s="213" t="str">
        <f t="shared" si="111"/>
        <v/>
      </c>
      <c r="E405" s="213" t="str">
        <f t="shared" si="119"/>
        <v/>
      </c>
      <c r="F405" s="214" t="str">
        <f t="shared" si="112"/>
        <v/>
      </c>
      <c r="G405" s="180"/>
      <c r="H405" s="181" t="str">
        <f t="shared" si="113"/>
        <v/>
      </c>
      <c r="I405" s="227"/>
      <c r="J405" s="227"/>
      <c r="K405" s="227"/>
      <c r="L405" s="227"/>
      <c r="M405" s="210" t="str">
        <f t="shared" si="118"/>
        <v/>
      </c>
      <c r="N405" s="210"/>
      <c r="O405" s="207"/>
      <c r="P405" s="182" t="str">
        <f t="shared" si="103"/>
        <v/>
      </c>
      <c r="Q405" s="183" t="str">
        <f t="shared" si="114"/>
        <v/>
      </c>
      <c r="R405" s="182" t="str">
        <f>IF(M405&lt;&gt;"",IF(#REF!*F405*10=0,"",#REF!*F405*10),"")</f>
        <v/>
      </c>
      <c r="S405" s="184" t="str">
        <f t="shared" si="115"/>
        <v/>
      </c>
      <c r="T405" s="185" t="str">
        <f t="shared" si="104"/>
        <v/>
      </c>
      <c r="U405" s="183" t="str">
        <f t="shared" si="116"/>
        <v/>
      </c>
      <c r="V405" s="186" t="str">
        <f t="shared" si="105"/>
        <v/>
      </c>
      <c r="W405" s="186" t="str">
        <f t="shared" si="106"/>
        <v/>
      </c>
      <c r="X405" s="187" t="str">
        <f t="shared" si="107"/>
        <v/>
      </c>
      <c r="Y405" s="182" t="str">
        <f t="shared" si="117"/>
        <v/>
      </c>
      <c r="Z405" s="209" t="str">
        <f t="shared" si="108"/>
        <v/>
      </c>
      <c r="AA405" s="209" t="str">
        <f t="shared" si="109"/>
        <v/>
      </c>
      <c r="AB405" s="200"/>
      <c r="AC405" s="192"/>
    </row>
    <row r="406" spans="1:29" ht="11.4">
      <c r="A406" s="211" t="str">
        <f t="shared" si="110"/>
        <v/>
      </c>
      <c r="B406" s="211"/>
      <c r="C406" s="215"/>
      <c r="D406" s="213" t="str">
        <f t="shared" si="111"/>
        <v/>
      </c>
      <c r="E406" s="213" t="str">
        <f t="shared" si="119"/>
        <v/>
      </c>
      <c r="F406" s="214" t="str">
        <f t="shared" si="112"/>
        <v/>
      </c>
      <c r="G406" s="180"/>
      <c r="H406" s="181" t="str">
        <f t="shared" si="113"/>
        <v/>
      </c>
      <c r="I406" s="227"/>
      <c r="J406" s="227"/>
      <c r="K406" s="227"/>
      <c r="L406" s="227"/>
      <c r="M406" s="210" t="str">
        <f t="shared" si="118"/>
        <v/>
      </c>
      <c r="N406" s="210"/>
      <c r="O406" s="207"/>
      <c r="P406" s="182" t="str">
        <f t="shared" si="103"/>
        <v/>
      </c>
      <c r="Q406" s="183" t="str">
        <f t="shared" si="114"/>
        <v/>
      </c>
      <c r="R406" s="182" t="str">
        <f>IF(M406&lt;&gt;"",IF(#REF!*F406*10=0,"",#REF!*F406*10),"")</f>
        <v/>
      </c>
      <c r="S406" s="184" t="str">
        <f t="shared" si="115"/>
        <v/>
      </c>
      <c r="T406" s="185" t="str">
        <f t="shared" si="104"/>
        <v/>
      </c>
      <c r="U406" s="183" t="str">
        <f t="shared" si="116"/>
        <v/>
      </c>
      <c r="V406" s="186" t="str">
        <f t="shared" si="105"/>
        <v/>
      </c>
      <c r="W406" s="186" t="str">
        <f t="shared" si="106"/>
        <v/>
      </c>
      <c r="X406" s="187" t="str">
        <f t="shared" si="107"/>
        <v/>
      </c>
      <c r="Y406" s="182" t="str">
        <f t="shared" si="117"/>
        <v/>
      </c>
      <c r="Z406" s="209" t="str">
        <f t="shared" si="108"/>
        <v/>
      </c>
      <c r="AA406" s="209" t="str">
        <f t="shared" si="109"/>
        <v/>
      </c>
      <c r="AB406" s="200"/>
      <c r="AC406" s="192"/>
    </row>
    <row r="407" spans="1:29" ht="11.4">
      <c r="A407" s="211" t="str">
        <f t="shared" si="110"/>
        <v/>
      </c>
      <c r="B407" s="211"/>
      <c r="C407" s="215"/>
      <c r="D407" s="213" t="str">
        <f t="shared" si="111"/>
        <v/>
      </c>
      <c r="E407" s="213" t="str">
        <f t="shared" si="119"/>
        <v/>
      </c>
      <c r="F407" s="214" t="str">
        <f t="shared" si="112"/>
        <v/>
      </c>
      <c r="G407" s="180"/>
      <c r="H407" s="181" t="str">
        <f t="shared" si="113"/>
        <v/>
      </c>
      <c r="I407" s="227"/>
      <c r="J407" s="227"/>
      <c r="K407" s="227"/>
      <c r="L407" s="227"/>
      <c r="M407" s="210" t="str">
        <f t="shared" si="118"/>
        <v/>
      </c>
      <c r="N407" s="210"/>
      <c r="O407" s="207"/>
      <c r="P407" s="182" t="str">
        <f t="shared" si="103"/>
        <v/>
      </c>
      <c r="Q407" s="183" t="str">
        <f t="shared" si="114"/>
        <v/>
      </c>
      <c r="R407" s="182" t="str">
        <f>IF(M407&lt;&gt;"",IF(#REF!*F407*10=0,"",#REF!*F407*10),"")</f>
        <v/>
      </c>
      <c r="S407" s="184" t="str">
        <f t="shared" si="115"/>
        <v/>
      </c>
      <c r="T407" s="185" t="str">
        <f t="shared" si="104"/>
        <v/>
      </c>
      <c r="U407" s="183" t="str">
        <f t="shared" si="116"/>
        <v/>
      </c>
      <c r="V407" s="186" t="str">
        <f t="shared" si="105"/>
        <v/>
      </c>
      <c r="W407" s="186" t="str">
        <f t="shared" si="106"/>
        <v/>
      </c>
      <c r="X407" s="187" t="str">
        <f t="shared" si="107"/>
        <v/>
      </c>
      <c r="Y407" s="182" t="str">
        <f t="shared" si="117"/>
        <v/>
      </c>
      <c r="Z407" s="209" t="str">
        <f t="shared" si="108"/>
        <v/>
      </c>
      <c r="AA407" s="209" t="str">
        <f t="shared" si="109"/>
        <v/>
      </c>
      <c r="AB407" s="200"/>
      <c r="AC407" s="192"/>
    </row>
    <row r="408" spans="1:29" ht="11.4">
      <c r="A408" s="211" t="str">
        <f t="shared" si="110"/>
        <v/>
      </c>
      <c r="B408" s="211"/>
      <c r="C408" s="215"/>
      <c r="D408" s="213" t="str">
        <f t="shared" si="111"/>
        <v/>
      </c>
      <c r="E408" s="213" t="str">
        <f t="shared" si="119"/>
        <v/>
      </c>
      <c r="F408" s="214" t="str">
        <f t="shared" si="112"/>
        <v/>
      </c>
      <c r="G408" s="180"/>
      <c r="H408" s="181" t="str">
        <f t="shared" si="113"/>
        <v/>
      </c>
      <c r="I408" s="227"/>
      <c r="J408" s="227"/>
      <c r="K408" s="227"/>
      <c r="L408" s="227"/>
      <c r="M408" s="210" t="str">
        <f t="shared" si="118"/>
        <v/>
      </c>
      <c r="N408" s="210"/>
      <c r="O408" s="207"/>
      <c r="P408" s="182" t="str">
        <f t="shared" si="103"/>
        <v/>
      </c>
      <c r="Q408" s="183" t="str">
        <f t="shared" si="114"/>
        <v/>
      </c>
      <c r="R408" s="182" t="str">
        <f>IF(M408&lt;&gt;"",IF(#REF!*F408*10=0,"",#REF!*F408*10),"")</f>
        <v/>
      </c>
      <c r="S408" s="184" t="str">
        <f t="shared" si="115"/>
        <v/>
      </c>
      <c r="T408" s="185" t="str">
        <f t="shared" si="104"/>
        <v/>
      </c>
      <c r="U408" s="183" t="str">
        <f t="shared" si="116"/>
        <v/>
      </c>
      <c r="V408" s="186" t="str">
        <f t="shared" si="105"/>
        <v/>
      </c>
      <c r="W408" s="186" t="str">
        <f t="shared" si="106"/>
        <v/>
      </c>
      <c r="X408" s="187" t="str">
        <f t="shared" si="107"/>
        <v/>
      </c>
      <c r="Y408" s="182" t="str">
        <f t="shared" si="117"/>
        <v/>
      </c>
      <c r="Z408" s="209" t="str">
        <f t="shared" si="108"/>
        <v/>
      </c>
      <c r="AA408" s="209" t="str">
        <f t="shared" si="109"/>
        <v/>
      </c>
      <c r="AB408" s="200"/>
      <c r="AC408" s="192"/>
    </row>
    <row r="409" spans="1:29" ht="11.4">
      <c r="A409" s="211" t="str">
        <f t="shared" si="110"/>
        <v/>
      </c>
      <c r="B409" s="211"/>
      <c r="C409" s="215"/>
      <c r="D409" s="213" t="str">
        <f t="shared" si="111"/>
        <v/>
      </c>
      <c r="E409" s="213" t="str">
        <f t="shared" si="119"/>
        <v/>
      </c>
      <c r="F409" s="214" t="str">
        <f t="shared" si="112"/>
        <v/>
      </c>
      <c r="G409" s="180"/>
      <c r="H409" s="181" t="str">
        <f t="shared" si="113"/>
        <v/>
      </c>
      <c r="I409" s="227"/>
      <c r="J409" s="227"/>
      <c r="K409" s="227"/>
      <c r="L409" s="227"/>
      <c r="M409" s="210" t="str">
        <f t="shared" si="118"/>
        <v/>
      </c>
      <c r="N409" s="210"/>
      <c r="O409" s="207"/>
      <c r="P409" s="182" t="str">
        <f t="shared" si="103"/>
        <v/>
      </c>
      <c r="Q409" s="183" t="str">
        <f t="shared" si="114"/>
        <v/>
      </c>
      <c r="R409" s="182" t="str">
        <f>IF(M409&lt;&gt;"",IF(#REF!*F409*10=0,"",#REF!*F409*10),"")</f>
        <v/>
      </c>
      <c r="S409" s="184" t="str">
        <f t="shared" si="115"/>
        <v/>
      </c>
      <c r="T409" s="185" t="str">
        <f t="shared" si="104"/>
        <v/>
      </c>
      <c r="U409" s="183" t="str">
        <f t="shared" si="116"/>
        <v/>
      </c>
      <c r="V409" s="186" t="str">
        <f t="shared" si="105"/>
        <v/>
      </c>
      <c r="W409" s="186" t="str">
        <f t="shared" si="106"/>
        <v/>
      </c>
      <c r="X409" s="187" t="str">
        <f t="shared" si="107"/>
        <v/>
      </c>
      <c r="Y409" s="182" t="str">
        <f t="shared" si="117"/>
        <v/>
      </c>
      <c r="Z409" s="209" t="str">
        <f t="shared" si="108"/>
        <v/>
      </c>
      <c r="AA409" s="209" t="str">
        <f t="shared" si="109"/>
        <v/>
      </c>
      <c r="AB409" s="200"/>
      <c r="AC409" s="192"/>
    </row>
    <row r="410" spans="1:29" ht="11.4">
      <c r="A410" s="211" t="str">
        <f t="shared" si="110"/>
        <v/>
      </c>
      <c r="B410" s="211"/>
      <c r="C410" s="215"/>
      <c r="D410" s="213" t="str">
        <f t="shared" si="111"/>
        <v/>
      </c>
      <c r="E410" s="213" t="str">
        <f t="shared" si="119"/>
        <v/>
      </c>
      <c r="F410" s="214" t="str">
        <f t="shared" si="112"/>
        <v/>
      </c>
      <c r="G410" s="180"/>
      <c r="H410" s="181" t="str">
        <f t="shared" si="113"/>
        <v/>
      </c>
      <c r="I410" s="227"/>
      <c r="J410" s="227"/>
      <c r="K410" s="227"/>
      <c r="L410" s="227"/>
      <c r="M410" s="210" t="str">
        <f t="shared" si="118"/>
        <v/>
      </c>
      <c r="N410" s="210"/>
      <c r="O410" s="207"/>
      <c r="P410" s="182" t="str">
        <f t="shared" si="103"/>
        <v/>
      </c>
      <c r="Q410" s="183" t="str">
        <f t="shared" si="114"/>
        <v/>
      </c>
      <c r="R410" s="182" t="str">
        <f>IF(M410&lt;&gt;"",IF(#REF!*F410*10=0,"",#REF!*F410*10),"")</f>
        <v/>
      </c>
      <c r="S410" s="184" t="str">
        <f t="shared" si="115"/>
        <v/>
      </c>
      <c r="T410" s="185" t="str">
        <f t="shared" si="104"/>
        <v/>
      </c>
      <c r="U410" s="183" t="str">
        <f t="shared" si="116"/>
        <v/>
      </c>
      <c r="V410" s="186" t="str">
        <f t="shared" si="105"/>
        <v/>
      </c>
      <c r="W410" s="186" t="str">
        <f t="shared" si="106"/>
        <v/>
      </c>
      <c r="X410" s="187" t="str">
        <f t="shared" si="107"/>
        <v/>
      </c>
      <c r="Y410" s="182" t="str">
        <f t="shared" si="117"/>
        <v/>
      </c>
      <c r="Z410" s="209" t="str">
        <f t="shared" si="108"/>
        <v/>
      </c>
      <c r="AA410" s="209" t="str">
        <f t="shared" si="109"/>
        <v/>
      </c>
      <c r="AB410" s="200"/>
      <c r="AC410" s="192"/>
    </row>
    <row r="411" spans="1:29" ht="11.4">
      <c r="A411" s="211" t="str">
        <f t="shared" si="110"/>
        <v/>
      </c>
      <c r="B411" s="211"/>
      <c r="C411" s="215"/>
      <c r="D411" s="213" t="str">
        <f t="shared" si="111"/>
        <v/>
      </c>
      <c r="E411" s="213" t="str">
        <f t="shared" si="119"/>
        <v/>
      </c>
      <c r="F411" s="214" t="str">
        <f t="shared" si="112"/>
        <v/>
      </c>
      <c r="G411" s="180"/>
      <c r="H411" s="181" t="str">
        <f t="shared" si="113"/>
        <v/>
      </c>
      <c r="I411" s="227"/>
      <c r="J411" s="227"/>
      <c r="K411" s="227"/>
      <c r="L411" s="227"/>
      <c r="M411" s="210" t="str">
        <f t="shared" si="118"/>
        <v/>
      </c>
      <c r="N411" s="210"/>
      <c r="O411" s="207"/>
      <c r="P411" s="182" t="str">
        <f t="shared" si="103"/>
        <v/>
      </c>
      <c r="Q411" s="183" t="str">
        <f t="shared" si="114"/>
        <v/>
      </c>
      <c r="R411" s="182" t="str">
        <f>IF(M411&lt;&gt;"",IF(#REF!*F411*10=0,"",#REF!*F411*10),"")</f>
        <v/>
      </c>
      <c r="S411" s="184" t="str">
        <f t="shared" si="115"/>
        <v/>
      </c>
      <c r="T411" s="185" t="str">
        <f t="shared" si="104"/>
        <v/>
      </c>
      <c r="U411" s="183" t="str">
        <f t="shared" si="116"/>
        <v/>
      </c>
      <c r="V411" s="186" t="str">
        <f t="shared" si="105"/>
        <v/>
      </c>
      <c r="W411" s="186" t="str">
        <f t="shared" si="106"/>
        <v/>
      </c>
      <c r="X411" s="187" t="str">
        <f t="shared" si="107"/>
        <v/>
      </c>
      <c r="Y411" s="182" t="str">
        <f t="shared" si="117"/>
        <v/>
      </c>
      <c r="Z411" s="209" t="str">
        <f t="shared" si="108"/>
        <v/>
      </c>
      <c r="AA411" s="209" t="str">
        <f t="shared" si="109"/>
        <v/>
      </c>
      <c r="AB411" s="200"/>
      <c r="AC411" s="192"/>
    </row>
    <row r="412" spans="1:29" ht="11.4">
      <c r="A412" s="211" t="str">
        <f t="shared" si="110"/>
        <v/>
      </c>
      <c r="B412" s="211"/>
      <c r="C412" s="215"/>
      <c r="D412" s="213" t="str">
        <f t="shared" si="111"/>
        <v/>
      </c>
      <c r="E412" s="213" t="str">
        <f t="shared" si="119"/>
        <v/>
      </c>
      <c r="F412" s="214" t="str">
        <f t="shared" si="112"/>
        <v/>
      </c>
      <c r="G412" s="180"/>
      <c r="H412" s="181" t="str">
        <f t="shared" si="113"/>
        <v/>
      </c>
      <c r="I412" s="227"/>
      <c r="J412" s="227"/>
      <c r="K412" s="227"/>
      <c r="L412" s="227"/>
      <c r="M412" s="210" t="str">
        <f t="shared" si="118"/>
        <v/>
      </c>
      <c r="N412" s="210"/>
      <c r="O412" s="207"/>
      <c r="P412" s="182" t="str">
        <f t="shared" si="103"/>
        <v/>
      </c>
      <c r="Q412" s="183" t="str">
        <f t="shared" si="114"/>
        <v/>
      </c>
      <c r="R412" s="182" t="str">
        <f>IF(M412&lt;&gt;"",IF(#REF!*F412*10=0,"",#REF!*F412*10),"")</f>
        <v/>
      </c>
      <c r="S412" s="184" t="str">
        <f t="shared" si="115"/>
        <v/>
      </c>
      <c r="T412" s="185" t="str">
        <f t="shared" si="104"/>
        <v/>
      </c>
      <c r="U412" s="183" t="str">
        <f t="shared" si="116"/>
        <v/>
      </c>
      <c r="V412" s="186" t="str">
        <f t="shared" si="105"/>
        <v/>
      </c>
      <c r="W412" s="186" t="str">
        <f t="shared" si="106"/>
        <v/>
      </c>
      <c r="X412" s="187" t="str">
        <f t="shared" si="107"/>
        <v/>
      </c>
      <c r="Y412" s="182" t="str">
        <f t="shared" si="117"/>
        <v/>
      </c>
      <c r="Z412" s="209" t="str">
        <f t="shared" si="108"/>
        <v/>
      </c>
      <c r="AA412" s="209" t="str">
        <f t="shared" si="109"/>
        <v/>
      </c>
      <c r="AB412" s="200"/>
      <c r="AC412" s="192"/>
    </row>
    <row r="413" spans="1:29" ht="11.4">
      <c r="A413" s="211" t="str">
        <f t="shared" si="110"/>
        <v/>
      </c>
      <c r="B413" s="211"/>
      <c r="C413" s="215"/>
      <c r="D413" s="213" t="str">
        <f t="shared" si="111"/>
        <v/>
      </c>
      <c r="E413" s="213" t="str">
        <f t="shared" si="119"/>
        <v/>
      </c>
      <c r="F413" s="214" t="str">
        <f t="shared" si="112"/>
        <v/>
      </c>
      <c r="G413" s="180"/>
      <c r="H413" s="181" t="str">
        <f t="shared" si="113"/>
        <v/>
      </c>
      <c r="I413" s="227"/>
      <c r="J413" s="227"/>
      <c r="K413" s="227"/>
      <c r="L413" s="227"/>
      <c r="M413" s="210" t="str">
        <f t="shared" si="118"/>
        <v/>
      </c>
      <c r="N413" s="210"/>
      <c r="O413" s="207"/>
      <c r="P413" s="182" t="str">
        <f t="shared" si="103"/>
        <v/>
      </c>
      <c r="Q413" s="183" t="str">
        <f t="shared" si="114"/>
        <v/>
      </c>
      <c r="R413" s="182" t="str">
        <f>IF(M413&lt;&gt;"",IF(#REF!*F413*10=0,"",#REF!*F413*10),"")</f>
        <v/>
      </c>
      <c r="S413" s="184" t="str">
        <f t="shared" si="115"/>
        <v/>
      </c>
      <c r="T413" s="185" t="str">
        <f t="shared" si="104"/>
        <v/>
      </c>
      <c r="U413" s="183" t="str">
        <f t="shared" si="116"/>
        <v/>
      </c>
      <c r="V413" s="186" t="str">
        <f t="shared" si="105"/>
        <v/>
      </c>
      <c r="W413" s="186" t="str">
        <f t="shared" si="106"/>
        <v/>
      </c>
      <c r="X413" s="187" t="str">
        <f t="shared" si="107"/>
        <v/>
      </c>
      <c r="Y413" s="182" t="str">
        <f t="shared" si="117"/>
        <v/>
      </c>
      <c r="Z413" s="209" t="str">
        <f t="shared" si="108"/>
        <v/>
      </c>
      <c r="AA413" s="209" t="str">
        <f t="shared" si="109"/>
        <v/>
      </c>
      <c r="AB413" s="200"/>
      <c r="AC413" s="192"/>
    </row>
    <row r="414" spans="1:29" ht="11.4">
      <c r="A414" s="211" t="str">
        <f t="shared" si="110"/>
        <v/>
      </c>
      <c r="B414" s="211"/>
      <c r="C414" s="215"/>
      <c r="D414" s="213" t="str">
        <f t="shared" si="111"/>
        <v/>
      </c>
      <c r="E414" s="213" t="str">
        <f t="shared" si="119"/>
        <v/>
      </c>
      <c r="F414" s="214" t="str">
        <f t="shared" si="112"/>
        <v/>
      </c>
      <c r="G414" s="180"/>
      <c r="H414" s="181" t="str">
        <f t="shared" si="113"/>
        <v/>
      </c>
      <c r="I414" s="227"/>
      <c r="J414" s="227"/>
      <c r="K414" s="227"/>
      <c r="L414" s="227"/>
      <c r="M414" s="210" t="str">
        <f t="shared" si="118"/>
        <v/>
      </c>
      <c r="N414" s="210"/>
      <c r="O414" s="207"/>
      <c r="P414" s="182" t="str">
        <f t="shared" si="103"/>
        <v/>
      </c>
      <c r="Q414" s="183" t="str">
        <f t="shared" si="114"/>
        <v/>
      </c>
      <c r="R414" s="182" t="str">
        <f>IF(M414&lt;&gt;"",IF(#REF!*F414*10=0,"",#REF!*F414*10),"")</f>
        <v/>
      </c>
      <c r="S414" s="184" t="str">
        <f t="shared" si="115"/>
        <v/>
      </c>
      <c r="T414" s="185" t="str">
        <f t="shared" si="104"/>
        <v/>
      </c>
      <c r="U414" s="183" t="str">
        <f t="shared" si="116"/>
        <v/>
      </c>
      <c r="V414" s="186" t="str">
        <f t="shared" si="105"/>
        <v/>
      </c>
      <c r="W414" s="186" t="str">
        <f t="shared" si="106"/>
        <v/>
      </c>
      <c r="X414" s="187" t="str">
        <f t="shared" si="107"/>
        <v/>
      </c>
      <c r="Y414" s="182" t="str">
        <f t="shared" si="117"/>
        <v/>
      </c>
      <c r="Z414" s="209" t="str">
        <f t="shared" si="108"/>
        <v/>
      </c>
      <c r="AA414" s="209" t="str">
        <f t="shared" si="109"/>
        <v/>
      </c>
      <c r="AB414" s="200"/>
      <c r="AC414" s="192"/>
    </row>
    <row r="415" spans="1:29" ht="11.4">
      <c r="A415" s="211" t="str">
        <f t="shared" si="110"/>
        <v/>
      </c>
      <c r="B415" s="211"/>
      <c r="C415" s="215"/>
      <c r="D415" s="213" t="str">
        <f t="shared" si="111"/>
        <v/>
      </c>
      <c r="E415" s="213" t="str">
        <f t="shared" si="119"/>
        <v/>
      </c>
      <c r="F415" s="214" t="str">
        <f t="shared" si="112"/>
        <v/>
      </c>
      <c r="G415" s="180"/>
      <c r="H415" s="181" t="str">
        <f t="shared" si="113"/>
        <v/>
      </c>
      <c r="I415" s="227"/>
      <c r="J415" s="227"/>
      <c r="K415" s="227"/>
      <c r="L415" s="227"/>
      <c r="M415" s="210" t="str">
        <f t="shared" si="118"/>
        <v/>
      </c>
      <c r="N415" s="210"/>
      <c r="O415" s="207"/>
      <c r="P415" s="182" t="str">
        <f t="shared" si="103"/>
        <v/>
      </c>
      <c r="Q415" s="183" t="str">
        <f t="shared" si="114"/>
        <v/>
      </c>
      <c r="R415" s="182" t="str">
        <f>IF(M415&lt;&gt;"",IF(#REF!*F415*10=0,"",#REF!*F415*10),"")</f>
        <v/>
      </c>
      <c r="S415" s="184" t="str">
        <f t="shared" si="115"/>
        <v/>
      </c>
      <c r="T415" s="185" t="str">
        <f t="shared" si="104"/>
        <v/>
      </c>
      <c r="U415" s="183" t="str">
        <f t="shared" si="116"/>
        <v/>
      </c>
      <c r="V415" s="186" t="str">
        <f t="shared" si="105"/>
        <v/>
      </c>
      <c r="W415" s="186" t="str">
        <f t="shared" si="106"/>
        <v/>
      </c>
      <c r="X415" s="187" t="str">
        <f t="shared" si="107"/>
        <v/>
      </c>
      <c r="Y415" s="182" t="str">
        <f t="shared" si="117"/>
        <v/>
      </c>
      <c r="Z415" s="209" t="str">
        <f t="shared" si="108"/>
        <v/>
      </c>
      <c r="AA415" s="209" t="str">
        <f t="shared" si="109"/>
        <v/>
      </c>
      <c r="AB415" s="200"/>
      <c r="AC415" s="192"/>
    </row>
    <row r="416" spans="1:29" ht="11.4">
      <c r="A416" s="211" t="str">
        <f t="shared" si="110"/>
        <v/>
      </c>
      <c r="B416" s="211"/>
      <c r="C416" s="215"/>
      <c r="D416" s="213" t="str">
        <f t="shared" si="111"/>
        <v/>
      </c>
      <c r="E416" s="213" t="str">
        <f t="shared" si="119"/>
        <v/>
      </c>
      <c r="F416" s="214" t="str">
        <f t="shared" si="112"/>
        <v/>
      </c>
      <c r="G416" s="180"/>
      <c r="H416" s="181" t="str">
        <f t="shared" si="113"/>
        <v/>
      </c>
      <c r="I416" s="227"/>
      <c r="J416" s="227"/>
      <c r="K416" s="227"/>
      <c r="L416" s="227"/>
      <c r="M416" s="210" t="str">
        <f t="shared" si="118"/>
        <v/>
      </c>
      <c r="N416" s="210"/>
      <c r="O416" s="207"/>
      <c r="P416" s="182" t="str">
        <f t="shared" si="103"/>
        <v/>
      </c>
      <c r="Q416" s="183" t="str">
        <f t="shared" si="114"/>
        <v/>
      </c>
      <c r="R416" s="182" t="str">
        <f>IF(M416&lt;&gt;"",IF(#REF!*F416*10=0,"",#REF!*F416*10),"")</f>
        <v/>
      </c>
      <c r="S416" s="184" t="str">
        <f t="shared" si="115"/>
        <v/>
      </c>
      <c r="T416" s="185" t="str">
        <f t="shared" si="104"/>
        <v/>
      </c>
      <c r="U416" s="183" t="str">
        <f t="shared" si="116"/>
        <v/>
      </c>
      <c r="V416" s="186" t="str">
        <f t="shared" si="105"/>
        <v/>
      </c>
      <c r="W416" s="186" t="str">
        <f t="shared" si="106"/>
        <v/>
      </c>
      <c r="X416" s="187" t="str">
        <f t="shared" si="107"/>
        <v/>
      </c>
      <c r="Y416" s="182" t="str">
        <f t="shared" si="117"/>
        <v/>
      </c>
      <c r="Z416" s="209" t="str">
        <f t="shared" si="108"/>
        <v/>
      </c>
      <c r="AA416" s="209" t="str">
        <f t="shared" si="109"/>
        <v/>
      </c>
      <c r="AB416" s="200"/>
      <c r="AC416" s="192"/>
    </row>
    <row r="417" spans="1:29" ht="11.4">
      <c r="A417" s="211" t="str">
        <f t="shared" si="110"/>
        <v/>
      </c>
      <c r="B417" s="211"/>
      <c r="C417" s="215"/>
      <c r="D417" s="213" t="str">
        <f t="shared" si="111"/>
        <v/>
      </c>
      <c r="E417" s="213" t="str">
        <f t="shared" si="119"/>
        <v/>
      </c>
      <c r="F417" s="214" t="str">
        <f t="shared" si="112"/>
        <v/>
      </c>
      <c r="G417" s="180"/>
      <c r="H417" s="181" t="str">
        <f t="shared" si="113"/>
        <v/>
      </c>
      <c r="I417" s="227"/>
      <c r="J417" s="227"/>
      <c r="K417" s="227"/>
      <c r="L417" s="227"/>
      <c r="M417" s="210" t="str">
        <f t="shared" si="118"/>
        <v/>
      </c>
      <c r="N417" s="210"/>
      <c r="O417" s="207"/>
      <c r="P417" s="182" t="str">
        <f t="shared" si="103"/>
        <v/>
      </c>
      <c r="Q417" s="183" t="str">
        <f t="shared" si="114"/>
        <v/>
      </c>
      <c r="R417" s="182" t="str">
        <f>IF(M417&lt;&gt;"",IF(#REF!*F417*10=0,"",#REF!*F417*10),"")</f>
        <v/>
      </c>
      <c r="S417" s="184" t="str">
        <f t="shared" si="115"/>
        <v/>
      </c>
      <c r="T417" s="185" t="str">
        <f t="shared" si="104"/>
        <v/>
      </c>
      <c r="U417" s="183" t="str">
        <f t="shared" si="116"/>
        <v/>
      </c>
      <c r="V417" s="186" t="str">
        <f t="shared" si="105"/>
        <v/>
      </c>
      <c r="W417" s="186" t="str">
        <f t="shared" si="106"/>
        <v/>
      </c>
      <c r="X417" s="187" t="str">
        <f t="shared" si="107"/>
        <v/>
      </c>
      <c r="Y417" s="182" t="str">
        <f t="shared" si="117"/>
        <v/>
      </c>
      <c r="Z417" s="209" t="str">
        <f t="shared" si="108"/>
        <v/>
      </c>
      <c r="AA417" s="209" t="str">
        <f t="shared" si="109"/>
        <v/>
      </c>
      <c r="AB417" s="200"/>
      <c r="AC417" s="192"/>
    </row>
    <row r="418" spans="1:29" ht="11.4">
      <c r="A418" s="211" t="str">
        <f t="shared" si="110"/>
        <v/>
      </c>
      <c r="B418" s="211"/>
      <c r="C418" s="215"/>
      <c r="D418" s="213" t="str">
        <f t="shared" si="111"/>
        <v/>
      </c>
      <c r="E418" s="213" t="str">
        <f t="shared" si="119"/>
        <v/>
      </c>
      <c r="F418" s="214" t="str">
        <f t="shared" si="112"/>
        <v/>
      </c>
      <c r="G418" s="180"/>
      <c r="H418" s="181" t="str">
        <f t="shared" si="113"/>
        <v/>
      </c>
      <c r="I418" s="227"/>
      <c r="J418" s="227"/>
      <c r="K418" s="227"/>
      <c r="L418" s="227"/>
      <c r="M418" s="210" t="str">
        <f t="shared" si="118"/>
        <v/>
      </c>
      <c r="N418" s="210"/>
      <c r="O418" s="207"/>
      <c r="P418" s="182" t="str">
        <f t="shared" si="103"/>
        <v/>
      </c>
      <c r="Q418" s="183" t="str">
        <f t="shared" si="114"/>
        <v/>
      </c>
      <c r="R418" s="182" t="str">
        <f>IF(M418&lt;&gt;"",IF(#REF!*F418*10=0,"",#REF!*F418*10),"")</f>
        <v/>
      </c>
      <c r="S418" s="184" t="str">
        <f t="shared" si="115"/>
        <v/>
      </c>
      <c r="T418" s="185" t="str">
        <f t="shared" si="104"/>
        <v/>
      </c>
      <c r="U418" s="183" t="str">
        <f t="shared" si="116"/>
        <v/>
      </c>
      <c r="V418" s="186" t="str">
        <f t="shared" si="105"/>
        <v/>
      </c>
      <c r="W418" s="186" t="str">
        <f t="shared" si="106"/>
        <v/>
      </c>
      <c r="X418" s="187" t="str">
        <f t="shared" si="107"/>
        <v/>
      </c>
      <c r="Y418" s="182" t="str">
        <f t="shared" si="117"/>
        <v/>
      </c>
      <c r="Z418" s="209" t="str">
        <f t="shared" si="108"/>
        <v/>
      </c>
      <c r="AA418" s="209" t="str">
        <f t="shared" si="109"/>
        <v/>
      </c>
      <c r="AB418" s="200"/>
      <c r="AC418" s="192"/>
    </row>
    <row r="419" spans="1:29" ht="11.4">
      <c r="A419" s="211" t="str">
        <f t="shared" si="110"/>
        <v/>
      </c>
      <c r="B419" s="211"/>
      <c r="C419" s="215"/>
      <c r="D419" s="213" t="str">
        <f t="shared" si="111"/>
        <v/>
      </c>
      <c r="E419" s="213" t="str">
        <f t="shared" si="119"/>
        <v/>
      </c>
      <c r="F419" s="214" t="str">
        <f t="shared" si="112"/>
        <v/>
      </c>
      <c r="G419" s="180"/>
      <c r="H419" s="181" t="str">
        <f t="shared" si="113"/>
        <v/>
      </c>
      <c r="I419" s="227"/>
      <c r="J419" s="227"/>
      <c r="K419" s="227"/>
      <c r="L419" s="227"/>
      <c r="M419" s="210" t="str">
        <f t="shared" si="118"/>
        <v/>
      </c>
      <c r="N419" s="210"/>
      <c r="O419" s="207"/>
      <c r="P419" s="182" t="str">
        <f t="shared" si="103"/>
        <v/>
      </c>
      <c r="Q419" s="183" t="str">
        <f t="shared" si="114"/>
        <v/>
      </c>
      <c r="R419" s="182" t="str">
        <f>IF(M419&lt;&gt;"",IF(#REF!*F419*10=0,"",#REF!*F419*10),"")</f>
        <v/>
      </c>
      <c r="S419" s="184" t="str">
        <f t="shared" si="115"/>
        <v/>
      </c>
      <c r="T419" s="185" t="str">
        <f t="shared" si="104"/>
        <v/>
      </c>
      <c r="U419" s="183" t="str">
        <f t="shared" si="116"/>
        <v/>
      </c>
      <c r="V419" s="186" t="str">
        <f t="shared" si="105"/>
        <v/>
      </c>
      <c r="W419" s="186" t="str">
        <f t="shared" si="106"/>
        <v/>
      </c>
      <c r="X419" s="187" t="str">
        <f t="shared" si="107"/>
        <v/>
      </c>
      <c r="Y419" s="182" t="str">
        <f t="shared" si="117"/>
        <v/>
      </c>
      <c r="Z419" s="209" t="str">
        <f t="shared" si="108"/>
        <v/>
      </c>
      <c r="AA419" s="209" t="str">
        <f t="shared" si="109"/>
        <v/>
      </c>
      <c r="AB419" s="200"/>
      <c r="AC419" s="192"/>
    </row>
    <row r="420" spans="1:29" ht="11.4">
      <c r="A420" s="211" t="str">
        <f t="shared" si="110"/>
        <v/>
      </c>
      <c r="B420" s="211"/>
      <c r="C420" s="215"/>
      <c r="D420" s="213" t="str">
        <f t="shared" si="111"/>
        <v/>
      </c>
      <c r="E420" s="213" t="str">
        <f t="shared" si="119"/>
        <v/>
      </c>
      <c r="F420" s="214" t="str">
        <f t="shared" si="112"/>
        <v/>
      </c>
      <c r="G420" s="180"/>
      <c r="H420" s="181" t="str">
        <f t="shared" si="113"/>
        <v/>
      </c>
      <c r="I420" s="227"/>
      <c r="J420" s="227"/>
      <c r="K420" s="227"/>
      <c r="L420" s="227"/>
      <c r="M420" s="210" t="str">
        <f t="shared" si="118"/>
        <v/>
      </c>
      <c r="N420" s="210"/>
      <c r="O420" s="207"/>
      <c r="P420" s="182" t="str">
        <f t="shared" si="103"/>
        <v/>
      </c>
      <c r="Q420" s="183" t="str">
        <f t="shared" si="114"/>
        <v/>
      </c>
      <c r="R420" s="182" t="str">
        <f>IF(M420&lt;&gt;"",IF(#REF!*F420*10=0,"",#REF!*F420*10),"")</f>
        <v/>
      </c>
      <c r="S420" s="184" t="str">
        <f t="shared" si="115"/>
        <v/>
      </c>
      <c r="T420" s="185" t="str">
        <f t="shared" si="104"/>
        <v/>
      </c>
      <c r="U420" s="183" t="str">
        <f t="shared" si="116"/>
        <v/>
      </c>
      <c r="V420" s="186" t="str">
        <f t="shared" si="105"/>
        <v/>
      </c>
      <c r="W420" s="186" t="str">
        <f t="shared" si="106"/>
        <v/>
      </c>
      <c r="X420" s="187" t="str">
        <f t="shared" si="107"/>
        <v/>
      </c>
      <c r="Y420" s="182" t="str">
        <f t="shared" si="117"/>
        <v/>
      </c>
      <c r="Z420" s="209" t="str">
        <f t="shared" si="108"/>
        <v/>
      </c>
      <c r="AA420" s="209" t="str">
        <f t="shared" si="109"/>
        <v/>
      </c>
      <c r="AB420" s="200"/>
      <c r="AC420" s="192"/>
    </row>
    <row r="421" spans="1:29" ht="11.4">
      <c r="A421" s="211" t="str">
        <f t="shared" si="110"/>
        <v/>
      </c>
      <c r="B421" s="211"/>
      <c r="C421" s="215"/>
      <c r="D421" s="213" t="str">
        <f t="shared" si="111"/>
        <v/>
      </c>
      <c r="E421" s="213" t="str">
        <f t="shared" si="119"/>
        <v/>
      </c>
      <c r="F421" s="214" t="str">
        <f t="shared" si="112"/>
        <v/>
      </c>
      <c r="G421" s="180"/>
      <c r="H421" s="181" t="str">
        <f t="shared" si="113"/>
        <v/>
      </c>
      <c r="I421" s="227"/>
      <c r="J421" s="227"/>
      <c r="K421" s="227"/>
      <c r="L421" s="227"/>
      <c r="M421" s="210" t="str">
        <f t="shared" si="118"/>
        <v/>
      </c>
      <c r="N421" s="210"/>
      <c r="O421" s="207"/>
      <c r="P421" s="182" t="str">
        <f t="shared" si="103"/>
        <v/>
      </c>
      <c r="Q421" s="183" t="str">
        <f t="shared" si="114"/>
        <v/>
      </c>
      <c r="R421" s="182" t="str">
        <f>IF(M421&lt;&gt;"",IF(#REF!*F421*10=0,"",#REF!*F421*10),"")</f>
        <v/>
      </c>
      <c r="S421" s="184" t="str">
        <f t="shared" si="115"/>
        <v/>
      </c>
      <c r="T421" s="185" t="str">
        <f t="shared" si="104"/>
        <v/>
      </c>
      <c r="U421" s="183" t="str">
        <f t="shared" si="116"/>
        <v/>
      </c>
      <c r="V421" s="186" t="str">
        <f t="shared" si="105"/>
        <v/>
      </c>
      <c r="W421" s="186" t="str">
        <f t="shared" si="106"/>
        <v/>
      </c>
      <c r="X421" s="187" t="str">
        <f t="shared" si="107"/>
        <v/>
      </c>
      <c r="Y421" s="182" t="str">
        <f t="shared" si="117"/>
        <v/>
      </c>
      <c r="Z421" s="209" t="str">
        <f t="shared" si="108"/>
        <v/>
      </c>
      <c r="AA421" s="209" t="str">
        <f t="shared" si="109"/>
        <v/>
      </c>
      <c r="AB421" s="200"/>
      <c r="AC421" s="192"/>
    </row>
    <row r="422" spans="1:29" ht="11.4">
      <c r="A422" s="211" t="str">
        <f t="shared" si="110"/>
        <v/>
      </c>
      <c r="B422" s="211"/>
      <c r="C422" s="215"/>
      <c r="D422" s="213" t="str">
        <f t="shared" si="111"/>
        <v/>
      </c>
      <c r="E422" s="213" t="str">
        <f t="shared" si="119"/>
        <v/>
      </c>
      <c r="F422" s="214" t="str">
        <f t="shared" si="112"/>
        <v/>
      </c>
      <c r="G422" s="180"/>
      <c r="H422" s="181" t="str">
        <f t="shared" si="113"/>
        <v/>
      </c>
      <c r="I422" s="227"/>
      <c r="J422" s="227"/>
      <c r="K422" s="227"/>
      <c r="L422" s="227"/>
      <c r="M422" s="210" t="str">
        <f t="shared" si="118"/>
        <v/>
      </c>
      <c r="N422" s="210"/>
      <c r="O422" s="207"/>
      <c r="P422" s="182" t="str">
        <f t="shared" si="103"/>
        <v/>
      </c>
      <c r="Q422" s="183" t="str">
        <f t="shared" si="114"/>
        <v/>
      </c>
      <c r="R422" s="182" t="str">
        <f>IF(M422&lt;&gt;"",IF(#REF!*F422*10=0,"",#REF!*F422*10),"")</f>
        <v/>
      </c>
      <c r="S422" s="184" t="str">
        <f t="shared" si="115"/>
        <v/>
      </c>
      <c r="T422" s="185" t="str">
        <f t="shared" si="104"/>
        <v/>
      </c>
      <c r="U422" s="183" t="str">
        <f t="shared" si="116"/>
        <v/>
      </c>
      <c r="V422" s="186" t="str">
        <f t="shared" si="105"/>
        <v/>
      </c>
      <c r="W422" s="186" t="str">
        <f t="shared" si="106"/>
        <v/>
      </c>
      <c r="X422" s="187" t="str">
        <f t="shared" si="107"/>
        <v/>
      </c>
      <c r="Y422" s="182" t="str">
        <f t="shared" si="117"/>
        <v/>
      </c>
      <c r="Z422" s="209" t="str">
        <f t="shared" si="108"/>
        <v/>
      </c>
      <c r="AA422" s="209" t="str">
        <f t="shared" si="109"/>
        <v/>
      </c>
      <c r="AB422" s="200"/>
      <c r="AC422" s="192"/>
    </row>
    <row r="423" spans="1:29" ht="11.4">
      <c r="A423" s="211" t="str">
        <f t="shared" si="110"/>
        <v/>
      </c>
      <c r="B423" s="211"/>
      <c r="C423" s="215"/>
      <c r="D423" s="213" t="str">
        <f t="shared" si="111"/>
        <v/>
      </c>
      <c r="E423" s="213" t="str">
        <f t="shared" si="119"/>
        <v/>
      </c>
      <c r="F423" s="214" t="str">
        <f t="shared" si="112"/>
        <v/>
      </c>
      <c r="G423" s="180"/>
      <c r="H423" s="181" t="str">
        <f t="shared" si="113"/>
        <v/>
      </c>
      <c r="I423" s="227"/>
      <c r="J423" s="227"/>
      <c r="K423" s="227"/>
      <c r="L423" s="227"/>
      <c r="M423" s="210" t="str">
        <f t="shared" si="118"/>
        <v/>
      </c>
      <c r="N423" s="210"/>
      <c r="O423" s="207"/>
      <c r="P423" s="182" t="str">
        <f t="shared" si="103"/>
        <v/>
      </c>
      <c r="Q423" s="183" t="str">
        <f t="shared" si="114"/>
        <v/>
      </c>
      <c r="R423" s="182" t="str">
        <f>IF(M423&lt;&gt;"",IF(#REF!*F423*10=0,"",#REF!*F423*10),"")</f>
        <v/>
      </c>
      <c r="S423" s="184" t="str">
        <f t="shared" si="115"/>
        <v/>
      </c>
      <c r="T423" s="185" t="str">
        <f t="shared" si="104"/>
        <v/>
      </c>
      <c r="U423" s="183" t="str">
        <f t="shared" si="116"/>
        <v/>
      </c>
      <c r="V423" s="186" t="str">
        <f t="shared" si="105"/>
        <v/>
      </c>
      <c r="W423" s="186" t="str">
        <f t="shared" si="106"/>
        <v/>
      </c>
      <c r="X423" s="187" t="str">
        <f t="shared" si="107"/>
        <v/>
      </c>
      <c r="Y423" s="182" t="str">
        <f t="shared" si="117"/>
        <v/>
      </c>
      <c r="Z423" s="209" t="str">
        <f t="shared" si="108"/>
        <v/>
      </c>
      <c r="AA423" s="209" t="str">
        <f t="shared" si="109"/>
        <v/>
      </c>
      <c r="AB423" s="200"/>
      <c r="AC423" s="192"/>
    </row>
    <row r="424" spans="1:29" ht="11.4">
      <c r="A424" s="211" t="str">
        <f t="shared" si="110"/>
        <v/>
      </c>
      <c r="B424" s="211"/>
      <c r="C424" s="215"/>
      <c r="D424" s="213" t="str">
        <f t="shared" si="111"/>
        <v/>
      </c>
      <c r="E424" s="213" t="str">
        <f t="shared" si="119"/>
        <v/>
      </c>
      <c r="F424" s="214" t="str">
        <f t="shared" si="112"/>
        <v/>
      </c>
      <c r="G424" s="180"/>
      <c r="H424" s="181" t="str">
        <f t="shared" si="113"/>
        <v/>
      </c>
      <c r="I424" s="227"/>
      <c r="J424" s="227"/>
      <c r="K424" s="227"/>
      <c r="L424" s="227"/>
      <c r="M424" s="210" t="str">
        <f t="shared" si="118"/>
        <v/>
      </c>
      <c r="N424" s="210"/>
      <c r="O424" s="207"/>
      <c r="P424" s="182" t="str">
        <f t="shared" si="103"/>
        <v/>
      </c>
      <c r="Q424" s="183" t="str">
        <f t="shared" si="114"/>
        <v/>
      </c>
      <c r="R424" s="182" t="str">
        <f>IF(M424&lt;&gt;"",IF(#REF!*F424*10=0,"",#REF!*F424*10),"")</f>
        <v/>
      </c>
      <c r="S424" s="184" t="str">
        <f t="shared" si="115"/>
        <v/>
      </c>
      <c r="T424" s="185" t="str">
        <f t="shared" si="104"/>
        <v/>
      </c>
      <c r="U424" s="183" t="str">
        <f t="shared" si="116"/>
        <v/>
      </c>
      <c r="V424" s="186" t="str">
        <f t="shared" si="105"/>
        <v/>
      </c>
      <c r="W424" s="186" t="str">
        <f t="shared" si="106"/>
        <v/>
      </c>
      <c r="X424" s="187" t="str">
        <f t="shared" si="107"/>
        <v/>
      </c>
      <c r="Y424" s="182" t="str">
        <f t="shared" si="117"/>
        <v/>
      </c>
      <c r="Z424" s="209" t="str">
        <f t="shared" si="108"/>
        <v/>
      </c>
      <c r="AA424" s="209" t="str">
        <f t="shared" si="109"/>
        <v/>
      </c>
      <c r="AB424" s="200"/>
      <c r="AC424" s="192"/>
    </row>
    <row r="425" spans="1:29" ht="11.4">
      <c r="A425" s="211" t="str">
        <f t="shared" si="110"/>
        <v/>
      </c>
      <c r="B425" s="211"/>
      <c r="C425" s="215"/>
      <c r="D425" s="213" t="str">
        <f t="shared" si="111"/>
        <v/>
      </c>
      <c r="E425" s="213" t="str">
        <f t="shared" si="119"/>
        <v/>
      </c>
      <c r="F425" s="214" t="str">
        <f t="shared" si="112"/>
        <v/>
      </c>
      <c r="G425" s="180"/>
      <c r="H425" s="181" t="str">
        <f t="shared" si="113"/>
        <v/>
      </c>
      <c r="I425" s="227"/>
      <c r="J425" s="227"/>
      <c r="K425" s="227"/>
      <c r="L425" s="227"/>
      <c r="M425" s="210" t="str">
        <f t="shared" si="118"/>
        <v/>
      </c>
      <c r="N425" s="210"/>
      <c r="O425" s="207"/>
      <c r="P425" s="182" t="str">
        <f t="shared" si="103"/>
        <v/>
      </c>
      <c r="Q425" s="183" t="str">
        <f t="shared" si="114"/>
        <v/>
      </c>
      <c r="R425" s="182" t="str">
        <f>IF(M425&lt;&gt;"",IF(#REF!*F425*10=0,"",#REF!*F425*10),"")</f>
        <v/>
      </c>
      <c r="S425" s="184" t="str">
        <f t="shared" si="115"/>
        <v/>
      </c>
      <c r="T425" s="185" t="str">
        <f t="shared" si="104"/>
        <v/>
      </c>
      <c r="U425" s="183" t="str">
        <f t="shared" si="116"/>
        <v/>
      </c>
      <c r="V425" s="186" t="str">
        <f t="shared" si="105"/>
        <v/>
      </c>
      <c r="W425" s="186" t="str">
        <f t="shared" si="106"/>
        <v/>
      </c>
      <c r="X425" s="187" t="str">
        <f t="shared" si="107"/>
        <v/>
      </c>
      <c r="Y425" s="182" t="str">
        <f t="shared" si="117"/>
        <v/>
      </c>
      <c r="Z425" s="209" t="str">
        <f t="shared" si="108"/>
        <v/>
      </c>
      <c r="AA425" s="209" t="str">
        <f t="shared" si="109"/>
        <v/>
      </c>
      <c r="AB425" s="200"/>
      <c r="AC425" s="192"/>
    </row>
    <row r="426" spans="1:29" ht="11.4">
      <c r="A426" s="211" t="str">
        <f t="shared" si="110"/>
        <v/>
      </c>
      <c r="B426" s="211"/>
      <c r="C426" s="215"/>
      <c r="D426" s="213" t="str">
        <f t="shared" si="111"/>
        <v/>
      </c>
      <c r="E426" s="213" t="str">
        <f t="shared" si="119"/>
        <v/>
      </c>
      <c r="F426" s="214" t="str">
        <f t="shared" si="112"/>
        <v/>
      </c>
      <c r="G426" s="180"/>
      <c r="H426" s="181" t="str">
        <f t="shared" si="113"/>
        <v/>
      </c>
      <c r="I426" s="227"/>
      <c r="J426" s="227"/>
      <c r="K426" s="227"/>
      <c r="L426" s="227"/>
      <c r="M426" s="210" t="str">
        <f t="shared" si="118"/>
        <v/>
      </c>
      <c r="N426" s="210"/>
      <c r="O426" s="207"/>
      <c r="P426" s="182" t="str">
        <f t="shared" si="103"/>
        <v/>
      </c>
      <c r="Q426" s="183" t="str">
        <f t="shared" si="114"/>
        <v/>
      </c>
      <c r="R426" s="182" t="str">
        <f>IF(M426&lt;&gt;"",IF(#REF!*F426*10=0,"",#REF!*F426*10),"")</f>
        <v/>
      </c>
      <c r="S426" s="184" t="str">
        <f t="shared" si="115"/>
        <v/>
      </c>
      <c r="T426" s="185" t="str">
        <f t="shared" si="104"/>
        <v/>
      </c>
      <c r="U426" s="183" t="str">
        <f t="shared" si="116"/>
        <v/>
      </c>
      <c r="V426" s="186" t="str">
        <f t="shared" si="105"/>
        <v/>
      </c>
      <c r="W426" s="186" t="str">
        <f t="shared" si="106"/>
        <v/>
      </c>
      <c r="X426" s="187" t="str">
        <f t="shared" si="107"/>
        <v/>
      </c>
      <c r="Y426" s="182" t="str">
        <f t="shared" si="117"/>
        <v/>
      </c>
      <c r="Z426" s="209" t="str">
        <f t="shared" si="108"/>
        <v/>
      </c>
      <c r="AA426" s="209" t="str">
        <f t="shared" si="109"/>
        <v/>
      </c>
      <c r="AB426" s="200"/>
      <c r="AC426" s="192"/>
    </row>
    <row r="427" spans="1:29" ht="11.4">
      <c r="A427" s="211" t="str">
        <f t="shared" si="110"/>
        <v/>
      </c>
      <c r="B427" s="211"/>
      <c r="C427" s="215"/>
      <c r="D427" s="213" t="str">
        <f t="shared" si="111"/>
        <v/>
      </c>
      <c r="E427" s="213" t="str">
        <f t="shared" si="119"/>
        <v/>
      </c>
      <c r="F427" s="214" t="str">
        <f t="shared" si="112"/>
        <v/>
      </c>
      <c r="G427" s="180"/>
      <c r="H427" s="181" t="str">
        <f t="shared" si="113"/>
        <v/>
      </c>
      <c r="I427" s="227"/>
      <c r="J427" s="227"/>
      <c r="K427" s="227"/>
      <c r="L427" s="227"/>
      <c r="M427" s="210" t="str">
        <f t="shared" si="118"/>
        <v/>
      </c>
      <c r="N427" s="210"/>
      <c r="O427" s="207"/>
      <c r="P427" s="182" t="str">
        <f t="shared" si="103"/>
        <v/>
      </c>
      <c r="Q427" s="183" t="str">
        <f t="shared" si="114"/>
        <v/>
      </c>
      <c r="R427" s="182" t="str">
        <f>IF(M427&lt;&gt;"",IF(#REF!*F427*10=0,"",#REF!*F427*10),"")</f>
        <v/>
      </c>
      <c r="S427" s="184" t="str">
        <f t="shared" si="115"/>
        <v/>
      </c>
      <c r="T427" s="185" t="str">
        <f t="shared" si="104"/>
        <v/>
      </c>
      <c r="U427" s="183" t="str">
        <f t="shared" si="116"/>
        <v/>
      </c>
      <c r="V427" s="186" t="str">
        <f t="shared" si="105"/>
        <v/>
      </c>
      <c r="W427" s="186" t="str">
        <f t="shared" si="106"/>
        <v/>
      </c>
      <c r="X427" s="187" t="str">
        <f t="shared" si="107"/>
        <v/>
      </c>
      <c r="Y427" s="182" t="str">
        <f t="shared" si="117"/>
        <v/>
      </c>
      <c r="Z427" s="209" t="str">
        <f t="shared" si="108"/>
        <v/>
      </c>
      <c r="AA427" s="209" t="str">
        <f t="shared" si="109"/>
        <v/>
      </c>
      <c r="AB427" s="200"/>
      <c r="AC427" s="192"/>
    </row>
    <row r="428" spans="1:29" ht="11.4">
      <c r="A428" s="211" t="str">
        <f t="shared" si="110"/>
        <v/>
      </c>
      <c r="B428" s="211"/>
      <c r="C428" s="215"/>
      <c r="D428" s="213" t="str">
        <f t="shared" si="111"/>
        <v/>
      </c>
      <c r="E428" s="213" t="str">
        <f t="shared" si="119"/>
        <v/>
      </c>
      <c r="F428" s="214" t="str">
        <f t="shared" si="112"/>
        <v/>
      </c>
      <c r="G428" s="180"/>
      <c r="H428" s="181" t="str">
        <f t="shared" si="113"/>
        <v/>
      </c>
      <c r="I428" s="227"/>
      <c r="J428" s="227"/>
      <c r="K428" s="227"/>
      <c r="L428" s="227"/>
      <c r="M428" s="210" t="str">
        <f t="shared" si="118"/>
        <v/>
      </c>
      <c r="N428" s="210"/>
      <c r="O428" s="207"/>
      <c r="P428" s="182" t="str">
        <f t="shared" si="103"/>
        <v/>
      </c>
      <c r="Q428" s="183" t="str">
        <f t="shared" si="114"/>
        <v/>
      </c>
      <c r="R428" s="182" t="str">
        <f>IF(M428&lt;&gt;"",IF(#REF!*F428*10=0,"",#REF!*F428*10),"")</f>
        <v/>
      </c>
      <c r="S428" s="184" t="str">
        <f t="shared" si="115"/>
        <v/>
      </c>
      <c r="T428" s="185" t="str">
        <f t="shared" si="104"/>
        <v/>
      </c>
      <c r="U428" s="183" t="str">
        <f t="shared" si="116"/>
        <v/>
      </c>
      <c r="V428" s="186" t="str">
        <f t="shared" si="105"/>
        <v/>
      </c>
      <c r="W428" s="186" t="str">
        <f t="shared" si="106"/>
        <v/>
      </c>
      <c r="X428" s="187" t="str">
        <f t="shared" si="107"/>
        <v/>
      </c>
      <c r="Y428" s="182" t="str">
        <f t="shared" si="117"/>
        <v/>
      </c>
      <c r="Z428" s="209" t="str">
        <f t="shared" si="108"/>
        <v/>
      </c>
      <c r="AA428" s="209" t="str">
        <f t="shared" si="109"/>
        <v/>
      </c>
      <c r="AB428" s="200"/>
      <c r="AC428" s="192"/>
    </row>
    <row r="429" spans="1:29" ht="11.4">
      <c r="A429" s="211" t="str">
        <f t="shared" si="110"/>
        <v/>
      </c>
      <c r="B429" s="211"/>
      <c r="C429" s="215"/>
      <c r="D429" s="213" t="str">
        <f t="shared" si="111"/>
        <v/>
      </c>
      <c r="E429" s="213" t="str">
        <f t="shared" si="119"/>
        <v/>
      </c>
      <c r="F429" s="214" t="str">
        <f t="shared" si="112"/>
        <v/>
      </c>
      <c r="G429" s="180"/>
      <c r="H429" s="181" t="str">
        <f t="shared" si="113"/>
        <v/>
      </c>
      <c r="I429" s="227"/>
      <c r="J429" s="227"/>
      <c r="K429" s="227"/>
      <c r="L429" s="227"/>
      <c r="M429" s="210" t="str">
        <f t="shared" si="118"/>
        <v/>
      </c>
      <c r="N429" s="210"/>
      <c r="O429" s="207"/>
      <c r="P429" s="182" t="str">
        <f t="shared" si="103"/>
        <v/>
      </c>
      <c r="Q429" s="183" t="str">
        <f t="shared" si="114"/>
        <v/>
      </c>
      <c r="R429" s="182" t="str">
        <f>IF(M429&lt;&gt;"",IF(#REF!*F429*10=0,"",#REF!*F429*10),"")</f>
        <v/>
      </c>
      <c r="S429" s="184" t="str">
        <f t="shared" si="115"/>
        <v/>
      </c>
      <c r="T429" s="185" t="str">
        <f t="shared" si="104"/>
        <v/>
      </c>
      <c r="U429" s="183" t="str">
        <f t="shared" si="116"/>
        <v/>
      </c>
      <c r="V429" s="186" t="str">
        <f t="shared" si="105"/>
        <v/>
      </c>
      <c r="W429" s="186" t="str">
        <f t="shared" si="106"/>
        <v/>
      </c>
      <c r="X429" s="187" t="str">
        <f t="shared" si="107"/>
        <v/>
      </c>
      <c r="Y429" s="182" t="str">
        <f t="shared" si="117"/>
        <v/>
      </c>
      <c r="Z429" s="209" t="str">
        <f t="shared" si="108"/>
        <v/>
      </c>
      <c r="AA429" s="209" t="str">
        <f t="shared" si="109"/>
        <v/>
      </c>
      <c r="AB429" s="200"/>
      <c r="AC429" s="192"/>
    </row>
    <row r="430" spans="1:29" ht="11.4">
      <c r="A430" s="211" t="str">
        <f t="shared" si="110"/>
        <v/>
      </c>
      <c r="B430" s="211"/>
      <c r="C430" s="215"/>
      <c r="D430" s="213" t="str">
        <f t="shared" si="111"/>
        <v/>
      </c>
      <c r="E430" s="213" t="str">
        <f t="shared" si="119"/>
        <v/>
      </c>
      <c r="F430" s="214" t="str">
        <f t="shared" si="112"/>
        <v/>
      </c>
      <c r="G430" s="180"/>
      <c r="H430" s="181" t="str">
        <f t="shared" si="113"/>
        <v/>
      </c>
      <c r="I430" s="227"/>
      <c r="J430" s="227"/>
      <c r="K430" s="227"/>
      <c r="L430" s="227"/>
      <c r="M430" s="210" t="str">
        <f t="shared" si="118"/>
        <v/>
      </c>
      <c r="N430" s="210"/>
      <c r="O430" s="207"/>
      <c r="P430" s="182" t="str">
        <f t="shared" si="103"/>
        <v/>
      </c>
      <c r="Q430" s="183" t="str">
        <f t="shared" si="114"/>
        <v/>
      </c>
      <c r="R430" s="182" t="str">
        <f>IF(M430&lt;&gt;"",IF(#REF!*F430*10=0,"",#REF!*F430*10),"")</f>
        <v/>
      </c>
      <c r="S430" s="184" t="str">
        <f t="shared" si="115"/>
        <v/>
      </c>
      <c r="T430" s="185" t="str">
        <f t="shared" si="104"/>
        <v/>
      </c>
      <c r="U430" s="183" t="str">
        <f t="shared" si="116"/>
        <v/>
      </c>
      <c r="V430" s="186" t="str">
        <f t="shared" si="105"/>
        <v/>
      </c>
      <c r="W430" s="186" t="str">
        <f t="shared" si="106"/>
        <v/>
      </c>
      <c r="X430" s="187" t="str">
        <f t="shared" si="107"/>
        <v/>
      </c>
      <c r="Y430" s="182" t="str">
        <f t="shared" si="117"/>
        <v/>
      </c>
      <c r="Z430" s="209" t="str">
        <f t="shared" si="108"/>
        <v/>
      </c>
      <c r="AA430" s="209" t="str">
        <f t="shared" si="109"/>
        <v/>
      </c>
      <c r="AB430" s="200"/>
      <c r="AC430" s="192"/>
    </row>
    <row r="431" spans="1:29" ht="11.4">
      <c r="A431" s="211" t="str">
        <f t="shared" si="110"/>
        <v/>
      </c>
      <c r="B431" s="211"/>
      <c r="C431" s="215"/>
      <c r="D431" s="213" t="str">
        <f t="shared" si="111"/>
        <v/>
      </c>
      <c r="E431" s="213" t="str">
        <f t="shared" si="119"/>
        <v/>
      </c>
      <c r="F431" s="214" t="str">
        <f t="shared" si="112"/>
        <v/>
      </c>
      <c r="G431" s="180"/>
      <c r="H431" s="181" t="str">
        <f t="shared" si="113"/>
        <v/>
      </c>
      <c r="I431" s="227"/>
      <c r="J431" s="227"/>
      <c r="K431" s="227"/>
      <c r="L431" s="227"/>
      <c r="M431" s="210" t="str">
        <f t="shared" si="118"/>
        <v/>
      </c>
      <c r="N431" s="210"/>
      <c r="O431" s="207"/>
      <c r="P431" s="182" t="str">
        <f t="shared" si="103"/>
        <v/>
      </c>
      <c r="Q431" s="183" t="str">
        <f t="shared" si="114"/>
        <v/>
      </c>
      <c r="R431" s="182" t="str">
        <f>IF(M431&lt;&gt;"",IF(#REF!*F431*10=0,"",#REF!*F431*10),"")</f>
        <v/>
      </c>
      <c r="S431" s="184" t="str">
        <f t="shared" si="115"/>
        <v/>
      </c>
      <c r="T431" s="185" t="str">
        <f t="shared" si="104"/>
        <v/>
      </c>
      <c r="U431" s="183" t="str">
        <f t="shared" si="116"/>
        <v/>
      </c>
      <c r="V431" s="186" t="str">
        <f t="shared" si="105"/>
        <v/>
      </c>
      <c r="W431" s="186" t="str">
        <f t="shared" si="106"/>
        <v/>
      </c>
      <c r="X431" s="187" t="str">
        <f t="shared" si="107"/>
        <v/>
      </c>
      <c r="Y431" s="182" t="str">
        <f t="shared" si="117"/>
        <v/>
      </c>
      <c r="Z431" s="209" t="str">
        <f t="shared" si="108"/>
        <v/>
      </c>
      <c r="AA431" s="209" t="str">
        <f t="shared" si="109"/>
        <v/>
      </c>
      <c r="AB431" s="200"/>
      <c r="AC431" s="192"/>
    </row>
    <row r="432" spans="1:29" ht="11.4">
      <c r="A432" s="211" t="str">
        <f t="shared" si="110"/>
        <v/>
      </c>
      <c r="B432" s="211"/>
      <c r="C432" s="215"/>
      <c r="D432" s="213" t="str">
        <f t="shared" si="111"/>
        <v/>
      </c>
      <c r="E432" s="213" t="str">
        <f t="shared" si="119"/>
        <v/>
      </c>
      <c r="F432" s="214" t="str">
        <f t="shared" si="112"/>
        <v/>
      </c>
      <c r="G432" s="180"/>
      <c r="H432" s="181" t="str">
        <f t="shared" si="113"/>
        <v/>
      </c>
      <c r="I432" s="227"/>
      <c r="J432" s="227"/>
      <c r="K432" s="227"/>
      <c r="L432" s="227"/>
      <c r="M432" s="210" t="str">
        <f t="shared" si="118"/>
        <v/>
      </c>
      <c r="N432" s="210"/>
      <c r="O432" s="207"/>
      <c r="P432" s="182" t="str">
        <f t="shared" si="103"/>
        <v/>
      </c>
      <c r="Q432" s="183" t="str">
        <f t="shared" si="114"/>
        <v/>
      </c>
      <c r="R432" s="182" t="str">
        <f>IF(M432&lt;&gt;"",IF(#REF!*F432*10=0,"",#REF!*F432*10),"")</f>
        <v/>
      </c>
      <c r="S432" s="184" t="str">
        <f t="shared" si="115"/>
        <v/>
      </c>
      <c r="T432" s="185" t="str">
        <f t="shared" si="104"/>
        <v/>
      </c>
      <c r="U432" s="183" t="str">
        <f t="shared" si="116"/>
        <v/>
      </c>
      <c r="V432" s="186" t="str">
        <f t="shared" si="105"/>
        <v/>
      </c>
      <c r="W432" s="186" t="str">
        <f t="shared" si="106"/>
        <v/>
      </c>
      <c r="X432" s="187" t="str">
        <f t="shared" si="107"/>
        <v/>
      </c>
      <c r="Y432" s="182" t="str">
        <f t="shared" si="117"/>
        <v/>
      </c>
      <c r="Z432" s="209" t="str">
        <f t="shared" si="108"/>
        <v/>
      </c>
      <c r="AA432" s="209" t="str">
        <f t="shared" si="109"/>
        <v/>
      </c>
      <c r="AB432" s="200"/>
      <c r="AC432" s="192"/>
    </row>
    <row r="433" spans="1:29" ht="11.4">
      <c r="A433" s="211" t="str">
        <f t="shared" si="110"/>
        <v/>
      </c>
      <c r="B433" s="211"/>
      <c r="C433" s="215"/>
      <c r="D433" s="213" t="str">
        <f t="shared" si="111"/>
        <v/>
      </c>
      <c r="E433" s="213" t="str">
        <f t="shared" si="119"/>
        <v/>
      </c>
      <c r="F433" s="214" t="str">
        <f t="shared" si="112"/>
        <v/>
      </c>
      <c r="G433" s="180"/>
      <c r="H433" s="181" t="str">
        <f t="shared" si="113"/>
        <v/>
      </c>
      <c r="I433" s="227"/>
      <c r="J433" s="227"/>
      <c r="K433" s="227"/>
      <c r="L433" s="227"/>
      <c r="M433" s="210" t="str">
        <f t="shared" si="118"/>
        <v/>
      </c>
      <c r="N433" s="210"/>
      <c r="O433" s="207"/>
      <c r="P433" s="182" t="str">
        <f t="shared" si="103"/>
        <v/>
      </c>
      <c r="Q433" s="183" t="str">
        <f t="shared" si="114"/>
        <v/>
      </c>
      <c r="R433" s="182" t="str">
        <f>IF(M433&lt;&gt;"",IF(#REF!*F433*10=0,"",#REF!*F433*10),"")</f>
        <v/>
      </c>
      <c r="S433" s="184" t="str">
        <f t="shared" si="115"/>
        <v/>
      </c>
      <c r="T433" s="185" t="str">
        <f t="shared" si="104"/>
        <v/>
      </c>
      <c r="U433" s="183" t="str">
        <f t="shared" si="116"/>
        <v/>
      </c>
      <c r="V433" s="186" t="str">
        <f t="shared" si="105"/>
        <v/>
      </c>
      <c r="W433" s="186" t="str">
        <f t="shared" si="106"/>
        <v/>
      </c>
      <c r="X433" s="187" t="str">
        <f t="shared" si="107"/>
        <v/>
      </c>
      <c r="Y433" s="182" t="str">
        <f t="shared" si="117"/>
        <v/>
      </c>
      <c r="Z433" s="209" t="str">
        <f t="shared" si="108"/>
        <v/>
      </c>
      <c r="AA433" s="209" t="str">
        <f t="shared" si="109"/>
        <v/>
      </c>
      <c r="AB433" s="200"/>
      <c r="AC433" s="192"/>
    </row>
    <row r="434" spans="1:29" ht="11.4">
      <c r="A434" s="211" t="str">
        <f t="shared" si="110"/>
        <v/>
      </c>
      <c r="B434" s="211"/>
      <c r="C434" s="215"/>
      <c r="D434" s="213" t="str">
        <f t="shared" si="111"/>
        <v/>
      </c>
      <c r="E434" s="213" t="str">
        <f t="shared" si="119"/>
        <v/>
      </c>
      <c r="F434" s="214" t="str">
        <f t="shared" si="112"/>
        <v/>
      </c>
      <c r="G434" s="180"/>
      <c r="H434" s="181" t="str">
        <f t="shared" si="113"/>
        <v/>
      </c>
      <c r="I434" s="227"/>
      <c r="J434" s="227"/>
      <c r="K434" s="227"/>
      <c r="L434" s="227"/>
      <c r="M434" s="210" t="str">
        <f t="shared" si="118"/>
        <v/>
      </c>
      <c r="N434" s="210"/>
      <c r="O434" s="207"/>
      <c r="P434" s="182" t="str">
        <f t="shared" si="103"/>
        <v/>
      </c>
      <c r="Q434" s="183" t="str">
        <f t="shared" si="114"/>
        <v/>
      </c>
      <c r="R434" s="182" t="str">
        <f>IF(M434&lt;&gt;"",IF(#REF!*F434*10=0,"",#REF!*F434*10),"")</f>
        <v/>
      </c>
      <c r="S434" s="184" t="str">
        <f t="shared" si="115"/>
        <v/>
      </c>
      <c r="T434" s="185" t="str">
        <f t="shared" si="104"/>
        <v/>
      </c>
      <c r="U434" s="183" t="str">
        <f t="shared" si="116"/>
        <v/>
      </c>
      <c r="V434" s="186" t="str">
        <f t="shared" si="105"/>
        <v/>
      </c>
      <c r="W434" s="186" t="str">
        <f t="shared" si="106"/>
        <v/>
      </c>
      <c r="X434" s="187" t="str">
        <f t="shared" si="107"/>
        <v/>
      </c>
      <c r="Y434" s="182" t="str">
        <f t="shared" si="117"/>
        <v/>
      </c>
      <c r="Z434" s="209" t="str">
        <f t="shared" si="108"/>
        <v/>
      </c>
      <c r="AA434" s="209" t="str">
        <f t="shared" si="109"/>
        <v/>
      </c>
      <c r="AB434" s="200"/>
      <c r="AC434" s="192"/>
    </row>
    <row r="435" spans="1:29" ht="11.4">
      <c r="A435" s="211" t="str">
        <f t="shared" si="110"/>
        <v/>
      </c>
      <c r="B435" s="211"/>
      <c r="C435" s="215"/>
      <c r="D435" s="213" t="str">
        <f t="shared" si="111"/>
        <v/>
      </c>
      <c r="E435" s="213" t="str">
        <f t="shared" si="119"/>
        <v/>
      </c>
      <c r="F435" s="214" t="str">
        <f t="shared" si="112"/>
        <v/>
      </c>
      <c r="G435" s="180"/>
      <c r="H435" s="181" t="str">
        <f t="shared" si="113"/>
        <v/>
      </c>
      <c r="I435" s="227"/>
      <c r="J435" s="227"/>
      <c r="K435" s="227"/>
      <c r="L435" s="227"/>
      <c r="M435" s="210" t="str">
        <f t="shared" si="118"/>
        <v/>
      </c>
      <c r="N435" s="210"/>
      <c r="O435" s="207"/>
      <c r="P435" s="182" t="str">
        <f t="shared" si="103"/>
        <v/>
      </c>
      <c r="Q435" s="183" t="str">
        <f t="shared" si="114"/>
        <v/>
      </c>
      <c r="R435" s="182" t="str">
        <f>IF(M435&lt;&gt;"",IF(#REF!*F435*10=0,"",#REF!*F435*10),"")</f>
        <v/>
      </c>
      <c r="S435" s="184" t="str">
        <f t="shared" si="115"/>
        <v/>
      </c>
      <c r="T435" s="185" t="str">
        <f t="shared" si="104"/>
        <v/>
      </c>
      <c r="U435" s="183" t="str">
        <f t="shared" si="116"/>
        <v/>
      </c>
      <c r="V435" s="186" t="str">
        <f t="shared" si="105"/>
        <v/>
      </c>
      <c r="W435" s="186" t="str">
        <f t="shared" si="106"/>
        <v/>
      </c>
      <c r="X435" s="187" t="str">
        <f t="shared" si="107"/>
        <v/>
      </c>
      <c r="Y435" s="182" t="str">
        <f t="shared" si="117"/>
        <v/>
      </c>
      <c r="Z435" s="209" t="str">
        <f t="shared" si="108"/>
        <v/>
      </c>
      <c r="AA435" s="209" t="str">
        <f t="shared" si="109"/>
        <v/>
      </c>
      <c r="AB435" s="200"/>
      <c r="AC435" s="192"/>
    </row>
    <row r="436" spans="1:29" ht="11.4">
      <c r="A436" s="211" t="str">
        <f t="shared" si="110"/>
        <v/>
      </c>
      <c r="B436" s="211"/>
      <c r="C436" s="215"/>
      <c r="D436" s="213" t="str">
        <f t="shared" si="111"/>
        <v/>
      </c>
      <c r="E436" s="213" t="str">
        <f t="shared" si="119"/>
        <v/>
      </c>
      <c r="F436" s="214" t="str">
        <f t="shared" si="112"/>
        <v/>
      </c>
      <c r="G436" s="180"/>
      <c r="H436" s="181" t="str">
        <f t="shared" si="113"/>
        <v/>
      </c>
      <c r="I436" s="227"/>
      <c r="J436" s="227"/>
      <c r="K436" s="227"/>
      <c r="L436" s="227"/>
      <c r="M436" s="210" t="str">
        <f t="shared" si="118"/>
        <v/>
      </c>
      <c r="N436" s="210"/>
      <c r="O436" s="207"/>
      <c r="P436" s="182" t="str">
        <f t="shared" si="103"/>
        <v/>
      </c>
      <c r="Q436" s="183" t="str">
        <f t="shared" si="114"/>
        <v/>
      </c>
      <c r="R436" s="182" t="str">
        <f>IF(M436&lt;&gt;"",IF(#REF!*F436*10=0,"",#REF!*F436*10),"")</f>
        <v/>
      </c>
      <c r="S436" s="184" t="str">
        <f t="shared" si="115"/>
        <v/>
      </c>
      <c r="T436" s="185" t="str">
        <f t="shared" si="104"/>
        <v/>
      </c>
      <c r="U436" s="183" t="str">
        <f t="shared" si="116"/>
        <v/>
      </c>
      <c r="V436" s="186" t="str">
        <f t="shared" si="105"/>
        <v/>
      </c>
      <c r="W436" s="186" t="str">
        <f t="shared" si="106"/>
        <v/>
      </c>
      <c r="X436" s="187" t="str">
        <f t="shared" si="107"/>
        <v/>
      </c>
      <c r="Y436" s="182" t="str">
        <f t="shared" si="117"/>
        <v/>
      </c>
      <c r="Z436" s="209" t="str">
        <f t="shared" si="108"/>
        <v/>
      </c>
      <c r="AA436" s="209" t="str">
        <f t="shared" si="109"/>
        <v/>
      </c>
      <c r="AB436" s="200"/>
      <c r="AC436" s="192"/>
    </row>
    <row r="437" spans="1:29" ht="11.4">
      <c r="A437" s="211" t="str">
        <f t="shared" si="110"/>
        <v/>
      </c>
      <c r="B437" s="211"/>
      <c r="C437" s="215"/>
      <c r="D437" s="213" t="str">
        <f t="shared" si="111"/>
        <v/>
      </c>
      <c r="E437" s="213" t="str">
        <f t="shared" si="119"/>
        <v/>
      </c>
      <c r="F437" s="214" t="str">
        <f t="shared" si="112"/>
        <v/>
      </c>
      <c r="G437" s="180"/>
      <c r="H437" s="181" t="str">
        <f t="shared" si="113"/>
        <v/>
      </c>
      <c r="I437" s="227"/>
      <c r="J437" s="227"/>
      <c r="K437" s="227"/>
      <c r="L437" s="227"/>
      <c r="M437" s="210" t="str">
        <f t="shared" si="118"/>
        <v/>
      </c>
      <c r="N437" s="210"/>
      <c r="O437" s="207"/>
      <c r="P437" s="182" t="str">
        <f t="shared" si="103"/>
        <v/>
      </c>
      <c r="Q437" s="183" t="str">
        <f t="shared" si="114"/>
        <v/>
      </c>
      <c r="R437" s="182" t="str">
        <f>IF(M437&lt;&gt;"",IF(#REF!*F437*10=0,"",#REF!*F437*10),"")</f>
        <v/>
      </c>
      <c r="S437" s="184" t="str">
        <f t="shared" si="115"/>
        <v/>
      </c>
      <c r="T437" s="185" t="str">
        <f t="shared" si="104"/>
        <v/>
      </c>
      <c r="U437" s="183" t="str">
        <f t="shared" si="116"/>
        <v/>
      </c>
      <c r="V437" s="186" t="str">
        <f t="shared" si="105"/>
        <v/>
      </c>
      <c r="W437" s="186" t="str">
        <f t="shared" si="106"/>
        <v/>
      </c>
      <c r="X437" s="187" t="str">
        <f t="shared" si="107"/>
        <v/>
      </c>
      <c r="Y437" s="182" t="str">
        <f t="shared" si="117"/>
        <v/>
      </c>
      <c r="Z437" s="209" t="str">
        <f t="shared" si="108"/>
        <v/>
      </c>
      <c r="AA437" s="209" t="str">
        <f t="shared" si="109"/>
        <v/>
      </c>
      <c r="AB437" s="200"/>
      <c r="AC437" s="192"/>
    </row>
    <row r="438" spans="1:29" ht="11.4">
      <c r="A438" s="211" t="str">
        <f t="shared" si="110"/>
        <v/>
      </c>
      <c r="B438" s="211"/>
      <c r="C438" s="215"/>
      <c r="D438" s="213" t="str">
        <f t="shared" si="111"/>
        <v/>
      </c>
      <c r="E438" s="213" t="str">
        <f t="shared" si="119"/>
        <v/>
      </c>
      <c r="F438" s="214" t="str">
        <f t="shared" si="112"/>
        <v/>
      </c>
      <c r="G438" s="180"/>
      <c r="H438" s="181" t="str">
        <f t="shared" si="113"/>
        <v/>
      </c>
      <c r="I438" s="227"/>
      <c r="J438" s="227"/>
      <c r="K438" s="227"/>
      <c r="L438" s="227"/>
      <c r="M438" s="210" t="str">
        <f t="shared" si="118"/>
        <v/>
      </c>
      <c r="N438" s="210"/>
      <c r="O438" s="207"/>
      <c r="P438" s="182" t="str">
        <f t="shared" si="103"/>
        <v/>
      </c>
      <c r="Q438" s="183" t="str">
        <f t="shared" si="114"/>
        <v/>
      </c>
      <c r="R438" s="182" t="str">
        <f>IF(M438&lt;&gt;"",IF(#REF!*F438*10=0,"",#REF!*F438*10),"")</f>
        <v/>
      </c>
      <c r="S438" s="184" t="str">
        <f t="shared" si="115"/>
        <v/>
      </c>
      <c r="T438" s="185" t="str">
        <f t="shared" si="104"/>
        <v/>
      </c>
      <c r="U438" s="183" t="str">
        <f t="shared" si="116"/>
        <v/>
      </c>
      <c r="V438" s="186" t="str">
        <f t="shared" si="105"/>
        <v/>
      </c>
      <c r="W438" s="186" t="str">
        <f t="shared" si="106"/>
        <v/>
      </c>
      <c r="X438" s="187" t="str">
        <f t="shared" si="107"/>
        <v/>
      </c>
      <c r="Y438" s="182" t="str">
        <f t="shared" si="117"/>
        <v/>
      </c>
      <c r="Z438" s="209" t="str">
        <f t="shared" si="108"/>
        <v/>
      </c>
      <c r="AA438" s="209" t="str">
        <f t="shared" si="109"/>
        <v/>
      </c>
      <c r="AB438" s="200"/>
      <c r="AC438" s="192"/>
    </row>
    <row r="439" spans="1:29" ht="11.4">
      <c r="A439" s="211" t="str">
        <f t="shared" si="110"/>
        <v/>
      </c>
      <c r="B439" s="211"/>
      <c r="C439" s="215"/>
      <c r="D439" s="213" t="str">
        <f t="shared" si="111"/>
        <v/>
      </c>
      <c r="E439" s="213" t="str">
        <f t="shared" si="119"/>
        <v/>
      </c>
      <c r="F439" s="214" t="str">
        <f t="shared" si="112"/>
        <v/>
      </c>
      <c r="G439" s="180"/>
      <c r="H439" s="181" t="str">
        <f t="shared" si="113"/>
        <v/>
      </c>
      <c r="I439" s="227"/>
      <c r="J439" s="227"/>
      <c r="K439" s="227"/>
      <c r="L439" s="227"/>
      <c r="M439" s="210" t="str">
        <f t="shared" si="118"/>
        <v/>
      </c>
      <c r="N439" s="210"/>
      <c r="O439" s="207"/>
      <c r="P439" s="182" t="str">
        <f t="shared" si="103"/>
        <v/>
      </c>
      <c r="Q439" s="183" t="str">
        <f t="shared" si="114"/>
        <v/>
      </c>
      <c r="R439" s="182" t="str">
        <f>IF(M439&lt;&gt;"",IF(#REF!*F439*10=0,"",#REF!*F439*10),"")</f>
        <v/>
      </c>
      <c r="S439" s="184" t="str">
        <f t="shared" si="115"/>
        <v/>
      </c>
      <c r="T439" s="185" t="str">
        <f t="shared" si="104"/>
        <v/>
      </c>
      <c r="U439" s="183" t="str">
        <f t="shared" si="116"/>
        <v/>
      </c>
      <c r="V439" s="186" t="str">
        <f t="shared" si="105"/>
        <v/>
      </c>
      <c r="W439" s="186" t="str">
        <f t="shared" si="106"/>
        <v/>
      </c>
      <c r="X439" s="187" t="str">
        <f t="shared" si="107"/>
        <v/>
      </c>
      <c r="Y439" s="182" t="str">
        <f t="shared" si="117"/>
        <v/>
      </c>
      <c r="Z439" s="209" t="str">
        <f t="shared" si="108"/>
        <v/>
      </c>
      <c r="AA439" s="209" t="str">
        <f t="shared" si="109"/>
        <v/>
      </c>
      <c r="AB439" s="200"/>
      <c r="AC439" s="192"/>
    </row>
    <row r="440" spans="1:29" ht="11.4">
      <c r="A440" s="211" t="str">
        <f t="shared" si="110"/>
        <v/>
      </c>
      <c r="B440" s="211"/>
      <c r="C440" s="215"/>
      <c r="D440" s="213" t="str">
        <f t="shared" si="111"/>
        <v/>
      </c>
      <c r="E440" s="213" t="str">
        <f t="shared" si="119"/>
        <v/>
      </c>
      <c r="F440" s="214" t="str">
        <f t="shared" si="112"/>
        <v/>
      </c>
      <c r="G440" s="180"/>
      <c r="H440" s="181" t="str">
        <f t="shared" si="113"/>
        <v/>
      </c>
      <c r="I440" s="227"/>
      <c r="J440" s="227"/>
      <c r="K440" s="227"/>
      <c r="L440" s="227"/>
      <c r="M440" s="210" t="str">
        <f t="shared" si="118"/>
        <v/>
      </c>
      <c r="N440" s="210"/>
      <c r="O440" s="207"/>
      <c r="P440" s="182" t="str">
        <f t="shared" si="103"/>
        <v/>
      </c>
      <c r="Q440" s="183" t="str">
        <f t="shared" si="114"/>
        <v/>
      </c>
      <c r="R440" s="182" t="str">
        <f>IF(M440&lt;&gt;"",IF(#REF!*F440*10=0,"",#REF!*F440*10),"")</f>
        <v/>
      </c>
      <c r="S440" s="184" t="str">
        <f t="shared" si="115"/>
        <v/>
      </c>
      <c r="T440" s="185" t="str">
        <f t="shared" si="104"/>
        <v/>
      </c>
      <c r="U440" s="183" t="str">
        <f t="shared" si="116"/>
        <v/>
      </c>
      <c r="V440" s="186" t="str">
        <f t="shared" si="105"/>
        <v/>
      </c>
      <c r="W440" s="186" t="str">
        <f t="shared" si="106"/>
        <v/>
      </c>
      <c r="X440" s="187" t="str">
        <f t="shared" si="107"/>
        <v/>
      </c>
      <c r="Y440" s="182" t="str">
        <f t="shared" si="117"/>
        <v/>
      </c>
      <c r="Z440" s="209" t="str">
        <f t="shared" si="108"/>
        <v/>
      </c>
      <c r="AA440" s="209" t="str">
        <f t="shared" si="109"/>
        <v/>
      </c>
      <c r="AB440" s="200"/>
      <c r="AC440" s="192"/>
    </row>
    <row r="441" spans="1:29" ht="11.4">
      <c r="A441" s="211" t="str">
        <f t="shared" si="110"/>
        <v/>
      </c>
      <c r="B441" s="211"/>
      <c r="C441" s="215"/>
      <c r="D441" s="213" t="str">
        <f t="shared" si="111"/>
        <v/>
      </c>
      <c r="E441" s="213" t="str">
        <f t="shared" si="119"/>
        <v/>
      </c>
      <c r="F441" s="214" t="str">
        <f t="shared" si="112"/>
        <v/>
      </c>
      <c r="G441" s="180"/>
      <c r="H441" s="181" t="str">
        <f t="shared" si="113"/>
        <v/>
      </c>
      <c r="I441" s="227"/>
      <c r="J441" s="227"/>
      <c r="K441" s="227"/>
      <c r="L441" s="227"/>
      <c r="M441" s="210" t="str">
        <f t="shared" si="118"/>
        <v/>
      </c>
      <c r="N441" s="210"/>
      <c r="O441" s="207"/>
      <c r="P441" s="182" t="str">
        <f t="shared" si="103"/>
        <v/>
      </c>
      <c r="Q441" s="183" t="str">
        <f t="shared" si="114"/>
        <v/>
      </c>
      <c r="R441" s="182" t="str">
        <f>IF(M441&lt;&gt;"",IF(#REF!*F441*10=0,"",#REF!*F441*10),"")</f>
        <v/>
      </c>
      <c r="S441" s="184" t="str">
        <f t="shared" si="115"/>
        <v/>
      </c>
      <c r="T441" s="185" t="str">
        <f t="shared" si="104"/>
        <v/>
      </c>
      <c r="U441" s="183" t="str">
        <f t="shared" si="116"/>
        <v/>
      </c>
      <c r="V441" s="186" t="str">
        <f t="shared" si="105"/>
        <v/>
      </c>
      <c r="W441" s="186" t="str">
        <f t="shared" si="106"/>
        <v/>
      </c>
      <c r="X441" s="187" t="str">
        <f t="shared" si="107"/>
        <v/>
      </c>
      <c r="Y441" s="182" t="str">
        <f t="shared" si="117"/>
        <v/>
      </c>
      <c r="Z441" s="209" t="str">
        <f t="shared" si="108"/>
        <v/>
      </c>
      <c r="AA441" s="209" t="str">
        <f t="shared" si="109"/>
        <v/>
      </c>
      <c r="AB441" s="200"/>
      <c r="AC441" s="192"/>
    </row>
    <row r="442" spans="1:29" ht="11.4">
      <c r="A442" s="211" t="str">
        <f t="shared" si="110"/>
        <v/>
      </c>
      <c r="B442" s="211"/>
      <c r="C442" s="215"/>
      <c r="D442" s="213" t="str">
        <f t="shared" si="111"/>
        <v/>
      </c>
      <c r="E442" s="213" t="str">
        <f t="shared" si="119"/>
        <v/>
      </c>
      <c r="F442" s="214" t="str">
        <f t="shared" si="112"/>
        <v/>
      </c>
      <c r="G442" s="180"/>
      <c r="H442" s="181" t="str">
        <f t="shared" si="113"/>
        <v/>
      </c>
      <c r="I442" s="227"/>
      <c r="J442" s="227"/>
      <c r="K442" s="227"/>
      <c r="L442" s="227"/>
      <c r="M442" s="210" t="str">
        <f t="shared" si="118"/>
        <v/>
      </c>
      <c r="N442" s="210"/>
      <c r="O442" s="207"/>
      <c r="P442" s="182" t="str">
        <f t="shared" si="103"/>
        <v/>
      </c>
      <c r="Q442" s="183" t="str">
        <f t="shared" si="114"/>
        <v/>
      </c>
      <c r="R442" s="182" t="str">
        <f>IF(M442&lt;&gt;"",IF(#REF!*F442*10=0,"",#REF!*F442*10),"")</f>
        <v/>
      </c>
      <c r="S442" s="184" t="str">
        <f t="shared" si="115"/>
        <v/>
      </c>
      <c r="T442" s="185" t="str">
        <f t="shared" si="104"/>
        <v/>
      </c>
      <c r="U442" s="183" t="str">
        <f t="shared" si="116"/>
        <v/>
      </c>
      <c r="V442" s="186" t="str">
        <f t="shared" si="105"/>
        <v/>
      </c>
      <c r="W442" s="186" t="str">
        <f t="shared" si="106"/>
        <v/>
      </c>
      <c r="X442" s="187" t="str">
        <f t="shared" si="107"/>
        <v/>
      </c>
      <c r="Y442" s="182" t="str">
        <f t="shared" si="117"/>
        <v/>
      </c>
      <c r="Z442" s="209" t="str">
        <f t="shared" si="108"/>
        <v/>
      </c>
      <c r="AA442" s="209" t="str">
        <f t="shared" si="109"/>
        <v/>
      </c>
      <c r="AB442" s="200"/>
      <c r="AC442" s="192"/>
    </row>
    <row r="443" spans="1:29" ht="11.4">
      <c r="A443" s="211" t="str">
        <f t="shared" si="110"/>
        <v/>
      </c>
      <c r="B443" s="211"/>
      <c r="C443" s="215"/>
      <c r="D443" s="213" t="str">
        <f t="shared" si="111"/>
        <v/>
      </c>
      <c r="E443" s="213" t="str">
        <f t="shared" si="119"/>
        <v/>
      </c>
      <c r="F443" s="214" t="str">
        <f t="shared" si="112"/>
        <v/>
      </c>
      <c r="G443" s="180"/>
      <c r="H443" s="181" t="str">
        <f t="shared" si="113"/>
        <v/>
      </c>
      <c r="I443" s="227"/>
      <c r="J443" s="227"/>
      <c r="K443" s="227"/>
      <c r="L443" s="227"/>
      <c r="M443" s="210" t="str">
        <f t="shared" si="118"/>
        <v/>
      </c>
      <c r="N443" s="210"/>
      <c r="O443" s="207"/>
      <c r="P443" s="182" t="str">
        <f t="shared" si="103"/>
        <v/>
      </c>
      <c r="Q443" s="183" t="str">
        <f t="shared" si="114"/>
        <v/>
      </c>
      <c r="R443" s="182" t="str">
        <f>IF(M443&lt;&gt;"",IF(#REF!*F443*10=0,"",#REF!*F443*10),"")</f>
        <v/>
      </c>
      <c r="S443" s="184" t="str">
        <f t="shared" si="115"/>
        <v/>
      </c>
      <c r="T443" s="185" t="str">
        <f t="shared" si="104"/>
        <v/>
      </c>
      <c r="U443" s="183" t="str">
        <f t="shared" si="116"/>
        <v/>
      </c>
      <c r="V443" s="186" t="str">
        <f t="shared" si="105"/>
        <v/>
      </c>
      <c r="W443" s="186" t="str">
        <f t="shared" si="106"/>
        <v/>
      </c>
      <c r="X443" s="187" t="str">
        <f t="shared" si="107"/>
        <v/>
      </c>
      <c r="Y443" s="182" t="str">
        <f t="shared" si="117"/>
        <v/>
      </c>
      <c r="Z443" s="209" t="str">
        <f t="shared" si="108"/>
        <v/>
      </c>
      <c r="AA443" s="209" t="str">
        <f t="shared" si="109"/>
        <v/>
      </c>
      <c r="AB443" s="200"/>
      <c r="AC443" s="192"/>
    </row>
    <row r="444" spans="1:29" ht="11.4">
      <c r="A444" s="211" t="str">
        <f t="shared" si="110"/>
        <v/>
      </c>
      <c r="B444" s="211"/>
      <c r="C444" s="215"/>
      <c r="D444" s="213" t="str">
        <f t="shared" si="111"/>
        <v/>
      </c>
      <c r="E444" s="213" t="str">
        <f t="shared" si="119"/>
        <v/>
      </c>
      <c r="F444" s="214" t="str">
        <f t="shared" si="112"/>
        <v/>
      </c>
      <c r="G444" s="180"/>
      <c r="H444" s="181" t="str">
        <f t="shared" si="113"/>
        <v/>
      </c>
      <c r="I444" s="227"/>
      <c r="J444" s="227"/>
      <c r="K444" s="227"/>
      <c r="L444" s="227"/>
      <c r="M444" s="210" t="str">
        <f t="shared" si="118"/>
        <v/>
      </c>
      <c r="N444" s="210"/>
      <c r="O444" s="207"/>
      <c r="P444" s="182" t="str">
        <f t="shared" si="103"/>
        <v/>
      </c>
      <c r="Q444" s="183" t="str">
        <f t="shared" si="114"/>
        <v/>
      </c>
      <c r="R444" s="182" t="str">
        <f>IF(M444&lt;&gt;"",IF(#REF!*F444*10=0,"",#REF!*F444*10),"")</f>
        <v/>
      </c>
      <c r="S444" s="184" t="str">
        <f t="shared" si="115"/>
        <v/>
      </c>
      <c r="T444" s="185" t="str">
        <f t="shared" si="104"/>
        <v/>
      </c>
      <c r="U444" s="183" t="str">
        <f t="shared" si="116"/>
        <v/>
      </c>
      <c r="V444" s="186" t="str">
        <f t="shared" si="105"/>
        <v/>
      </c>
      <c r="W444" s="186" t="str">
        <f t="shared" si="106"/>
        <v/>
      </c>
      <c r="X444" s="187" t="str">
        <f t="shared" si="107"/>
        <v/>
      </c>
      <c r="Y444" s="182" t="str">
        <f t="shared" si="117"/>
        <v/>
      </c>
      <c r="Z444" s="209" t="str">
        <f t="shared" si="108"/>
        <v/>
      </c>
      <c r="AA444" s="209" t="str">
        <f t="shared" si="109"/>
        <v/>
      </c>
      <c r="AB444" s="200"/>
      <c r="AC444" s="192"/>
    </row>
    <row r="445" spans="1:29" ht="11.4">
      <c r="A445" s="211" t="str">
        <f t="shared" si="110"/>
        <v/>
      </c>
      <c r="B445" s="211"/>
      <c r="C445" s="215"/>
      <c r="D445" s="213" t="str">
        <f t="shared" si="111"/>
        <v/>
      </c>
      <c r="E445" s="213" t="str">
        <f t="shared" si="119"/>
        <v/>
      </c>
      <c r="F445" s="214" t="str">
        <f t="shared" si="112"/>
        <v/>
      </c>
      <c r="G445" s="180"/>
      <c r="H445" s="181" t="str">
        <f t="shared" si="113"/>
        <v/>
      </c>
      <c r="I445" s="227"/>
      <c r="J445" s="227"/>
      <c r="K445" s="227"/>
      <c r="L445" s="227"/>
      <c r="M445" s="210" t="str">
        <f t="shared" si="118"/>
        <v/>
      </c>
      <c r="N445" s="210"/>
      <c r="O445" s="207"/>
      <c r="P445" s="182" t="str">
        <f t="shared" si="103"/>
        <v/>
      </c>
      <c r="Q445" s="183" t="str">
        <f t="shared" si="114"/>
        <v/>
      </c>
      <c r="R445" s="182" t="str">
        <f>IF(M445&lt;&gt;"",IF(#REF!*F445*10=0,"",#REF!*F445*10),"")</f>
        <v/>
      </c>
      <c r="S445" s="184" t="str">
        <f t="shared" si="115"/>
        <v/>
      </c>
      <c r="T445" s="185" t="str">
        <f t="shared" si="104"/>
        <v/>
      </c>
      <c r="U445" s="183" t="str">
        <f t="shared" si="116"/>
        <v/>
      </c>
      <c r="V445" s="186" t="str">
        <f t="shared" si="105"/>
        <v/>
      </c>
      <c r="W445" s="186" t="str">
        <f t="shared" si="106"/>
        <v/>
      </c>
      <c r="X445" s="187" t="str">
        <f t="shared" si="107"/>
        <v/>
      </c>
      <c r="Y445" s="182" t="str">
        <f t="shared" si="117"/>
        <v/>
      </c>
      <c r="Z445" s="209" t="str">
        <f t="shared" si="108"/>
        <v/>
      </c>
      <c r="AA445" s="209" t="str">
        <f t="shared" si="109"/>
        <v/>
      </c>
      <c r="AB445" s="200"/>
      <c r="AC445" s="192"/>
    </row>
    <row r="446" spans="1:29" ht="11.4">
      <c r="A446" s="211" t="str">
        <f t="shared" si="110"/>
        <v/>
      </c>
      <c r="B446" s="211"/>
      <c r="C446" s="215"/>
      <c r="D446" s="213" t="str">
        <f t="shared" si="111"/>
        <v/>
      </c>
      <c r="E446" s="213" t="str">
        <f t="shared" si="119"/>
        <v/>
      </c>
      <c r="F446" s="214" t="str">
        <f t="shared" si="112"/>
        <v/>
      </c>
      <c r="G446" s="180"/>
      <c r="H446" s="181" t="str">
        <f t="shared" si="113"/>
        <v/>
      </c>
      <c r="I446" s="227"/>
      <c r="J446" s="227"/>
      <c r="K446" s="227"/>
      <c r="L446" s="227"/>
      <c r="M446" s="210" t="str">
        <f t="shared" si="118"/>
        <v/>
      </c>
      <c r="N446" s="210"/>
      <c r="O446" s="207"/>
      <c r="P446" s="182" t="str">
        <f t="shared" si="103"/>
        <v/>
      </c>
      <c r="Q446" s="183" t="str">
        <f t="shared" si="114"/>
        <v/>
      </c>
      <c r="R446" s="182" t="str">
        <f>IF(M446&lt;&gt;"",IF(#REF!*F446*10=0,"",#REF!*F446*10),"")</f>
        <v/>
      </c>
      <c r="S446" s="184" t="str">
        <f t="shared" si="115"/>
        <v/>
      </c>
      <c r="T446" s="185" t="str">
        <f t="shared" si="104"/>
        <v/>
      </c>
      <c r="U446" s="183" t="str">
        <f t="shared" si="116"/>
        <v/>
      </c>
      <c r="V446" s="186" t="str">
        <f t="shared" si="105"/>
        <v/>
      </c>
      <c r="W446" s="186" t="str">
        <f t="shared" si="106"/>
        <v/>
      </c>
      <c r="X446" s="187" t="str">
        <f t="shared" si="107"/>
        <v/>
      </c>
      <c r="Y446" s="182" t="str">
        <f t="shared" si="117"/>
        <v/>
      </c>
      <c r="Z446" s="209" t="str">
        <f t="shared" si="108"/>
        <v/>
      </c>
      <c r="AA446" s="209" t="str">
        <f t="shared" si="109"/>
        <v/>
      </c>
      <c r="AB446" s="200"/>
      <c r="AC446" s="192"/>
    </row>
    <row r="447" spans="1:29" ht="11.4">
      <c r="A447" s="211" t="str">
        <f t="shared" si="110"/>
        <v/>
      </c>
      <c r="B447" s="211"/>
      <c r="C447" s="215"/>
      <c r="D447" s="213" t="str">
        <f t="shared" si="111"/>
        <v/>
      </c>
      <c r="E447" s="213" t="str">
        <f t="shared" si="119"/>
        <v/>
      </c>
      <c r="F447" s="214" t="str">
        <f t="shared" si="112"/>
        <v/>
      </c>
      <c r="G447" s="180"/>
      <c r="H447" s="181" t="str">
        <f t="shared" si="113"/>
        <v/>
      </c>
      <c r="I447" s="227"/>
      <c r="J447" s="227"/>
      <c r="K447" s="227"/>
      <c r="L447" s="227"/>
      <c r="M447" s="210" t="str">
        <f t="shared" si="118"/>
        <v/>
      </c>
      <c r="N447" s="210"/>
      <c r="O447" s="207"/>
      <c r="P447" s="182" t="str">
        <f t="shared" si="103"/>
        <v/>
      </c>
      <c r="Q447" s="183" t="str">
        <f t="shared" si="114"/>
        <v/>
      </c>
      <c r="R447" s="182" t="str">
        <f>IF(M447&lt;&gt;"",IF(#REF!*F447*10=0,"",#REF!*F447*10),"")</f>
        <v/>
      </c>
      <c r="S447" s="184" t="str">
        <f t="shared" si="115"/>
        <v/>
      </c>
      <c r="T447" s="185" t="str">
        <f t="shared" si="104"/>
        <v/>
      </c>
      <c r="U447" s="183" t="str">
        <f t="shared" si="116"/>
        <v/>
      </c>
      <c r="V447" s="186" t="str">
        <f t="shared" si="105"/>
        <v/>
      </c>
      <c r="W447" s="186" t="str">
        <f t="shared" si="106"/>
        <v/>
      </c>
      <c r="X447" s="187" t="str">
        <f t="shared" si="107"/>
        <v/>
      </c>
      <c r="Y447" s="182" t="str">
        <f t="shared" si="117"/>
        <v/>
      </c>
      <c r="Z447" s="209" t="str">
        <f t="shared" si="108"/>
        <v/>
      </c>
      <c r="AA447" s="209" t="str">
        <f t="shared" si="109"/>
        <v/>
      </c>
      <c r="AB447" s="200"/>
      <c r="AC447" s="192"/>
    </row>
    <row r="448" spans="1:29" ht="11.4">
      <c r="A448" s="211" t="str">
        <f t="shared" si="110"/>
        <v/>
      </c>
      <c r="B448" s="211"/>
      <c r="C448" s="215"/>
      <c r="D448" s="213" t="str">
        <f t="shared" si="111"/>
        <v/>
      </c>
      <c r="E448" s="213" t="str">
        <f t="shared" si="119"/>
        <v/>
      </c>
      <c r="F448" s="214" t="str">
        <f t="shared" si="112"/>
        <v/>
      </c>
      <c r="G448" s="180"/>
      <c r="H448" s="181" t="str">
        <f t="shared" si="113"/>
        <v/>
      </c>
      <c r="I448" s="227"/>
      <c r="J448" s="227"/>
      <c r="K448" s="227"/>
      <c r="L448" s="227"/>
      <c r="M448" s="210" t="str">
        <f t="shared" si="118"/>
        <v/>
      </c>
      <c r="N448" s="210"/>
      <c r="O448" s="207"/>
      <c r="P448" s="182" t="str">
        <f t="shared" si="103"/>
        <v/>
      </c>
      <c r="Q448" s="183" t="str">
        <f t="shared" si="114"/>
        <v/>
      </c>
      <c r="R448" s="182" t="str">
        <f>IF(M448&lt;&gt;"",IF(#REF!*F448*10=0,"",#REF!*F448*10),"")</f>
        <v/>
      </c>
      <c r="S448" s="184" t="str">
        <f t="shared" si="115"/>
        <v/>
      </c>
      <c r="T448" s="185" t="str">
        <f t="shared" si="104"/>
        <v/>
      </c>
      <c r="U448" s="183" t="str">
        <f t="shared" si="116"/>
        <v/>
      </c>
      <c r="V448" s="186" t="str">
        <f t="shared" si="105"/>
        <v/>
      </c>
      <c r="W448" s="186" t="str">
        <f t="shared" si="106"/>
        <v/>
      </c>
      <c r="X448" s="187" t="str">
        <f t="shared" si="107"/>
        <v/>
      </c>
      <c r="Y448" s="182" t="str">
        <f t="shared" si="117"/>
        <v/>
      </c>
      <c r="Z448" s="209" t="str">
        <f t="shared" si="108"/>
        <v/>
      </c>
      <c r="AA448" s="209" t="str">
        <f t="shared" si="109"/>
        <v/>
      </c>
      <c r="AB448" s="200"/>
      <c r="AC448" s="192"/>
    </row>
    <row r="449" spans="1:29" ht="11.4">
      <c r="A449" s="211" t="str">
        <f t="shared" si="110"/>
        <v/>
      </c>
      <c r="B449" s="211"/>
      <c r="C449" s="215"/>
      <c r="D449" s="213" t="str">
        <f t="shared" si="111"/>
        <v/>
      </c>
      <c r="E449" s="213" t="str">
        <f t="shared" si="119"/>
        <v/>
      </c>
      <c r="F449" s="214" t="str">
        <f t="shared" si="112"/>
        <v/>
      </c>
      <c r="G449" s="180"/>
      <c r="H449" s="181" t="str">
        <f t="shared" si="113"/>
        <v/>
      </c>
      <c r="I449" s="227"/>
      <c r="J449" s="227"/>
      <c r="K449" s="227"/>
      <c r="L449" s="227"/>
      <c r="M449" s="210" t="str">
        <f t="shared" si="118"/>
        <v/>
      </c>
      <c r="N449" s="210"/>
      <c r="O449" s="207"/>
      <c r="P449" s="182" t="str">
        <f t="shared" si="103"/>
        <v/>
      </c>
      <c r="Q449" s="183" t="str">
        <f t="shared" si="114"/>
        <v/>
      </c>
      <c r="R449" s="182" t="str">
        <f>IF(M449&lt;&gt;"",IF(#REF!*F449*10=0,"",#REF!*F449*10),"")</f>
        <v/>
      </c>
      <c r="S449" s="184" t="str">
        <f t="shared" si="115"/>
        <v/>
      </c>
      <c r="T449" s="185" t="str">
        <f t="shared" si="104"/>
        <v/>
      </c>
      <c r="U449" s="183" t="str">
        <f t="shared" si="116"/>
        <v/>
      </c>
      <c r="V449" s="186" t="str">
        <f t="shared" si="105"/>
        <v/>
      </c>
      <c r="W449" s="186" t="str">
        <f t="shared" si="106"/>
        <v/>
      </c>
      <c r="X449" s="187" t="str">
        <f t="shared" si="107"/>
        <v/>
      </c>
      <c r="Y449" s="182" t="str">
        <f t="shared" si="117"/>
        <v/>
      </c>
      <c r="Z449" s="209" t="str">
        <f t="shared" si="108"/>
        <v/>
      </c>
      <c r="AA449" s="209" t="str">
        <f t="shared" si="109"/>
        <v/>
      </c>
      <c r="AB449" s="200"/>
      <c r="AC449" s="192"/>
    </row>
    <row r="450" spans="1:29" ht="11.4">
      <c r="A450" s="211" t="str">
        <f t="shared" si="110"/>
        <v/>
      </c>
      <c r="B450" s="211"/>
      <c r="C450" s="215"/>
      <c r="D450" s="213" t="str">
        <f t="shared" si="111"/>
        <v/>
      </c>
      <c r="E450" s="213" t="str">
        <f t="shared" si="119"/>
        <v/>
      </c>
      <c r="F450" s="214" t="str">
        <f t="shared" si="112"/>
        <v/>
      </c>
      <c r="G450" s="180"/>
      <c r="H450" s="181" t="str">
        <f t="shared" si="113"/>
        <v/>
      </c>
      <c r="I450" s="227"/>
      <c r="J450" s="227"/>
      <c r="K450" s="227"/>
      <c r="L450" s="227"/>
      <c r="M450" s="210" t="str">
        <f t="shared" si="118"/>
        <v/>
      </c>
      <c r="N450" s="210"/>
      <c r="O450" s="207"/>
      <c r="P450" s="182" t="str">
        <f t="shared" si="103"/>
        <v/>
      </c>
      <c r="Q450" s="183" t="str">
        <f t="shared" si="114"/>
        <v/>
      </c>
      <c r="R450" s="182" t="str">
        <f>IF(M450&lt;&gt;"",IF(#REF!*F450*10=0,"",#REF!*F450*10),"")</f>
        <v/>
      </c>
      <c r="S450" s="184" t="str">
        <f t="shared" si="115"/>
        <v/>
      </c>
      <c r="T450" s="185" t="str">
        <f t="shared" si="104"/>
        <v/>
      </c>
      <c r="U450" s="183" t="str">
        <f t="shared" si="116"/>
        <v/>
      </c>
      <c r="V450" s="186" t="str">
        <f t="shared" si="105"/>
        <v/>
      </c>
      <c r="W450" s="186" t="str">
        <f t="shared" si="106"/>
        <v/>
      </c>
      <c r="X450" s="187" t="str">
        <f t="shared" si="107"/>
        <v/>
      </c>
      <c r="Y450" s="182" t="str">
        <f t="shared" si="117"/>
        <v/>
      </c>
      <c r="Z450" s="209" t="str">
        <f t="shared" si="108"/>
        <v/>
      </c>
      <c r="AA450" s="209" t="str">
        <f t="shared" si="109"/>
        <v/>
      </c>
      <c r="AB450" s="200"/>
      <c r="AC450" s="192"/>
    </row>
    <row r="451" spans="1:29" ht="11.4">
      <c r="A451" s="211" t="str">
        <f t="shared" si="110"/>
        <v/>
      </c>
      <c r="B451" s="211"/>
      <c r="C451" s="215"/>
      <c r="D451" s="213" t="str">
        <f t="shared" si="111"/>
        <v/>
      </c>
      <c r="E451" s="213" t="str">
        <f t="shared" si="119"/>
        <v/>
      </c>
      <c r="F451" s="214" t="str">
        <f t="shared" si="112"/>
        <v/>
      </c>
      <c r="G451" s="180"/>
      <c r="H451" s="181" t="str">
        <f t="shared" si="113"/>
        <v/>
      </c>
      <c r="I451" s="227"/>
      <c r="J451" s="227"/>
      <c r="K451" s="227"/>
      <c r="L451" s="227"/>
      <c r="M451" s="210" t="str">
        <f t="shared" si="118"/>
        <v/>
      </c>
      <c r="N451" s="210"/>
      <c r="O451" s="207"/>
      <c r="P451" s="182" t="str">
        <f t="shared" si="103"/>
        <v/>
      </c>
      <c r="Q451" s="183" t="str">
        <f t="shared" si="114"/>
        <v/>
      </c>
      <c r="R451" s="182" t="str">
        <f>IF(M451&lt;&gt;"",IF(#REF!*F451*10=0,"",#REF!*F451*10),"")</f>
        <v/>
      </c>
      <c r="S451" s="184" t="str">
        <f t="shared" si="115"/>
        <v/>
      </c>
      <c r="T451" s="185" t="str">
        <f t="shared" si="104"/>
        <v/>
      </c>
      <c r="U451" s="183" t="str">
        <f t="shared" si="116"/>
        <v/>
      </c>
      <c r="V451" s="186" t="str">
        <f t="shared" si="105"/>
        <v/>
      </c>
      <c r="W451" s="186" t="str">
        <f t="shared" si="106"/>
        <v/>
      </c>
      <c r="X451" s="187" t="str">
        <f t="shared" si="107"/>
        <v/>
      </c>
      <c r="Y451" s="182" t="str">
        <f t="shared" si="117"/>
        <v/>
      </c>
      <c r="Z451" s="209" t="str">
        <f t="shared" si="108"/>
        <v/>
      </c>
      <c r="AA451" s="209" t="str">
        <f t="shared" si="109"/>
        <v/>
      </c>
      <c r="AB451" s="200"/>
      <c r="AC451" s="192"/>
    </row>
    <row r="452" spans="1:29" ht="11.4">
      <c r="A452" s="211" t="str">
        <f t="shared" si="110"/>
        <v/>
      </c>
      <c r="B452" s="211"/>
      <c r="C452" s="215"/>
      <c r="D452" s="213" t="str">
        <f t="shared" si="111"/>
        <v/>
      </c>
      <c r="E452" s="213" t="str">
        <f t="shared" si="119"/>
        <v/>
      </c>
      <c r="F452" s="214" t="str">
        <f t="shared" si="112"/>
        <v/>
      </c>
      <c r="G452" s="180"/>
      <c r="H452" s="181" t="str">
        <f t="shared" si="113"/>
        <v/>
      </c>
      <c r="I452" s="227"/>
      <c r="J452" s="227"/>
      <c r="K452" s="227"/>
      <c r="L452" s="227"/>
      <c r="M452" s="210" t="str">
        <f t="shared" si="118"/>
        <v/>
      </c>
      <c r="N452" s="210"/>
      <c r="O452" s="207"/>
      <c r="P452" s="182" t="str">
        <f t="shared" si="103"/>
        <v/>
      </c>
      <c r="Q452" s="183" t="str">
        <f t="shared" si="114"/>
        <v/>
      </c>
      <c r="R452" s="182" t="str">
        <f>IF(M452&lt;&gt;"",IF(#REF!*F452*10=0,"",#REF!*F452*10),"")</f>
        <v/>
      </c>
      <c r="S452" s="184" t="str">
        <f t="shared" si="115"/>
        <v/>
      </c>
      <c r="T452" s="185" t="str">
        <f t="shared" si="104"/>
        <v/>
      </c>
      <c r="U452" s="183" t="str">
        <f t="shared" si="116"/>
        <v/>
      </c>
      <c r="V452" s="186" t="str">
        <f t="shared" si="105"/>
        <v/>
      </c>
      <c r="W452" s="186" t="str">
        <f t="shared" si="106"/>
        <v/>
      </c>
      <c r="X452" s="187" t="str">
        <f t="shared" si="107"/>
        <v/>
      </c>
      <c r="Y452" s="182" t="str">
        <f t="shared" si="117"/>
        <v/>
      </c>
      <c r="Z452" s="209" t="str">
        <f t="shared" si="108"/>
        <v/>
      </c>
      <c r="AA452" s="209" t="str">
        <f t="shared" si="109"/>
        <v/>
      </c>
      <c r="AB452" s="200"/>
      <c r="AC452" s="192"/>
    </row>
    <row r="453" spans="1:29" ht="11.4">
      <c r="A453" s="211" t="str">
        <f t="shared" si="110"/>
        <v/>
      </c>
      <c r="B453" s="211"/>
      <c r="C453" s="215"/>
      <c r="D453" s="213" t="str">
        <f t="shared" si="111"/>
        <v/>
      </c>
      <c r="E453" s="213" t="str">
        <f t="shared" si="119"/>
        <v/>
      </c>
      <c r="F453" s="214" t="str">
        <f t="shared" si="112"/>
        <v/>
      </c>
      <c r="G453" s="180"/>
      <c r="H453" s="181" t="str">
        <f t="shared" si="113"/>
        <v/>
      </c>
      <c r="I453" s="227"/>
      <c r="J453" s="227"/>
      <c r="K453" s="227"/>
      <c r="L453" s="227"/>
      <c r="M453" s="210" t="str">
        <f t="shared" si="118"/>
        <v/>
      </c>
      <c r="N453" s="210"/>
      <c r="O453" s="207"/>
      <c r="P453" s="182" t="str">
        <f t="shared" si="103"/>
        <v/>
      </c>
      <c r="Q453" s="183" t="str">
        <f t="shared" si="114"/>
        <v/>
      </c>
      <c r="R453" s="182" t="str">
        <f>IF(M453&lt;&gt;"",IF(#REF!*F453*10=0,"",#REF!*F453*10),"")</f>
        <v/>
      </c>
      <c r="S453" s="184" t="str">
        <f t="shared" si="115"/>
        <v/>
      </c>
      <c r="T453" s="185" t="str">
        <f t="shared" si="104"/>
        <v/>
      </c>
      <c r="U453" s="183" t="str">
        <f t="shared" si="116"/>
        <v/>
      </c>
      <c r="V453" s="186" t="str">
        <f t="shared" si="105"/>
        <v/>
      </c>
      <c r="W453" s="186" t="str">
        <f t="shared" si="106"/>
        <v/>
      </c>
      <c r="X453" s="187" t="str">
        <f t="shared" si="107"/>
        <v/>
      </c>
      <c r="Y453" s="182" t="str">
        <f t="shared" si="117"/>
        <v/>
      </c>
      <c r="Z453" s="209" t="str">
        <f t="shared" si="108"/>
        <v/>
      </c>
      <c r="AA453" s="209" t="str">
        <f t="shared" si="109"/>
        <v/>
      </c>
      <c r="AB453" s="200"/>
      <c r="AC453" s="192"/>
    </row>
    <row r="454" spans="1:29" ht="11.4">
      <c r="A454" s="211" t="str">
        <f t="shared" si="110"/>
        <v/>
      </c>
      <c r="B454" s="211"/>
      <c r="C454" s="215"/>
      <c r="D454" s="213" t="str">
        <f t="shared" si="111"/>
        <v/>
      </c>
      <c r="E454" s="213" t="str">
        <f t="shared" si="119"/>
        <v/>
      </c>
      <c r="F454" s="214" t="str">
        <f t="shared" si="112"/>
        <v/>
      </c>
      <c r="G454" s="180"/>
      <c r="H454" s="181" t="str">
        <f t="shared" si="113"/>
        <v/>
      </c>
      <c r="I454" s="227"/>
      <c r="J454" s="227"/>
      <c r="K454" s="227"/>
      <c r="L454" s="227"/>
      <c r="M454" s="210" t="str">
        <f t="shared" si="118"/>
        <v/>
      </c>
      <c r="N454" s="210"/>
      <c r="O454" s="207"/>
      <c r="P454" s="182" t="str">
        <f t="shared" si="103"/>
        <v/>
      </c>
      <c r="Q454" s="183" t="str">
        <f t="shared" si="114"/>
        <v/>
      </c>
      <c r="R454" s="182" t="str">
        <f>IF(M454&lt;&gt;"",IF(#REF!*F454*10=0,"",#REF!*F454*10),"")</f>
        <v/>
      </c>
      <c r="S454" s="184" t="str">
        <f t="shared" si="115"/>
        <v/>
      </c>
      <c r="T454" s="185" t="str">
        <f t="shared" si="104"/>
        <v/>
      </c>
      <c r="U454" s="183" t="str">
        <f t="shared" si="116"/>
        <v/>
      </c>
      <c r="V454" s="186" t="str">
        <f t="shared" si="105"/>
        <v/>
      </c>
      <c r="W454" s="186" t="str">
        <f t="shared" si="106"/>
        <v/>
      </c>
      <c r="X454" s="187" t="str">
        <f t="shared" si="107"/>
        <v/>
      </c>
      <c r="Y454" s="182" t="str">
        <f t="shared" si="117"/>
        <v/>
      </c>
      <c r="Z454" s="209" t="str">
        <f t="shared" si="108"/>
        <v/>
      </c>
      <c r="AA454" s="209" t="str">
        <f t="shared" si="109"/>
        <v/>
      </c>
      <c r="AB454" s="200"/>
      <c r="AC454" s="192"/>
    </row>
    <row r="455" spans="1:29" ht="11.4">
      <c r="A455" s="211" t="str">
        <f t="shared" si="110"/>
        <v/>
      </c>
      <c r="B455" s="211"/>
      <c r="C455" s="215"/>
      <c r="D455" s="213" t="str">
        <f t="shared" si="111"/>
        <v/>
      </c>
      <c r="E455" s="213" t="str">
        <f t="shared" si="119"/>
        <v/>
      </c>
      <c r="F455" s="214" t="str">
        <f t="shared" si="112"/>
        <v/>
      </c>
      <c r="G455" s="180"/>
      <c r="H455" s="181" t="str">
        <f t="shared" si="113"/>
        <v/>
      </c>
      <c r="I455" s="227"/>
      <c r="J455" s="227"/>
      <c r="K455" s="227"/>
      <c r="L455" s="227"/>
      <c r="M455" s="210" t="str">
        <f t="shared" si="118"/>
        <v/>
      </c>
      <c r="N455" s="210"/>
      <c r="O455" s="207"/>
      <c r="P455" s="182" t="str">
        <f t="shared" si="103"/>
        <v/>
      </c>
      <c r="Q455" s="183" t="str">
        <f t="shared" si="114"/>
        <v/>
      </c>
      <c r="R455" s="182" t="str">
        <f>IF(M455&lt;&gt;"",IF(#REF!*F455*10=0,"",#REF!*F455*10),"")</f>
        <v/>
      </c>
      <c r="S455" s="184" t="str">
        <f t="shared" si="115"/>
        <v/>
      </c>
      <c r="T455" s="185" t="str">
        <f t="shared" si="104"/>
        <v/>
      </c>
      <c r="U455" s="183" t="str">
        <f t="shared" si="116"/>
        <v/>
      </c>
      <c r="V455" s="186" t="str">
        <f t="shared" si="105"/>
        <v/>
      </c>
      <c r="W455" s="186" t="str">
        <f t="shared" si="106"/>
        <v/>
      </c>
      <c r="X455" s="187" t="str">
        <f t="shared" si="107"/>
        <v/>
      </c>
      <c r="Y455" s="182" t="str">
        <f t="shared" si="117"/>
        <v/>
      </c>
      <c r="Z455" s="209" t="str">
        <f t="shared" si="108"/>
        <v/>
      </c>
      <c r="AA455" s="209" t="str">
        <f t="shared" si="109"/>
        <v/>
      </c>
      <c r="AB455" s="200"/>
      <c r="AC455" s="192"/>
    </row>
    <row r="456" spans="1:29" ht="11.4">
      <c r="A456" s="211" t="str">
        <f t="shared" si="110"/>
        <v/>
      </c>
      <c r="B456" s="211"/>
      <c r="C456" s="215"/>
      <c r="D456" s="213" t="str">
        <f t="shared" si="111"/>
        <v/>
      </c>
      <c r="E456" s="213" t="str">
        <f t="shared" si="119"/>
        <v/>
      </c>
      <c r="F456" s="214" t="str">
        <f t="shared" si="112"/>
        <v/>
      </c>
      <c r="G456" s="180"/>
      <c r="H456" s="181" t="str">
        <f t="shared" si="113"/>
        <v/>
      </c>
      <c r="I456" s="227"/>
      <c r="J456" s="227"/>
      <c r="K456" s="227"/>
      <c r="L456" s="227"/>
      <c r="M456" s="210" t="str">
        <f t="shared" si="118"/>
        <v/>
      </c>
      <c r="N456" s="210"/>
      <c r="O456" s="207"/>
      <c r="P456" s="182" t="str">
        <f t="shared" si="103"/>
        <v/>
      </c>
      <c r="Q456" s="183" t="str">
        <f t="shared" si="114"/>
        <v/>
      </c>
      <c r="R456" s="182" t="str">
        <f>IF(M456&lt;&gt;"",IF(#REF!*F456*10=0,"",#REF!*F456*10),"")</f>
        <v/>
      </c>
      <c r="S456" s="184" t="str">
        <f t="shared" si="115"/>
        <v/>
      </c>
      <c r="T456" s="185" t="str">
        <f t="shared" si="104"/>
        <v/>
      </c>
      <c r="U456" s="183" t="str">
        <f t="shared" si="116"/>
        <v/>
      </c>
      <c r="V456" s="186" t="str">
        <f t="shared" si="105"/>
        <v/>
      </c>
      <c r="W456" s="186" t="str">
        <f t="shared" si="106"/>
        <v/>
      </c>
      <c r="X456" s="187" t="str">
        <f t="shared" si="107"/>
        <v/>
      </c>
      <c r="Y456" s="182" t="str">
        <f t="shared" si="117"/>
        <v/>
      </c>
      <c r="Z456" s="209" t="str">
        <f t="shared" si="108"/>
        <v/>
      </c>
      <c r="AA456" s="209" t="str">
        <f t="shared" si="109"/>
        <v/>
      </c>
      <c r="AB456" s="200"/>
      <c r="AC456" s="192"/>
    </row>
    <row r="457" spans="1:29" ht="11.4">
      <c r="A457" s="211" t="str">
        <f t="shared" si="110"/>
        <v/>
      </c>
      <c r="B457" s="211"/>
      <c r="C457" s="215"/>
      <c r="D457" s="213" t="str">
        <f t="shared" si="111"/>
        <v/>
      </c>
      <c r="E457" s="213" t="str">
        <f t="shared" si="119"/>
        <v/>
      </c>
      <c r="F457" s="214" t="str">
        <f t="shared" si="112"/>
        <v/>
      </c>
      <c r="G457" s="180"/>
      <c r="H457" s="181" t="str">
        <f t="shared" si="113"/>
        <v/>
      </c>
      <c r="I457" s="227"/>
      <c r="J457" s="227"/>
      <c r="K457" s="227"/>
      <c r="L457" s="227"/>
      <c r="M457" s="210" t="str">
        <f t="shared" si="118"/>
        <v/>
      </c>
      <c r="N457" s="210"/>
      <c r="O457" s="207"/>
      <c r="P457" s="182" t="str">
        <f t="shared" si="103"/>
        <v/>
      </c>
      <c r="Q457" s="183" t="str">
        <f t="shared" si="114"/>
        <v/>
      </c>
      <c r="R457" s="182" t="str">
        <f>IF(M457&lt;&gt;"",IF(#REF!*F457*10=0,"",#REF!*F457*10),"")</f>
        <v/>
      </c>
      <c r="S457" s="184" t="str">
        <f t="shared" si="115"/>
        <v/>
      </c>
      <c r="T457" s="185" t="str">
        <f t="shared" si="104"/>
        <v/>
      </c>
      <c r="U457" s="183" t="str">
        <f t="shared" si="116"/>
        <v/>
      </c>
      <c r="V457" s="186" t="str">
        <f t="shared" si="105"/>
        <v/>
      </c>
      <c r="W457" s="186" t="str">
        <f t="shared" si="106"/>
        <v/>
      </c>
      <c r="X457" s="187" t="str">
        <f t="shared" si="107"/>
        <v/>
      </c>
      <c r="Y457" s="182" t="str">
        <f t="shared" si="117"/>
        <v/>
      </c>
      <c r="Z457" s="209" t="str">
        <f t="shared" si="108"/>
        <v/>
      </c>
      <c r="AA457" s="209" t="str">
        <f t="shared" si="109"/>
        <v/>
      </c>
      <c r="AB457" s="200"/>
      <c r="AC457" s="192"/>
    </row>
    <row r="458" spans="1:29" ht="11.4">
      <c r="A458" s="211" t="str">
        <f t="shared" si="110"/>
        <v/>
      </c>
      <c r="B458" s="211"/>
      <c r="C458" s="215"/>
      <c r="D458" s="213" t="str">
        <f t="shared" si="111"/>
        <v/>
      </c>
      <c r="E458" s="213" t="str">
        <f t="shared" si="119"/>
        <v/>
      </c>
      <c r="F458" s="214" t="str">
        <f t="shared" si="112"/>
        <v/>
      </c>
      <c r="G458" s="180"/>
      <c r="H458" s="181" t="str">
        <f t="shared" si="113"/>
        <v/>
      </c>
      <c r="I458" s="227"/>
      <c r="J458" s="227"/>
      <c r="K458" s="227"/>
      <c r="L458" s="227"/>
      <c r="M458" s="210" t="str">
        <f t="shared" si="118"/>
        <v/>
      </c>
      <c r="N458" s="210"/>
      <c r="O458" s="207"/>
      <c r="P458" s="182" t="str">
        <f t="shared" si="103"/>
        <v/>
      </c>
      <c r="Q458" s="183" t="str">
        <f t="shared" si="114"/>
        <v/>
      </c>
      <c r="R458" s="182" t="str">
        <f>IF(M458&lt;&gt;"",IF(#REF!*F458*10=0,"",#REF!*F458*10),"")</f>
        <v/>
      </c>
      <c r="S458" s="184" t="str">
        <f t="shared" si="115"/>
        <v/>
      </c>
      <c r="T458" s="185" t="str">
        <f t="shared" si="104"/>
        <v/>
      </c>
      <c r="U458" s="183" t="str">
        <f t="shared" si="116"/>
        <v/>
      </c>
      <c r="V458" s="186" t="str">
        <f t="shared" si="105"/>
        <v/>
      </c>
      <c r="W458" s="186" t="str">
        <f t="shared" si="106"/>
        <v/>
      </c>
      <c r="X458" s="187" t="str">
        <f t="shared" si="107"/>
        <v/>
      </c>
      <c r="Y458" s="182" t="str">
        <f t="shared" si="117"/>
        <v/>
      </c>
      <c r="Z458" s="209" t="str">
        <f t="shared" si="108"/>
        <v/>
      </c>
      <c r="AA458" s="209" t="str">
        <f t="shared" si="109"/>
        <v/>
      </c>
      <c r="AB458" s="200"/>
      <c r="AC458" s="192"/>
    </row>
    <row r="459" spans="1:29" ht="11.4">
      <c r="A459" s="211" t="str">
        <f t="shared" si="110"/>
        <v/>
      </c>
      <c r="B459" s="211"/>
      <c r="C459" s="215"/>
      <c r="D459" s="213" t="str">
        <f t="shared" si="111"/>
        <v/>
      </c>
      <c r="E459" s="213" t="str">
        <f t="shared" si="119"/>
        <v/>
      </c>
      <c r="F459" s="214" t="str">
        <f t="shared" si="112"/>
        <v/>
      </c>
      <c r="G459" s="180"/>
      <c r="H459" s="181" t="str">
        <f t="shared" si="113"/>
        <v/>
      </c>
      <c r="I459" s="227"/>
      <c r="J459" s="227"/>
      <c r="K459" s="227"/>
      <c r="L459" s="227"/>
      <c r="M459" s="210" t="str">
        <f t="shared" si="118"/>
        <v/>
      </c>
      <c r="N459" s="210"/>
      <c r="O459" s="207"/>
      <c r="P459" s="182" t="str">
        <f t="shared" si="103"/>
        <v/>
      </c>
      <c r="Q459" s="183" t="str">
        <f t="shared" si="114"/>
        <v/>
      </c>
      <c r="R459" s="182" t="str">
        <f>IF(M459&lt;&gt;"",IF(#REF!*F459*10=0,"",#REF!*F459*10),"")</f>
        <v/>
      </c>
      <c r="S459" s="184" t="str">
        <f t="shared" si="115"/>
        <v/>
      </c>
      <c r="T459" s="185" t="str">
        <f t="shared" si="104"/>
        <v/>
      </c>
      <c r="U459" s="183" t="str">
        <f t="shared" si="116"/>
        <v/>
      </c>
      <c r="V459" s="186" t="str">
        <f t="shared" si="105"/>
        <v/>
      </c>
      <c r="W459" s="186" t="str">
        <f t="shared" si="106"/>
        <v/>
      </c>
      <c r="X459" s="187" t="str">
        <f t="shared" si="107"/>
        <v/>
      </c>
      <c r="Y459" s="182" t="str">
        <f t="shared" si="117"/>
        <v/>
      </c>
      <c r="Z459" s="209" t="str">
        <f t="shared" si="108"/>
        <v/>
      </c>
      <c r="AA459" s="209" t="str">
        <f t="shared" si="109"/>
        <v/>
      </c>
      <c r="AB459" s="200"/>
      <c r="AC459" s="192"/>
    </row>
    <row r="460" spans="1:29" ht="11.4">
      <c r="A460" s="211" t="str">
        <f t="shared" si="110"/>
        <v/>
      </c>
      <c r="B460" s="211"/>
      <c r="C460" s="215"/>
      <c r="D460" s="213" t="str">
        <f t="shared" si="111"/>
        <v/>
      </c>
      <c r="E460" s="213" t="str">
        <f t="shared" si="119"/>
        <v/>
      </c>
      <c r="F460" s="214" t="str">
        <f t="shared" si="112"/>
        <v/>
      </c>
      <c r="G460" s="180"/>
      <c r="H460" s="181" t="str">
        <f t="shared" si="113"/>
        <v/>
      </c>
      <c r="I460" s="227"/>
      <c r="J460" s="227"/>
      <c r="K460" s="227"/>
      <c r="L460" s="227"/>
      <c r="M460" s="210" t="str">
        <f t="shared" si="118"/>
        <v/>
      </c>
      <c r="N460" s="210"/>
      <c r="O460" s="207"/>
      <c r="P460" s="182" t="str">
        <f t="shared" ref="P460:P523" si="120">IF(M460="","",IF(L460*F460*$D$3=0,0,L460*F460*$D$3))</f>
        <v/>
      </c>
      <c r="Q460" s="183" t="str">
        <f t="shared" si="114"/>
        <v/>
      </c>
      <c r="R460" s="182" t="str">
        <f>IF(M460&lt;&gt;"",IF(#REF!*F460*10=0,"",#REF!*F460*10),"")</f>
        <v/>
      </c>
      <c r="S460" s="184" t="str">
        <f t="shared" si="115"/>
        <v/>
      </c>
      <c r="T460" s="185" t="str">
        <f t="shared" ref="T460:T523" si="121">IF(X460="","",X460*F460*$D$3)</f>
        <v/>
      </c>
      <c r="U460" s="183" t="str">
        <f t="shared" si="116"/>
        <v/>
      </c>
      <c r="V460" s="186" t="str">
        <f t="shared" ref="V460:V523" si="122">IF(M460="","",IF(AND(M460&gt;I460,H460="L"),1, IF(AND(I460&gt;M460,H460="S"),1,0)))</f>
        <v/>
      </c>
      <c r="W460" s="186" t="str">
        <f t="shared" ref="W460:W523" si="123">IF(M460="","",IF(AND(M460&lt;I460,H460="L"),1, IF(AND(I460&lt;M460,H460="S"),1,0)))</f>
        <v/>
      </c>
      <c r="X460" s="187" t="str">
        <f t="shared" ref="X460:X523" si="124">IF((M460=""),"",IF(H460="Buy",1,-1)*(M460-I460)*IF(LEN(RIGHT(I460,LEN(I460)-FIND(".",I460)))&gt;3,10000,100))</f>
        <v/>
      </c>
      <c r="Y460" s="182" t="str">
        <f t="shared" si="117"/>
        <v/>
      </c>
      <c r="Z460" s="209" t="str">
        <f t="shared" ref="Z460:Z523" si="125">IF(C460="","",MONTH(LEFT(C460,8)))</f>
        <v/>
      </c>
      <c r="AA460" s="209" t="str">
        <f t="shared" ref="AA460:AA523" si="126">IF(C460="","",YEAR(LEFT(C460,8)))</f>
        <v/>
      </c>
      <c r="AB460" s="200"/>
      <c r="AC460" s="192"/>
    </row>
    <row r="461" spans="1:29" ht="11.4">
      <c r="A461" s="211" t="str">
        <f t="shared" ref="A461:A524" si="127">IF(D461="","",1)</f>
        <v/>
      </c>
      <c r="B461" s="211"/>
      <c r="C461" s="215"/>
      <c r="D461" s="213" t="str">
        <f t="shared" ref="D461:D524" si="128">IF(G461="","","SUGAR")</f>
        <v/>
      </c>
      <c r="E461" s="213" t="str">
        <f t="shared" si="119"/>
        <v/>
      </c>
      <c r="F461" s="214" t="str">
        <f t="shared" ref="F461:F524" si="129">IF(G461="","",0.01)</f>
        <v/>
      </c>
      <c r="G461" s="180"/>
      <c r="H461" s="181" t="str">
        <f t="shared" ref="H461:H524" si="130">IF(G461="","",IF(OR(G461="第二类买点",G461="第三类买点"),"Buy","Sell"))</f>
        <v/>
      </c>
      <c r="I461" s="227"/>
      <c r="J461" s="227"/>
      <c r="K461" s="227"/>
      <c r="L461" s="227"/>
      <c r="M461" s="210" t="str">
        <f t="shared" si="118"/>
        <v/>
      </c>
      <c r="N461" s="210"/>
      <c r="O461" s="207"/>
      <c r="P461" s="182" t="str">
        <f t="shared" si="120"/>
        <v/>
      </c>
      <c r="Q461" s="183" t="str">
        <f t="shared" ref="Q461:Q524" si="131">IF(P461="","",IF(P461=0,0,P461/$I$4))</f>
        <v/>
      </c>
      <c r="R461" s="182" t="str">
        <f>IF(M461&lt;&gt;"",IF(#REF!*F461*10=0,"",#REF!*F461*10),"")</f>
        <v/>
      </c>
      <c r="S461" s="184" t="str">
        <f t="shared" ref="S461:S524" si="132">IF(P461="","",IF(P461=0,0,R461/P461))</f>
        <v/>
      </c>
      <c r="T461" s="185" t="str">
        <f t="shared" si="121"/>
        <v/>
      </c>
      <c r="U461" s="183" t="str">
        <f t="shared" ref="U461:U524" si="133">IF(T461="","",IF($I$4="","",T461/$I$4))</f>
        <v/>
      </c>
      <c r="V461" s="186" t="str">
        <f t="shared" si="122"/>
        <v/>
      </c>
      <c r="W461" s="186" t="str">
        <f t="shared" si="123"/>
        <v/>
      </c>
      <c r="X461" s="187" t="str">
        <f t="shared" si="124"/>
        <v/>
      </c>
      <c r="Y461" s="182" t="str">
        <f t="shared" si="117"/>
        <v/>
      </c>
      <c r="Z461" s="209" t="str">
        <f t="shared" si="125"/>
        <v/>
      </c>
      <c r="AA461" s="209" t="str">
        <f t="shared" si="126"/>
        <v/>
      </c>
      <c r="AB461" s="200"/>
      <c r="AC461" s="192"/>
    </row>
    <row r="462" spans="1:29" ht="11.4">
      <c r="A462" s="211" t="str">
        <f t="shared" si="127"/>
        <v/>
      </c>
      <c r="B462" s="211"/>
      <c r="C462" s="215"/>
      <c r="D462" s="213" t="str">
        <f t="shared" si="128"/>
        <v/>
      </c>
      <c r="E462" s="213" t="str">
        <f t="shared" si="119"/>
        <v/>
      </c>
      <c r="F462" s="214" t="str">
        <f t="shared" si="129"/>
        <v/>
      </c>
      <c r="G462" s="180"/>
      <c r="H462" s="181" t="str">
        <f t="shared" si="130"/>
        <v/>
      </c>
      <c r="I462" s="227"/>
      <c r="J462" s="227"/>
      <c r="K462" s="227"/>
      <c r="L462" s="227"/>
      <c r="M462" s="210" t="str">
        <f t="shared" si="118"/>
        <v/>
      </c>
      <c r="N462" s="210"/>
      <c r="O462" s="207"/>
      <c r="P462" s="182" t="str">
        <f t="shared" si="120"/>
        <v/>
      </c>
      <c r="Q462" s="183" t="str">
        <f t="shared" si="131"/>
        <v/>
      </c>
      <c r="R462" s="182" t="str">
        <f>IF(M462&lt;&gt;"",IF(#REF!*F462*10=0,"",#REF!*F462*10),"")</f>
        <v/>
      </c>
      <c r="S462" s="184" t="str">
        <f t="shared" si="132"/>
        <v/>
      </c>
      <c r="T462" s="185" t="str">
        <f t="shared" si="121"/>
        <v/>
      </c>
      <c r="U462" s="183" t="str">
        <f t="shared" si="133"/>
        <v/>
      </c>
      <c r="V462" s="186" t="str">
        <f t="shared" si="122"/>
        <v/>
      </c>
      <c r="W462" s="186" t="str">
        <f t="shared" si="123"/>
        <v/>
      </c>
      <c r="X462" s="187" t="str">
        <f t="shared" si="124"/>
        <v/>
      </c>
      <c r="Y462" s="182" t="str">
        <f t="shared" ref="Y462:Y525" si="134">IF(Y461="","",IF(T462="","",Y461+T462))</f>
        <v/>
      </c>
      <c r="Z462" s="209" t="str">
        <f t="shared" si="125"/>
        <v/>
      </c>
      <c r="AA462" s="209" t="str">
        <f t="shared" si="126"/>
        <v/>
      </c>
      <c r="AB462" s="200"/>
      <c r="AC462" s="192"/>
    </row>
    <row r="463" spans="1:29" ht="11.4">
      <c r="A463" s="211" t="str">
        <f t="shared" si="127"/>
        <v/>
      </c>
      <c r="B463" s="211"/>
      <c r="C463" s="215"/>
      <c r="D463" s="213" t="str">
        <f t="shared" si="128"/>
        <v/>
      </c>
      <c r="E463" s="213" t="str">
        <f t="shared" si="119"/>
        <v/>
      </c>
      <c r="F463" s="214" t="str">
        <f t="shared" si="129"/>
        <v/>
      </c>
      <c r="G463" s="180"/>
      <c r="H463" s="181" t="str">
        <f t="shared" si="130"/>
        <v/>
      </c>
      <c r="I463" s="227"/>
      <c r="J463" s="227"/>
      <c r="K463" s="227"/>
      <c r="L463" s="227"/>
      <c r="M463" s="210" t="str">
        <f t="shared" ref="M463:M526" si="135">IF(J463="","",J463)</f>
        <v/>
      </c>
      <c r="N463" s="210"/>
      <c r="O463" s="207"/>
      <c r="P463" s="182" t="str">
        <f t="shared" si="120"/>
        <v/>
      </c>
      <c r="Q463" s="183" t="str">
        <f t="shared" si="131"/>
        <v/>
      </c>
      <c r="R463" s="182" t="str">
        <f>IF(M463&lt;&gt;"",IF(#REF!*F463*10=0,"",#REF!*F463*10),"")</f>
        <v/>
      </c>
      <c r="S463" s="184" t="str">
        <f t="shared" si="132"/>
        <v/>
      </c>
      <c r="T463" s="185" t="str">
        <f t="shared" si="121"/>
        <v/>
      </c>
      <c r="U463" s="183" t="str">
        <f t="shared" si="133"/>
        <v/>
      </c>
      <c r="V463" s="186" t="str">
        <f t="shared" si="122"/>
        <v/>
      </c>
      <c r="W463" s="186" t="str">
        <f t="shared" si="123"/>
        <v/>
      </c>
      <c r="X463" s="187" t="str">
        <f t="shared" si="124"/>
        <v/>
      </c>
      <c r="Y463" s="182" t="str">
        <f t="shared" si="134"/>
        <v/>
      </c>
      <c r="Z463" s="209" t="str">
        <f t="shared" si="125"/>
        <v/>
      </c>
      <c r="AA463" s="209" t="str">
        <f t="shared" si="126"/>
        <v/>
      </c>
      <c r="AB463" s="200"/>
      <c r="AC463" s="192"/>
    </row>
    <row r="464" spans="1:29" ht="11.4">
      <c r="A464" s="211" t="str">
        <f t="shared" si="127"/>
        <v/>
      </c>
      <c r="B464" s="211"/>
      <c r="C464" s="215"/>
      <c r="D464" s="213" t="str">
        <f t="shared" si="128"/>
        <v/>
      </c>
      <c r="E464" s="213" t="str">
        <f t="shared" ref="E464:E527" si="136">IF(G464="","","M30")</f>
        <v/>
      </c>
      <c r="F464" s="214" t="str">
        <f t="shared" si="129"/>
        <v/>
      </c>
      <c r="G464" s="180"/>
      <c r="H464" s="181" t="str">
        <f t="shared" si="130"/>
        <v/>
      </c>
      <c r="I464" s="227"/>
      <c r="J464" s="227"/>
      <c r="K464" s="227"/>
      <c r="L464" s="227"/>
      <c r="M464" s="210" t="str">
        <f t="shared" si="135"/>
        <v/>
      </c>
      <c r="N464" s="210"/>
      <c r="O464" s="207"/>
      <c r="P464" s="182" t="str">
        <f t="shared" si="120"/>
        <v/>
      </c>
      <c r="Q464" s="183" t="str">
        <f t="shared" si="131"/>
        <v/>
      </c>
      <c r="R464" s="182" t="str">
        <f>IF(M464&lt;&gt;"",IF(#REF!*F464*10=0,"",#REF!*F464*10),"")</f>
        <v/>
      </c>
      <c r="S464" s="184" t="str">
        <f t="shared" si="132"/>
        <v/>
      </c>
      <c r="T464" s="185" t="str">
        <f t="shared" si="121"/>
        <v/>
      </c>
      <c r="U464" s="183" t="str">
        <f t="shared" si="133"/>
        <v/>
      </c>
      <c r="V464" s="186" t="str">
        <f t="shared" si="122"/>
        <v/>
      </c>
      <c r="W464" s="186" t="str">
        <f t="shared" si="123"/>
        <v/>
      </c>
      <c r="X464" s="187" t="str">
        <f t="shared" si="124"/>
        <v/>
      </c>
      <c r="Y464" s="182" t="str">
        <f t="shared" si="134"/>
        <v/>
      </c>
      <c r="Z464" s="209" t="str">
        <f t="shared" si="125"/>
        <v/>
      </c>
      <c r="AA464" s="209" t="str">
        <f t="shared" si="126"/>
        <v/>
      </c>
      <c r="AB464" s="200"/>
      <c r="AC464" s="192"/>
    </row>
    <row r="465" spans="1:29" ht="11.4">
      <c r="A465" s="211" t="str">
        <f t="shared" si="127"/>
        <v/>
      </c>
      <c r="B465" s="211"/>
      <c r="C465" s="215"/>
      <c r="D465" s="213" t="str">
        <f t="shared" si="128"/>
        <v/>
      </c>
      <c r="E465" s="213" t="str">
        <f t="shared" si="136"/>
        <v/>
      </c>
      <c r="F465" s="214" t="str">
        <f t="shared" si="129"/>
        <v/>
      </c>
      <c r="G465" s="180"/>
      <c r="H465" s="181" t="str">
        <f t="shared" si="130"/>
        <v/>
      </c>
      <c r="I465" s="227"/>
      <c r="J465" s="227"/>
      <c r="K465" s="227"/>
      <c r="L465" s="227"/>
      <c r="M465" s="210" t="str">
        <f t="shared" si="135"/>
        <v/>
      </c>
      <c r="N465" s="210"/>
      <c r="O465" s="207"/>
      <c r="P465" s="182" t="str">
        <f t="shared" si="120"/>
        <v/>
      </c>
      <c r="Q465" s="183" t="str">
        <f t="shared" si="131"/>
        <v/>
      </c>
      <c r="R465" s="182" t="str">
        <f>IF(M465&lt;&gt;"",IF(#REF!*F465*10=0,"",#REF!*F465*10),"")</f>
        <v/>
      </c>
      <c r="S465" s="184" t="str">
        <f t="shared" si="132"/>
        <v/>
      </c>
      <c r="T465" s="185" t="str">
        <f t="shared" si="121"/>
        <v/>
      </c>
      <c r="U465" s="183" t="str">
        <f t="shared" si="133"/>
        <v/>
      </c>
      <c r="V465" s="186" t="str">
        <f t="shared" si="122"/>
        <v/>
      </c>
      <c r="W465" s="186" t="str">
        <f t="shared" si="123"/>
        <v/>
      </c>
      <c r="X465" s="187" t="str">
        <f t="shared" si="124"/>
        <v/>
      </c>
      <c r="Y465" s="182" t="str">
        <f t="shared" si="134"/>
        <v/>
      </c>
      <c r="Z465" s="209" t="str">
        <f t="shared" si="125"/>
        <v/>
      </c>
      <c r="AA465" s="209" t="str">
        <f t="shared" si="126"/>
        <v/>
      </c>
      <c r="AB465" s="200"/>
      <c r="AC465" s="192"/>
    </row>
    <row r="466" spans="1:29" ht="11.4">
      <c r="A466" s="211" t="str">
        <f t="shared" si="127"/>
        <v/>
      </c>
      <c r="B466" s="211"/>
      <c r="C466" s="215"/>
      <c r="D466" s="213" t="str">
        <f t="shared" si="128"/>
        <v/>
      </c>
      <c r="E466" s="213" t="str">
        <f t="shared" si="136"/>
        <v/>
      </c>
      <c r="F466" s="214" t="str">
        <f t="shared" si="129"/>
        <v/>
      </c>
      <c r="G466" s="180"/>
      <c r="H466" s="181" t="str">
        <f t="shared" si="130"/>
        <v/>
      </c>
      <c r="I466" s="227"/>
      <c r="J466" s="227"/>
      <c r="K466" s="227"/>
      <c r="L466" s="227"/>
      <c r="M466" s="210" t="str">
        <f t="shared" si="135"/>
        <v/>
      </c>
      <c r="N466" s="210"/>
      <c r="O466" s="207"/>
      <c r="P466" s="182" t="str">
        <f t="shared" si="120"/>
        <v/>
      </c>
      <c r="Q466" s="183" t="str">
        <f t="shared" si="131"/>
        <v/>
      </c>
      <c r="R466" s="182" t="str">
        <f>IF(M466&lt;&gt;"",IF(#REF!*F466*10=0,"",#REF!*F466*10),"")</f>
        <v/>
      </c>
      <c r="S466" s="184" t="str">
        <f t="shared" si="132"/>
        <v/>
      </c>
      <c r="T466" s="185" t="str">
        <f t="shared" si="121"/>
        <v/>
      </c>
      <c r="U466" s="183" t="str">
        <f t="shared" si="133"/>
        <v/>
      </c>
      <c r="V466" s="186" t="str">
        <f t="shared" si="122"/>
        <v/>
      </c>
      <c r="W466" s="186" t="str">
        <f t="shared" si="123"/>
        <v/>
      </c>
      <c r="X466" s="187" t="str">
        <f t="shared" si="124"/>
        <v/>
      </c>
      <c r="Y466" s="182" t="str">
        <f t="shared" si="134"/>
        <v/>
      </c>
      <c r="Z466" s="209" t="str">
        <f t="shared" si="125"/>
        <v/>
      </c>
      <c r="AA466" s="209" t="str">
        <f t="shared" si="126"/>
        <v/>
      </c>
      <c r="AB466" s="200"/>
      <c r="AC466" s="192"/>
    </row>
    <row r="467" spans="1:29" ht="11.4">
      <c r="A467" s="211" t="str">
        <f t="shared" si="127"/>
        <v/>
      </c>
      <c r="B467" s="211"/>
      <c r="C467" s="215"/>
      <c r="D467" s="213" t="str">
        <f t="shared" si="128"/>
        <v/>
      </c>
      <c r="E467" s="213" t="str">
        <f t="shared" si="136"/>
        <v/>
      </c>
      <c r="F467" s="214" t="str">
        <f t="shared" si="129"/>
        <v/>
      </c>
      <c r="G467" s="180"/>
      <c r="H467" s="181" t="str">
        <f t="shared" si="130"/>
        <v/>
      </c>
      <c r="I467" s="227"/>
      <c r="J467" s="227"/>
      <c r="K467" s="227"/>
      <c r="L467" s="227"/>
      <c r="M467" s="210" t="str">
        <f t="shared" si="135"/>
        <v/>
      </c>
      <c r="N467" s="210"/>
      <c r="O467" s="207"/>
      <c r="P467" s="182" t="str">
        <f t="shared" si="120"/>
        <v/>
      </c>
      <c r="Q467" s="183" t="str">
        <f t="shared" si="131"/>
        <v/>
      </c>
      <c r="R467" s="182" t="str">
        <f>IF(M467&lt;&gt;"",IF(#REF!*F467*10=0,"",#REF!*F467*10),"")</f>
        <v/>
      </c>
      <c r="S467" s="184" t="str">
        <f t="shared" si="132"/>
        <v/>
      </c>
      <c r="T467" s="185" t="str">
        <f t="shared" si="121"/>
        <v/>
      </c>
      <c r="U467" s="183" t="str">
        <f t="shared" si="133"/>
        <v/>
      </c>
      <c r="V467" s="186" t="str">
        <f t="shared" si="122"/>
        <v/>
      </c>
      <c r="W467" s="186" t="str">
        <f t="shared" si="123"/>
        <v/>
      </c>
      <c r="X467" s="187" t="str">
        <f t="shared" si="124"/>
        <v/>
      </c>
      <c r="Y467" s="182" t="str">
        <f t="shared" si="134"/>
        <v/>
      </c>
      <c r="Z467" s="209" t="str">
        <f t="shared" si="125"/>
        <v/>
      </c>
      <c r="AA467" s="209" t="str">
        <f t="shared" si="126"/>
        <v/>
      </c>
      <c r="AB467" s="200"/>
      <c r="AC467" s="192"/>
    </row>
    <row r="468" spans="1:29" ht="11.4">
      <c r="A468" s="211" t="str">
        <f t="shared" si="127"/>
        <v/>
      </c>
      <c r="B468" s="211"/>
      <c r="C468" s="215"/>
      <c r="D468" s="213" t="str">
        <f t="shared" si="128"/>
        <v/>
      </c>
      <c r="E468" s="213" t="str">
        <f t="shared" si="136"/>
        <v/>
      </c>
      <c r="F468" s="214" t="str">
        <f t="shared" si="129"/>
        <v/>
      </c>
      <c r="G468" s="180"/>
      <c r="H468" s="181" t="str">
        <f t="shared" si="130"/>
        <v/>
      </c>
      <c r="I468" s="227"/>
      <c r="J468" s="227"/>
      <c r="K468" s="227"/>
      <c r="L468" s="227"/>
      <c r="M468" s="210" t="str">
        <f t="shared" si="135"/>
        <v/>
      </c>
      <c r="N468" s="210"/>
      <c r="O468" s="207"/>
      <c r="P468" s="182" t="str">
        <f t="shared" si="120"/>
        <v/>
      </c>
      <c r="Q468" s="183" t="str">
        <f t="shared" si="131"/>
        <v/>
      </c>
      <c r="R468" s="182" t="str">
        <f>IF(M468&lt;&gt;"",IF(#REF!*F468*10=0,"",#REF!*F468*10),"")</f>
        <v/>
      </c>
      <c r="S468" s="184" t="str">
        <f t="shared" si="132"/>
        <v/>
      </c>
      <c r="T468" s="185" t="str">
        <f t="shared" si="121"/>
        <v/>
      </c>
      <c r="U468" s="183" t="str">
        <f t="shared" si="133"/>
        <v/>
      </c>
      <c r="V468" s="186" t="str">
        <f t="shared" si="122"/>
        <v/>
      </c>
      <c r="W468" s="186" t="str">
        <f t="shared" si="123"/>
        <v/>
      </c>
      <c r="X468" s="187" t="str">
        <f t="shared" si="124"/>
        <v/>
      </c>
      <c r="Y468" s="182" t="str">
        <f t="shared" si="134"/>
        <v/>
      </c>
      <c r="Z468" s="209" t="str">
        <f t="shared" si="125"/>
        <v/>
      </c>
      <c r="AA468" s="209" t="str">
        <f t="shared" si="126"/>
        <v/>
      </c>
      <c r="AB468" s="200"/>
      <c r="AC468" s="192"/>
    </row>
    <row r="469" spans="1:29" ht="11.4">
      <c r="A469" s="211" t="str">
        <f t="shared" si="127"/>
        <v/>
      </c>
      <c r="B469" s="211"/>
      <c r="C469" s="215"/>
      <c r="D469" s="213" t="str">
        <f t="shared" si="128"/>
        <v/>
      </c>
      <c r="E469" s="213" t="str">
        <f t="shared" si="136"/>
        <v/>
      </c>
      <c r="F469" s="214" t="str">
        <f t="shared" si="129"/>
        <v/>
      </c>
      <c r="G469" s="180"/>
      <c r="H469" s="181" t="str">
        <f t="shared" si="130"/>
        <v/>
      </c>
      <c r="I469" s="227"/>
      <c r="J469" s="227"/>
      <c r="K469" s="227"/>
      <c r="L469" s="227"/>
      <c r="M469" s="210" t="str">
        <f t="shared" si="135"/>
        <v/>
      </c>
      <c r="N469" s="210"/>
      <c r="O469" s="207"/>
      <c r="P469" s="182" t="str">
        <f t="shared" si="120"/>
        <v/>
      </c>
      <c r="Q469" s="183" t="str">
        <f t="shared" si="131"/>
        <v/>
      </c>
      <c r="R469" s="182" t="str">
        <f>IF(M469&lt;&gt;"",IF(#REF!*F469*10=0,"",#REF!*F469*10),"")</f>
        <v/>
      </c>
      <c r="S469" s="184" t="str">
        <f t="shared" si="132"/>
        <v/>
      </c>
      <c r="T469" s="185" t="str">
        <f t="shared" si="121"/>
        <v/>
      </c>
      <c r="U469" s="183" t="str">
        <f t="shared" si="133"/>
        <v/>
      </c>
      <c r="V469" s="186" t="str">
        <f t="shared" si="122"/>
        <v/>
      </c>
      <c r="W469" s="186" t="str">
        <f t="shared" si="123"/>
        <v/>
      </c>
      <c r="X469" s="187" t="str">
        <f t="shared" si="124"/>
        <v/>
      </c>
      <c r="Y469" s="182" t="str">
        <f t="shared" si="134"/>
        <v/>
      </c>
      <c r="Z469" s="209" t="str">
        <f t="shared" si="125"/>
        <v/>
      </c>
      <c r="AA469" s="209" t="str">
        <f t="shared" si="126"/>
        <v/>
      </c>
      <c r="AB469" s="200"/>
      <c r="AC469" s="192"/>
    </row>
    <row r="470" spans="1:29" ht="11.4">
      <c r="A470" s="211" t="str">
        <f t="shared" si="127"/>
        <v/>
      </c>
      <c r="B470" s="211"/>
      <c r="C470" s="215"/>
      <c r="D470" s="213" t="str">
        <f t="shared" si="128"/>
        <v/>
      </c>
      <c r="E470" s="213" t="str">
        <f t="shared" si="136"/>
        <v/>
      </c>
      <c r="F470" s="214" t="str">
        <f t="shared" si="129"/>
        <v/>
      </c>
      <c r="G470" s="180"/>
      <c r="H470" s="181" t="str">
        <f t="shared" si="130"/>
        <v/>
      </c>
      <c r="I470" s="227"/>
      <c r="J470" s="227"/>
      <c r="K470" s="227"/>
      <c r="L470" s="227"/>
      <c r="M470" s="210" t="str">
        <f t="shared" si="135"/>
        <v/>
      </c>
      <c r="N470" s="210"/>
      <c r="O470" s="207"/>
      <c r="P470" s="182" t="str">
        <f t="shared" si="120"/>
        <v/>
      </c>
      <c r="Q470" s="183" t="str">
        <f t="shared" si="131"/>
        <v/>
      </c>
      <c r="R470" s="182" t="str">
        <f>IF(M470&lt;&gt;"",IF(#REF!*F470*10=0,"",#REF!*F470*10),"")</f>
        <v/>
      </c>
      <c r="S470" s="184" t="str">
        <f t="shared" si="132"/>
        <v/>
      </c>
      <c r="T470" s="185" t="str">
        <f t="shared" si="121"/>
        <v/>
      </c>
      <c r="U470" s="183" t="str">
        <f t="shared" si="133"/>
        <v/>
      </c>
      <c r="V470" s="186" t="str">
        <f t="shared" si="122"/>
        <v/>
      </c>
      <c r="W470" s="186" t="str">
        <f t="shared" si="123"/>
        <v/>
      </c>
      <c r="X470" s="187" t="str">
        <f t="shared" si="124"/>
        <v/>
      </c>
      <c r="Y470" s="182" t="str">
        <f t="shared" si="134"/>
        <v/>
      </c>
      <c r="Z470" s="209" t="str">
        <f t="shared" si="125"/>
        <v/>
      </c>
      <c r="AA470" s="209" t="str">
        <f t="shared" si="126"/>
        <v/>
      </c>
      <c r="AB470" s="200"/>
      <c r="AC470" s="192"/>
    </row>
    <row r="471" spans="1:29" ht="11.4">
      <c r="A471" s="211" t="str">
        <f t="shared" si="127"/>
        <v/>
      </c>
      <c r="B471" s="211"/>
      <c r="C471" s="215"/>
      <c r="D471" s="213" t="str">
        <f t="shared" si="128"/>
        <v/>
      </c>
      <c r="E471" s="213" t="str">
        <f t="shared" si="136"/>
        <v/>
      </c>
      <c r="F471" s="214" t="str">
        <f t="shared" si="129"/>
        <v/>
      </c>
      <c r="G471" s="180"/>
      <c r="H471" s="181" t="str">
        <f t="shared" si="130"/>
        <v/>
      </c>
      <c r="I471" s="227"/>
      <c r="J471" s="227"/>
      <c r="K471" s="227"/>
      <c r="L471" s="227"/>
      <c r="M471" s="210" t="str">
        <f t="shared" si="135"/>
        <v/>
      </c>
      <c r="N471" s="210"/>
      <c r="O471" s="207"/>
      <c r="P471" s="182" t="str">
        <f t="shared" si="120"/>
        <v/>
      </c>
      <c r="Q471" s="183" t="str">
        <f t="shared" si="131"/>
        <v/>
      </c>
      <c r="R471" s="182" t="str">
        <f>IF(M471&lt;&gt;"",IF(#REF!*F471*10=0,"",#REF!*F471*10),"")</f>
        <v/>
      </c>
      <c r="S471" s="184" t="str">
        <f t="shared" si="132"/>
        <v/>
      </c>
      <c r="T471" s="185" t="str">
        <f t="shared" si="121"/>
        <v/>
      </c>
      <c r="U471" s="183" t="str">
        <f t="shared" si="133"/>
        <v/>
      </c>
      <c r="V471" s="186" t="str">
        <f t="shared" si="122"/>
        <v/>
      </c>
      <c r="W471" s="186" t="str">
        <f t="shared" si="123"/>
        <v/>
      </c>
      <c r="X471" s="187" t="str">
        <f t="shared" si="124"/>
        <v/>
      </c>
      <c r="Y471" s="182" t="str">
        <f t="shared" si="134"/>
        <v/>
      </c>
      <c r="Z471" s="209" t="str">
        <f t="shared" si="125"/>
        <v/>
      </c>
      <c r="AA471" s="209" t="str">
        <f t="shared" si="126"/>
        <v/>
      </c>
      <c r="AB471" s="200"/>
      <c r="AC471" s="192"/>
    </row>
    <row r="472" spans="1:29" ht="11.4">
      <c r="A472" s="211" t="str">
        <f t="shared" si="127"/>
        <v/>
      </c>
      <c r="B472" s="211"/>
      <c r="C472" s="215"/>
      <c r="D472" s="213" t="str">
        <f t="shared" si="128"/>
        <v/>
      </c>
      <c r="E472" s="213" t="str">
        <f t="shared" si="136"/>
        <v/>
      </c>
      <c r="F472" s="214" t="str">
        <f t="shared" si="129"/>
        <v/>
      </c>
      <c r="G472" s="180"/>
      <c r="H472" s="181" t="str">
        <f t="shared" si="130"/>
        <v/>
      </c>
      <c r="I472" s="227"/>
      <c r="J472" s="227"/>
      <c r="K472" s="227"/>
      <c r="L472" s="227"/>
      <c r="M472" s="210" t="str">
        <f t="shared" si="135"/>
        <v/>
      </c>
      <c r="N472" s="210"/>
      <c r="O472" s="207"/>
      <c r="P472" s="182" t="str">
        <f t="shared" si="120"/>
        <v/>
      </c>
      <c r="Q472" s="183" t="str">
        <f t="shared" si="131"/>
        <v/>
      </c>
      <c r="R472" s="182" t="str">
        <f>IF(M472&lt;&gt;"",IF(#REF!*F472*10=0,"",#REF!*F472*10),"")</f>
        <v/>
      </c>
      <c r="S472" s="184" t="str">
        <f t="shared" si="132"/>
        <v/>
      </c>
      <c r="T472" s="185" t="str">
        <f t="shared" si="121"/>
        <v/>
      </c>
      <c r="U472" s="183" t="str">
        <f t="shared" si="133"/>
        <v/>
      </c>
      <c r="V472" s="186" t="str">
        <f t="shared" si="122"/>
        <v/>
      </c>
      <c r="W472" s="186" t="str">
        <f t="shared" si="123"/>
        <v/>
      </c>
      <c r="X472" s="187" t="str">
        <f t="shared" si="124"/>
        <v/>
      </c>
      <c r="Y472" s="182" t="str">
        <f t="shared" si="134"/>
        <v/>
      </c>
      <c r="Z472" s="209" t="str">
        <f t="shared" si="125"/>
        <v/>
      </c>
      <c r="AA472" s="209" t="str">
        <f t="shared" si="126"/>
        <v/>
      </c>
      <c r="AB472" s="200"/>
      <c r="AC472" s="192"/>
    </row>
    <row r="473" spans="1:29" ht="11.4">
      <c r="A473" s="211" t="str">
        <f t="shared" si="127"/>
        <v/>
      </c>
      <c r="B473" s="211"/>
      <c r="C473" s="215"/>
      <c r="D473" s="213" t="str">
        <f t="shared" si="128"/>
        <v/>
      </c>
      <c r="E473" s="213" t="str">
        <f t="shared" si="136"/>
        <v/>
      </c>
      <c r="F473" s="214" t="str">
        <f t="shared" si="129"/>
        <v/>
      </c>
      <c r="G473" s="180"/>
      <c r="H473" s="181" t="str">
        <f t="shared" si="130"/>
        <v/>
      </c>
      <c r="I473" s="227"/>
      <c r="J473" s="227"/>
      <c r="K473" s="227"/>
      <c r="L473" s="227"/>
      <c r="M473" s="210" t="str">
        <f t="shared" si="135"/>
        <v/>
      </c>
      <c r="N473" s="210"/>
      <c r="O473" s="207"/>
      <c r="P473" s="182" t="str">
        <f t="shared" si="120"/>
        <v/>
      </c>
      <c r="Q473" s="183" t="str">
        <f t="shared" si="131"/>
        <v/>
      </c>
      <c r="R473" s="182" t="str">
        <f>IF(M473&lt;&gt;"",IF(#REF!*F473*10=0,"",#REF!*F473*10),"")</f>
        <v/>
      </c>
      <c r="S473" s="184" t="str">
        <f t="shared" si="132"/>
        <v/>
      </c>
      <c r="T473" s="185" t="str">
        <f t="shared" si="121"/>
        <v/>
      </c>
      <c r="U473" s="183" t="str">
        <f t="shared" si="133"/>
        <v/>
      </c>
      <c r="V473" s="186" t="str">
        <f t="shared" si="122"/>
        <v/>
      </c>
      <c r="W473" s="186" t="str">
        <f t="shared" si="123"/>
        <v/>
      </c>
      <c r="X473" s="187" t="str">
        <f t="shared" si="124"/>
        <v/>
      </c>
      <c r="Y473" s="182" t="str">
        <f t="shared" si="134"/>
        <v/>
      </c>
      <c r="Z473" s="209" t="str">
        <f t="shared" si="125"/>
        <v/>
      </c>
      <c r="AA473" s="209" t="str">
        <f t="shared" si="126"/>
        <v/>
      </c>
      <c r="AB473" s="200"/>
      <c r="AC473" s="192"/>
    </row>
    <row r="474" spans="1:29" ht="11.4">
      <c r="A474" s="211" t="str">
        <f t="shared" si="127"/>
        <v/>
      </c>
      <c r="B474" s="211"/>
      <c r="C474" s="215"/>
      <c r="D474" s="213" t="str">
        <f t="shared" si="128"/>
        <v/>
      </c>
      <c r="E474" s="213" t="str">
        <f t="shared" si="136"/>
        <v/>
      </c>
      <c r="F474" s="214" t="str">
        <f t="shared" si="129"/>
        <v/>
      </c>
      <c r="G474" s="180"/>
      <c r="H474" s="181" t="str">
        <f t="shared" si="130"/>
        <v/>
      </c>
      <c r="I474" s="227"/>
      <c r="J474" s="227"/>
      <c r="K474" s="227"/>
      <c r="L474" s="227"/>
      <c r="M474" s="210" t="str">
        <f t="shared" si="135"/>
        <v/>
      </c>
      <c r="N474" s="210"/>
      <c r="O474" s="207"/>
      <c r="P474" s="182" t="str">
        <f t="shared" si="120"/>
        <v/>
      </c>
      <c r="Q474" s="183" t="str">
        <f t="shared" si="131"/>
        <v/>
      </c>
      <c r="R474" s="182" t="str">
        <f>IF(M474&lt;&gt;"",IF(#REF!*F474*10=0,"",#REF!*F474*10),"")</f>
        <v/>
      </c>
      <c r="S474" s="184" t="str">
        <f t="shared" si="132"/>
        <v/>
      </c>
      <c r="T474" s="185" t="str">
        <f t="shared" si="121"/>
        <v/>
      </c>
      <c r="U474" s="183" t="str">
        <f t="shared" si="133"/>
        <v/>
      </c>
      <c r="V474" s="186" t="str">
        <f t="shared" si="122"/>
        <v/>
      </c>
      <c r="W474" s="186" t="str">
        <f t="shared" si="123"/>
        <v/>
      </c>
      <c r="X474" s="187" t="str">
        <f t="shared" si="124"/>
        <v/>
      </c>
      <c r="Y474" s="182" t="str">
        <f t="shared" si="134"/>
        <v/>
      </c>
      <c r="Z474" s="209" t="str">
        <f t="shared" si="125"/>
        <v/>
      </c>
      <c r="AA474" s="209" t="str">
        <f t="shared" si="126"/>
        <v/>
      </c>
      <c r="AB474" s="200"/>
      <c r="AC474" s="192"/>
    </row>
    <row r="475" spans="1:29" ht="11.4">
      <c r="A475" s="211" t="str">
        <f t="shared" si="127"/>
        <v/>
      </c>
      <c r="B475" s="211"/>
      <c r="C475" s="215"/>
      <c r="D475" s="213" t="str">
        <f t="shared" si="128"/>
        <v/>
      </c>
      <c r="E475" s="213" t="str">
        <f t="shared" si="136"/>
        <v/>
      </c>
      <c r="F475" s="214" t="str">
        <f t="shared" si="129"/>
        <v/>
      </c>
      <c r="G475" s="180"/>
      <c r="H475" s="181" t="str">
        <f t="shared" si="130"/>
        <v/>
      </c>
      <c r="I475" s="227"/>
      <c r="J475" s="227"/>
      <c r="K475" s="227"/>
      <c r="L475" s="227"/>
      <c r="M475" s="210" t="str">
        <f t="shared" si="135"/>
        <v/>
      </c>
      <c r="N475" s="210"/>
      <c r="O475" s="207"/>
      <c r="P475" s="182" t="str">
        <f t="shared" si="120"/>
        <v/>
      </c>
      <c r="Q475" s="183" t="str">
        <f t="shared" si="131"/>
        <v/>
      </c>
      <c r="R475" s="182" t="str">
        <f>IF(M475&lt;&gt;"",IF(#REF!*F475*10=0,"",#REF!*F475*10),"")</f>
        <v/>
      </c>
      <c r="S475" s="184" t="str">
        <f t="shared" si="132"/>
        <v/>
      </c>
      <c r="T475" s="185" t="str">
        <f t="shared" si="121"/>
        <v/>
      </c>
      <c r="U475" s="183" t="str">
        <f t="shared" si="133"/>
        <v/>
      </c>
      <c r="V475" s="186" t="str">
        <f t="shared" si="122"/>
        <v/>
      </c>
      <c r="W475" s="186" t="str">
        <f t="shared" si="123"/>
        <v/>
      </c>
      <c r="X475" s="187" t="str">
        <f t="shared" si="124"/>
        <v/>
      </c>
      <c r="Y475" s="182" t="str">
        <f t="shared" si="134"/>
        <v/>
      </c>
      <c r="Z475" s="209" t="str">
        <f t="shared" si="125"/>
        <v/>
      </c>
      <c r="AA475" s="209" t="str">
        <f t="shared" si="126"/>
        <v/>
      </c>
      <c r="AB475" s="200"/>
      <c r="AC475" s="192"/>
    </row>
    <row r="476" spans="1:29" ht="11.4">
      <c r="A476" s="211" t="str">
        <f t="shared" si="127"/>
        <v/>
      </c>
      <c r="B476" s="211"/>
      <c r="C476" s="215"/>
      <c r="D476" s="213" t="str">
        <f t="shared" si="128"/>
        <v/>
      </c>
      <c r="E476" s="213" t="str">
        <f t="shared" si="136"/>
        <v/>
      </c>
      <c r="F476" s="214" t="str">
        <f t="shared" si="129"/>
        <v/>
      </c>
      <c r="G476" s="180"/>
      <c r="H476" s="181" t="str">
        <f t="shared" si="130"/>
        <v/>
      </c>
      <c r="I476" s="227"/>
      <c r="J476" s="227"/>
      <c r="K476" s="227"/>
      <c r="L476" s="227"/>
      <c r="M476" s="210" t="str">
        <f t="shared" si="135"/>
        <v/>
      </c>
      <c r="N476" s="210"/>
      <c r="O476" s="207"/>
      <c r="P476" s="182" t="str">
        <f t="shared" si="120"/>
        <v/>
      </c>
      <c r="Q476" s="183" t="str">
        <f t="shared" si="131"/>
        <v/>
      </c>
      <c r="R476" s="182" t="str">
        <f>IF(M476&lt;&gt;"",IF(#REF!*F476*10=0,"",#REF!*F476*10),"")</f>
        <v/>
      </c>
      <c r="S476" s="184" t="str">
        <f t="shared" si="132"/>
        <v/>
      </c>
      <c r="T476" s="185" t="str">
        <f t="shared" si="121"/>
        <v/>
      </c>
      <c r="U476" s="183" t="str">
        <f t="shared" si="133"/>
        <v/>
      </c>
      <c r="V476" s="186" t="str">
        <f t="shared" si="122"/>
        <v/>
      </c>
      <c r="W476" s="186" t="str">
        <f t="shared" si="123"/>
        <v/>
      </c>
      <c r="X476" s="187" t="str">
        <f t="shared" si="124"/>
        <v/>
      </c>
      <c r="Y476" s="182" t="str">
        <f t="shared" si="134"/>
        <v/>
      </c>
      <c r="Z476" s="209" t="str">
        <f t="shared" si="125"/>
        <v/>
      </c>
      <c r="AA476" s="209" t="str">
        <f t="shared" si="126"/>
        <v/>
      </c>
      <c r="AB476" s="200"/>
      <c r="AC476" s="192"/>
    </row>
    <row r="477" spans="1:29" ht="11.4">
      <c r="A477" s="211" t="str">
        <f t="shared" si="127"/>
        <v/>
      </c>
      <c r="B477" s="211"/>
      <c r="C477" s="215"/>
      <c r="D477" s="213" t="str">
        <f t="shared" si="128"/>
        <v/>
      </c>
      <c r="E477" s="213" t="str">
        <f t="shared" si="136"/>
        <v/>
      </c>
      <c r="F477" s="214" t="str">
        <f t="shared" si="129"/>
        <v/>
      </c>
      <c r="G477" s="180"/>
      <c r="H477" s="181" t="str">
        <f t="shared" si="130"/>
        <v/>
      </c>
      <c r="I477" s="227"/>
      <c r="J477" s="227"/>
      <c r="K477" s="227"/>
      <c r="L477" s="227"/>
      <c r="M477" s="210" t="str">
        <f t="shared" si="135"/>
        <v/>
      </c>
      <c r="N477" s="210"/>
      <c r="O477" s="207"/>
      <c r="P477" s="182" t="str">
        <f t="shared" si="120"/>
        <v/>
      </c>
      <c r="Q477" s="183" t="str">
        <f t="shared" si="131"/>
        <v/>
      </c>
      <c r="R477" s="182" t="str">
        <f>IF(M477&lt;&gt;"",IF(#REF!*F477*10=0,"",#REF!*F477*10),"")</f>
        <v/>
      </c>
      <c r="S477" s="184" t="str">
        <f t="shared" si="132"/>
        <v/>
      </c>
      <c r="T477" s="185" t="str">
        <f t="shared" si="121"/>
        <v/>
      </c>
      <c r="U477" s="183" t="str">
        <f t="shared" si="133"/>
        <v/>
      </c>
      <c r="V477" s="186" t="str">
        <f t="shared" si="122"/>
        <v/>
      </c>
      <c r="W477" s="186" t="str">
        <f t="shared" si="123"/>
        <v/>
      </c>
      <c r="X477" s="187" t="str">
        <f t="shared" si="124"/>
        <v/>
      </c>
      <c r="Y477" s="182" t="str">
        <f t="shared" si="134"/>
        <v/>
      </c>
      <c r="Z477" s="209" t="str">
        <f t="shared" si="125"/>
        <v/>
      </c>
      <c r="AA477" s="209" t="str">
        <f t="shared" si="126"/>
        <v/>
      </c>
      <c r="AB477" s="200"/>
      <c r="AC477" s="192"/>
    </row>
    <row r="478" spans="1:29" ht="11.4">
      <c r="A478" s="211" t="str">
        <f t="shared" si="127"/>
        <v/>
      </c>
      <c r="B478" s="211"/>
      <c r="C478" s="215"/>
      <c r="D478" s="213" t="str">
        <f t="shared" si="128"/>
        <v/>
      </c>
      <c r="E478" s="213" t="str">
        <f t="shared" si="136"/>
        <v/>
      </c>
      <c r="F478" s="214" t="str">
        <f t="shared" si="129"/>
        <v/>
      </c>
      <c r="G478" s="180"/>
      <c r="H478" s="181" t="str">
        <f t="shared" si="130"/>
        <v/>
      </c>
      <c r="I478" s="227"/>
      <c r="J478" s="227"/>
      <c r="K478" s="227"/>
      <c r="L478" s="227"/>
      <c r="M478" s="210" t="str">
        <f t="shared" si="135"/>
        <v/>
      </c>
      <c r="N478" s="210"/>
      <c r="O478" s="207"/>
      <c r="P478" s="182" t="str">
        <f t="shared" si="120"/>
        <v/>
      </c>
      <c r="Q478" s="183" t="str">
        <f t="shared" si="131"/>
        <v/>
      </c>
      <c r="R478" s="182" t="str">
        <f>IF(M478&lt;&gt;"",IF(#REF!*F478*10=0,"",#REF!*F478*10),"")</f>
        <v/>
      </c>
      <c r="S478" s="184" t="str">
        <f t="shared" si="132"/>
        <v/>
      </c>
      <c r="T478" s="185" t="str">
        <f t="shared" si="121"/>
        <v/>
      </c>
      <c r="U478" s="183" t="str">
        <f t="shared" si="133"/>
        <v/>
      </c>
      <c r="V478" s="186" t="str">
        <f t="shared" si="122"/>
        <v/>
      </c>
      <c r="W478" s="186" t="str">
        <f t="shared" si="123"/>
        <v/>
      </c>
      <c r="X478" s="187" t="str">
        <f t="shared" si="124"/>
        <v/>
      </c>
      <c r="Y478" s="182" t="str">
        <f t="shared" si="134"/>
        <v/>
      </c>
      <c r="Z478" s="209" t="str">
        <f t="shared" si="125"/>
        <v/>
      </c>
      <c r="AA478" s="209" t="str">
        <f t="shared" si="126"/>
        <v/>
      </c>
      <c r="AB478" s="200"/>
      <c r="AC478" s="192"/>
    </row>
    <row r="479" spans="1:29" ht="11.4">
      <c r="A479" s="211" t="str">
        <f t="shared" si="127"/>
        <v/>
      </c>
      <c r="B479" s="211"/>
      <c r="C479" s="215"/>
      <c r="D479" s="213" t="str">
        <f t="shared" si="128"/>
        <v/>
      </c>
      <c r="E479" s="213" t="str">
        <f t="shared" si="136"/>
        <v/>
      </c>
      <c r="F479" s="214" t="str">
        <f t="shared" si="129"/>
        <v/>
      </c>
      <c r="G479" s="180"/>
      <c r="H479" s="181" t="str">
        <f t="shared" si="130"/>
        <v/>
      </c>
      <c r="I479" s="227"/>
      <c r="J479" s="227"/>
      <c r="K479" s="227"/>
      <c r="L479" s="227"/>
      <c r="M479" s="210" t="str">
        <f t="shared" si="135"/>
        <v/>
      </c>
      <c r="N479" s="210"/>
      <c r="O479" s="207"/>
      <c r="P479" s="182" t="str">
        <f t="shared" si="120"/>
        <v/>
      </c>
      <c r="Q479" s="183" t="str">
        <f t="shared" si="131"/>
        <v/>
      </c>
      <c r="R479" s="182" t="str">
        <f>IF(M479&lt;&gt;"",IF(#REF!*F479*10=0,"",#REF!*F479*10),"")</f>
        <v/>
      </c>
      <c r="S479" s="184" t="str">
        <f t="shared" si="132"/>
        <v/>
      </c>
      <c r="T479" s="185" t="str">
        <f t="shared" si="121"/>
        <v/>
      </c>
      <c r="U479" s="183" t="str">
        <f t="shared" si="133"/>
        <v/>
      </c>
      <c r="V479" s="186" t="str">
        <f t="shared" si="122"/>
        <v/>
      </c>
      <c r="W479" s="186" t="str">
        <f t="shared" si="123"/>
        <v/>
      </c>
      <c r="X479" s="187" t="str">
        <f t="shared" si="124"/>
        <v/>
      </c>
      <c r="Y479" s="182" t="str">
        <f t="shared" si="134"/>
        <v/>
      </c>
      <c r="Z479" s="209" t="str">
        <f t="shared" si="125"/>
        <v/>
      </c>
      <c r="AA479" s="209" t="str">
        <f t="shared" si="126"/>
        <v/>
      </c>
      <c r="AB479" s="200"/>
      <c r="AC479" s="192"/>
    </row>
    <row r="480" spans="1:29" ht="11.4">
      <c r="A480" s="211" t="str">
        <f t="shared" si="127"/>
        <v/>
      </c>
      <c r="B480" s="211"/>
      <c r="C480" s="215"/>
      <c r="D480" s="213" t="str">
        <f t="shared" si="128"/>
        <v/>
      </c>
      <c r="E480" s="213" t="str">
        <f t="shared" si="136"/>
        <v/>
      </c>
      <c r="F480" s="214" t="str">
        <f t="shared" si="129"/>
        <v/>
      </c>
      <c r="G480" s="180"/>
      <c r="H480" s="181" t="str">
        <f t="shared" si="130"/>
        <v/>
      </c>
      <c r="I480" s="227"/>
      <c r="J480" s="227"/>
      <c r="K480" s="227"/>
      <c r="L480" s="227"/>
      <c r="M480" s="210" t="str">
        <f t="shared" si="135"/>
        <v/>
      </c>
      <c r="N480" s="210"/>
      <c r="O480" s="207"/>
      <c r="P480" s="182" t="str">
        <f t="shared" si="120"/>
        <v/>
      </c>
      <c r="Q480" s="183" t="str">
        <f t="shared" si="131"/>
        <v/>
      </c>
      <c r="R480" s="182" t="str">
        <f>IF(M480&lt;&gt;"",IF(#REF!*F480*10=0,"",#REF!*F480*10),"")</f>
        <v/>
      </c>
      <c r="S480" s="184" t="str">
        <f t="shared" si="132"/>
        <v/>
      </c>
      <c r="T480" s="185" t="str">
        <f t="shared" si="121"/>
        <v/>
      </c>
      <c r="U480" s="183" t="str">
        <f t="shared" si="133"/>
        <v/>
      </c>
      <c r="V480" s="186" t="str">
        <f t="shared" si="122"/>
        <v/>
      </c>
      <c r="W480" s="186" t="str">
        <f t="shared" si="123"/>
        <v/>
      </c>
      <c r="X480" s="187" t="str">
        <f t="shared" si="124"/>
        <v/>
      </c>
      <c r="Y480" s="182" t="str">
        <f t="shared" si="134"/>
        <v/>
      </c>
      <c r="Z480" s="209" t="str">
        <f t="shared" si="125"/>
        <v/>
      </c>
      <c r="AA480" s="209" t="str">
        <f t="shared" si="126"/>
        <v/>
      </c>
      <c r="AB480" s="200"/>
      <c r="AC480" s="192"/>
    </row>
    <row r="481" spans="1:29" ht="11.4">
      <c r="A481" s="211" t="str">
        <f t="shared" si="127"/>
        <v/>
      </c>
      <c r="B481" s="211"/>
      <c r="C481" s="215"/>
      <c r="D481" s="213" t="str">
        <f t="shared" si="128"/>
        <v/>
      </c>
      <c r="E481" s="213" t="str">
        <f t="shared" si="136"/>
        <v/>
      </c>
      <c r="F481" s="214" t="str">
        <f t="shared" si="129"/>
        <v/>
      </c>
      <c r="G481" s="180"/>
      <c r="H481" s="181" t="str">
        <f t="shared" si="130"/>
        <v/>
      </c>
      <c r="I481" s="227"/>
      <c r="J481" s="227"/>
      <c r="K481" s="227"/>
      <c r="L481" s="227"/>
      <c r="M481" s="210" t="str">
        <f t="shared" si="135"/>
        <v/>
      </c>
      <c r="N481" s="210"/>
      <c r="O481" s="207"/>
      <c r="P481" s="182" t="str">
        <f t="shared" si="120"/>
        <v/>
      </c>
      <c r="Q481" s="183" t="str">
        <f t="shared" si="131"/>
        <v/>
      </c>
      <c r="R481" s="182" t="str">
        <f>IF(M481&lt;&gt;"",IF(#REF!*F481*10=0,"",#REF!*F481*10),"")</f>
        <v/>
      </c>
      <c r="S481" s="184" t="str">
        <f t="shared" si="132"/>
        <v/>
      </c>
      <c r="T481" s="185" t="str">
        <f t="shared" si="121"/>
        <v/>
      </c>
      <c r="U481" s="183" t="str">
        <f t="shared" si="133"/>
        <v/>
      </c>
      <c r="V481" s="186" t="str">
        <f t="shared" si="122"/>
        <v/>
      </c>
      <c r="W481" s="186" t="str">
        <f t="shared" si="123"/>
        <v/>
      </c>
      <c r="X481" s="187" t="str">
        <f t="shared" si="124"/>
        <v/>
      </c>
      <c r="Y481" s="182" t="str">
        <f t="shared" si="134"/>
        <v/>
      </c>
      <c r="Z481" s="209" t="str">
        <f t="shared" si="125"/>
        <v/>
      </c>
      <c r="AA481" s="209" t="str">
        <f t="shared" si="126"/>
        <v/>
      </c>
      <c r="AB481" s="200"/>
      <c r="AC481" s="192"/>
    </row>
    <row r="482" spans="1:29" ht="11.4">
      <c r="A482" s="211" t="str">
        <f t="shared" si="127"/>
        <v/>
      </c>
      <c r="B482" s="211"/>
      <c r="C482" s="215"/>
      <c r="D482" s="213" t="str">
        <f t="shared" si="128"/>
        <v/>
      </c>
      <c r="E482" s="213" t="str">
        <f t="shared" si="136"/>
        <v/>
      </c>
      <c r="F482" s="214" t="str">
        <f t="shared" si="129"/>
        <v/>
      </c>
      <c r="G482" s="180"/>
      <c r="H482" s="181" t="str">
        <f t="shared" si="130"/>
        <v/>
      </c>
      <c r="I482" s="227"/>
      <c r="J482" s="227"/>
      <c r="K482" s="227"/>
      <c r="L482" s="227"/>
      <c r="M482" s="210" t="str">
        <f t="shared" si="135"/>
        <v/>
      </c>
      <c r="N482" s="210"/>
      <c r="O482" s="207"/>
      <c r="P482" s="182" t="str">
        <f t="shared" si="120"/>
        <v/>
      </c>
      <c r="Q482" s="183" t="str">
        <f t="shared" si="131"/>
        <v/>
      </c>
      <c r="R482" s="182" t="str">
        <f>IF(M482&lt;&gt;"",IF(#REF!*F482*10=0,"",#REF!*F482*10),"")</f>
        <v/>
      </c>
      <c r="S482" s="184" t="str">
        <f t="shared" si="132"/>
        <v/>
      </c>
      <c r="T482" s="185" t="str">
        <f t="shared" si="121"/>
        <v/>
      </c>
      <c r="U482" s="183" t="str">
        <f t="shared" si="133"/>
        <v/>
      </c>
      <c r="V482" s="186" t="str">
        <f t="shared" si="122"/>
        <v/>
      </c>
      <c r="W482" s="186" t="str">
        <f t="shared" si="123"/>
        <v/>
      </c>
      <c r="X482" s="187" t="str">
        <f t="shared" si="124"/>
        <v/>
      </c>
      <c r="Y482" s="182" t="str">
        <f t="shared" si="134"/>
        <v/>
      </c>
      <c r="Z482" s="209" t="str">
        <f t="shared" si="125"/>
        <v/>
      </c>
      <c r="AA482" s="209" t="str">
        <f t="shared" si="126"/>
        <v/>
      </c>
      <c r="AB482" s="200"/>
      <c r="AC482" s="192"/>
    </row>
    <row r="483" spans="1:29" ht="11.4">
      <c r="A483" s="211" t="str">
        <f t="shared" si="127"/>
        <v/>
      </c>
      <c r="B483" s="211"/>
      <c r="C483" s="215"/>
      <c r="D483" s="213" t="str">
        <f t="shared" si="128"/>
        <v/>
      </c>
      <c r="E483" s="213" t="str">
        <f t="shared" si="136"/>
        <v/>
      </c>
      <c r="F483" s="214" t="str">
        <f t="shared" si="129"/>
        <v/>
      </c>
      <c r="G483" s="180"/>
      <c r="H483" s="181" t="str">
        <f t="shared" si="130"/>
        <v/>
      </c>
      <c r="I483" s="227"/>
      <c r="J483" s="227"/>
      <c r="K483" s="227"/>
      <c r="L483" s="227"/>
      <c r="M483" s="210" t="str">
        <f t="shared" si="135"/>
        <v/>
      </c>
      <c r="N483" s="210"/>
      <c r="O483" s="207"/>
      <c r="P483" s="182" t="str">
        <f t="shared" si="120"/>
        <v/>
      </c>
      <c r="Q483" s="183" t="str">
        <f t="shared" si="131"/>
        <v/>
      </c>
      <c r="R483" s="182" t="str">
        <f>IF(M483&lt;&gt;"",IF(#REF!*F483*10=0,"",#REF!*F483*10),"")</f>
        <v/>
      </c>
      <c r="S483" s="184" t="str">
        <f t="shared" si="132"/>
        <v/>
      </c>
      <c r="T483" s="185" t="str">
        <f t="shared" si="121"/>
        <v/>
      </c>
      <c r="U483" s="183" t="str">
        <f t="shared" si="133"/>
        <v/>
      </c>
      <c r="V483" s="186" t="str">
        <f t="shared" si="122"/>
        <v/>
      </c>
      <c r="W483" s="186" t="str">
        <f t="shared" si="123"/>
        <v/>
      </c>
      <c r="X483" s="187" t="str">
        <f t="shared" si="124"/>
        <v/>
      </c>
      <c r="Y483" s="182" t="str">
        <f t="shared" si="134"/>
        <v/>
      </c>
      <c r="Z483" s="209" t="str">
        <f t="shared" si="125"/>
        <v/>
      </c>
      <c r="AA483" s="209" t="str">
        <f t="shared" si="126"/>
        <v/>
      </c>
      <c r="AB483" s="200"/>
      <c r="AC483" s="192"/>
    </row>
    <row r="484" spans="1:29" ht="11.4">
      <c r="A484" s="211" t="str">
        <f t="shared" si="127"/>
        <v/>
      </c>
      <c r="B484" s="211"/>
      <c r="C484" s="215"/>
      <c r="D484" s="213" t="str">
        <f t="shared" si="128"/>
        <v/>
      </c>
      <c r="E484" s="213" t="str">
        <f t="shared" si="136"/>
        <v/>
      </c>
      <c r="F484" s="214" t="str">
        <f t="shared" si="129"/>
        <v/>
      </c>
      <c r="G484" s="180"/>
      <c r="H484" s="181" t="str">
        <f t="shared" si="130"/>
        <v/>
      </c>
      <c r="I484" s="227"/>
      <c r="J484" s="227"/>
      <c r="K484" s="227"/>
      <c r="L484" s="227"/>
      <c r="M484" s="210" t="str">
        <f t="shared" si="135"/>
        <v/>
      </c>
      <c r="N484" s="210"/>
      <c r="O484" s="207"/>
      <c r="P484" s="182" t="str">
        <f t="shared" si="120"/>
        <v/>
      </c>
      <c r="Q484" s="183" t="str">
        <f t="shared" si="131"/>
        <v/>
      </c>
      <c r="R484" s="182" t="str">
        <f>IF(M484&lt;&gt;"",IF(#REF!*F484*10=0,"",#REF!*F484*10),"")</f>
        <v/>
      </c>
      <c r="S484" s="184" t="str">
        <f t="shared" si="132"/>
        <v/>
      </c>
      <c r="T484" s="185" t="str">
        <f t="shared" si="121"/>
        <v/>
      </c>
      <c r="U484" s="183" t="str">
        <f t="shared" si="133"/>
        <v/>
      </c>
      <c r="V484" s="186" t="str">
        <f t="shared" si="122"/>
        <v/>
      </c>
      <c r="W484" s="186" t="str">
        <f t="shared" si="123"/>
        <v/>
      </c>
      <c r="X484" s="187" t="str">
        <f t="shared" si="124"/>
        <v/>
      </c>
      <c r="Y484" s="182" t="str">
        <f t="shared" si="134"/>
        <v/>
      </c>
      <c r="Z484" s="209" t="str">
        <f t="shared" si="125"/>
        <v/>
      </c>
      <c r="AA484" s="209" t="str">
        <f t="shared" si="126"/>
        <v/>
      </c>
      <c r="AB484" s="200"/>
      <c r="AC484" s="192"/>
    </row>
    <row r="485" spans="1:29" ht="11.4">
      <c r="A485" s="211" t="str">
        <f t="shared" si="127"/>
        <v/>
      </c>
      <c r="B485" s="211"/>
      <c r="C485" s="215"/>
      <c r="D485" s="213" t="str">
        <f t="shared" si="128"/>
        <v/>
      </c>
      <c r="E485" s="213" t="str">
        <f t="shared" si="136"/>
        <v/>
      </c>
      <c r="F485" s="214" t="str">
        <f t="shared" si="129"/>
        <v/>
      </c>
      <c r="G485" s="180"/>
      <c r="H485" s="181" t="str">
        <f t="shared" si="130"/>
        <v/>
      </c>
      <c r="I485" s="227"/>
      <c r="J485" s="227"/>
      <c r="K485" s="227"/>
      <c r="L485" s="227"/>
      <c r="M485" s="210" t="str">
        <f t="shared" si="135"/>
        <v/>
      </c>
      <c r="N485" s="210"/>
      <c r="O485" s="207"/>
      <c r="P485" s="182" t="str">
        <f t="shared" si="120"/>
        <v/>
      </c>
      <c r="Q485" s="183" t="str">
        <f t="shared" si="131"/>
        <v/>
      </c>
      <c r="R485" s="182" t="str">
        <f>IF(M485&lt;&gt;"",IF(#REF!*F485*10=0,"",#REF!*F485*10),"")</f>
        <v/>
      </c>
      <c r="S485" s="184" t="str">
        <f t="shared" si="132"/>
        <v/>
      </c>
      <c r="T485" s="185" t="str">
        <f t="shared" si="121"/>
        <v/>
      </c>
      <c r="U485" s="183" t="str">
        <f t="shared" si="133"/>
        <v/>
      </c>
      <c r="V485" s="186" t="str">
        <f t="shared" si="122"/>
        <v/>
      </c>
      <c r="W485" s="186" t="str">
        <f t="shared" si="123"/>
        <v/>
      </c>
      <c r="X485" s="187" t="str">
        <f t="shared" si="124"/>
        <v/>
      </c>
      <c r="Y485" s="182" t="str">
        <f t="shared" si="134"/>
        <v/>
      </c>
      <c r="Z485" s="209" t="str">
        <f t="shared" si="125"/>
        <v/>
      </c>
      <c r="AA485" s="209" t="str">
        <f t="shared" si="126"/>
        <v/>
      </c>
      <c r="AB485" s="200"/>
      <c r="AC485" s="192"/>
    </row>
    <row r="486" spans="1:29" ht="11.4">
      <c r="A486" s="211" t="str">
        <f t="shared" si="127"/>
        <v/>
      </c>
      <c r="B486" s="211"/>
      <c r="C486" s="215"/>
      <c r="D486" s="213" t="str">
        <f t="shared" si="128"/>
        <v/>
      </c>
      <c r="E486" s="213" t="str">
        <f t="shared" si="136"/>
        <v/>
      </c>
      <c r="F486" s="214" t="str">
        <f t="shared" si="129"/>
        <v/>
      </c>
      <c r="G486" s="180"/>
      <c r="H486" s="181" t="str">
        <f t="shared" si="130"/>
        <v/>
      </c>
      <c r="I486" s="227"/>
      <c r="J486" s="227"/>
      <c r="K486" s="227"/>
      <c r="L486" s="227"/>
      <c r="M486" s="210" t="str">
        <f t="shared" si="135"/>
        <v/>
      </c>
      <c r="N486" s="210"/>
      <c r="O486" s="207"/>
      <c r="P486" s="182" t="str">
        <f t="shared" si="120"/>
        <v/>
      </c>
      <c r="Q486" s="183" t="str">
        <f t="shared" si="131"/>
        <v/>
      </c>
      <c r="R486" s="182" t="str">
        <f>IF(M486&lt;&gt;"",IF(#REF!*F486*10=0,"",#REF!*F486*10),"")</f>
        <v/>
      </c>
      <c r="S486" s="184" t="str">
        <f t="shared" si="132"/>
        <v/>
      </c>
      <c r="T486" s="185" t="str">
        <f t="shared" si="121"/>
        <v/>
      </c>
      <c r="U486" s="183" t="str">
        <f t="shared" si="133"/>
        <v/>
      </c>
      <c r="V486" s="186" t="str">
        <f t="shared" si="122"/>
        <v/>
      </c>
      <c r="W486" s="186" t="str">
        <f t="shared" si="123"/>
        <v/>
      </c>
      <c r="X486" s="187" t="str">
        <f t="shared" si="124"/>
        <v/>
      </c>
      <c r="Y486" s="182" t="str">
        <f t="shared" si="134"/>
        <v/>
      </c>
      <c r="Z486" s="209" t="str">
        <f t="shared" si="125"/>
        <v/>
      </c>
      <c r="AA486" s="209" t="str">
        <f t="shared" si="126"/>
        <v/>
      </c>
      <c r="AB486" s="200"/>
      <c r="AC486" s="192"/>
    </row>
    <row r="487" spans="1:29" ht="11.4">
      <c r="A487" s="211" t="str">
        <f t="shared" si="127"/>
        <v/>
      </c>
      <c r="B487" s="211"/>
      <c r="C487" s="215"/>
      <c r="D487" s="213" t="str">
        <f t="shared" si="128"/>
        <v/>
      </c>
      <c r="E487" s="213" t="str">
        <f t="shared" si="136"/>
        <v/>
      </c>
      <c r="F487" s="214" t="str">
        <f t="shared" si="129"/>
        <v/>
      </c>
      <c r="G487" s="180"/>
      <c r="H487" s="181" t="str">
        <f t="shared" si="130"/>
        <v/>
      </c>
      <c r="I487" s="227"/>
      <c r="J487" s="227"/>
      <c r="K487" s="227"/>
      <c r="L487" s="227"/>
      <c r="M487" s="210" t="str">
        <f t="shared" si="135"/>
        <v/>
      </c>
      <c r="N487" s="210"/>
      <c r="O487" s="207"/>
      <c r="P487" s="182" t="str">
        <f t="shared" si="120"/>
        <v/>
      </c>
      <c r="Q487" s="183" t="str">
        <f t="shared" si="131"/>
        <v/>
      </c>
      <c r="R487" s="182" t="str">
        <f>IF(M487&lt;&gt;"",IF(#REF!*F487*10=0,"",#REF!*F487*10),"")</f>
        <v/>
      </c>
      <c r="S487" s="184" t="str">
        <f t="shared" si="132"/>
        <v/>
      </c>
      <c r="T487" s="185" t="str">
        <f t="shared" si="121"/>
        <v/>
      </c>
      <c r="U487" s="183" t="str">
        <f t="shared" si="133"/>
        <v/>
      </c>
      <c r="V487" s="186" t="str">
        <f t="shared" si="122"/>
        <v/>
      </c>
      <c r="W487" s="186" t="str">
        <f t="shared" si="123"/>
        <v/>
      </c>
      <c r="X487" s="187" t="str">
        <f t="shared" si="124"/>
        <v/>
      </c>
      <c r="Y487" s="182" t="str">
        <f t="shared" si="134"/>
        <v/>
      </c>
      <c r="Z487" s="209" t="str">
        <f t="shared" si="125"/>
        <v/>
      </c>
      <c r="AA487" s="209" t="str">
        <f t="shared" si="126"/>
        <v/>
      </c>
      <c r="AB487" s="200"/>
      <c r="AC487" s="192"/>
    </row>
    <row r="488" spans="1:29" ht="11.4">
      <c r="A488" s="211" t="str">
        <f t="shared" si="127"/>
        <v/>
      </c>
      <c r="B488" s="211"/>
      <c r="C488" s="215"/>
      <c r="D488" s="213" t="str">
        <f t="shared" si="128"/>
        <v/>
      </c>
      <c r="E488" s="213" t="str">
        <f t="shared" si="136"/>
        <v/>
      </c>
      <c r="F488" s="214" t="str">
        <f t="shared" si="129"/>
        <v/>
      </c>
      <c r="G488" s="180"/>
      <c r="H488" s="181" t="str">
        <f t="shared" si="130"/>
        <v/>
      </c>
      <c r="I488" s="227"/>
      <c r="J488" s="227"/>
      <c r="K488" s="227"/>
      <c r="L488" s="227"/>
      <c r="M488" s="210" t="str">
        <f t="shared" si="135"/>
        <v/>
      </c>
      <c r="N488" s="210"/>
      <c r="O488" s="207"/>
      <c r="P488" s="182" t="str">
        <f t="shared" si="120"/>
        <v/>
      </c>
      <c r="Q488" s="183" t="str">
        <f t="shared" si="131"/>
        <v/>
      </c>
      <c r="R488" s="182" t="str">
        <f>IF(M488&lt;&gt;"",IF(#REF!*F488*10=0,"",#REF!*F488*10),"")</f>
        <v/>
      </c>
      <c r="S488" s="184" t="str">
        <f t="shared" si="132"/>
        <v/>
      </c>
      <c r="T488" s="185" t="str">
        <f t="shared" si="121"/>
        <v/>
      </c>
      <c r="U488" s="183" t="str">
        <f t="shared" si="133"/>
        <v/>
      </c>
      <c r="V488" s="186" t="str">
        <f t="shared" si="122"/>
        <v/>
      </c>
      <c r="W488" s="186" t="str">
        <f t="shared" si="123"/>
        <v/>
      </c>
      <c r="X488" s="187" t="str">
        <f t="shared" si="124"/>
        <v/>
      </c>
      <c r="Y488" s="182" t="str">
        <f t="shared" si="134"/>
        <v/>
      </c>
      <c r="Z488" s="209" t="str">
        <f t="shared" si="125"/>
        <v/>
      </c>
      <c r="AA488" s="209" t="str">
        <f t="shared" si="126"/>
        <v/>
      </c>
      <c r="AB488" s="200"/>
      <c r="AC488" s="192"/>
    </row>
    <row r="489" spans="1:29" ht="11.4">
      <c r="A489" s="211" t="str">
        <f t="shared" si="127"/>
        <v/>
      </c>
      <c r="B489" s="211"/>
      <c r="C489" s="215"/>
      <c r="D489" s="213" t="str">
        <f t="shared" si="128"/>
        <v/>
      </c>
      <c r="E489" s="213" t="str">
        <f t="shared" si="136"/>
        <v/>
      </c>
      <c r="F489" s="214" t="str">
        <f t="shared" si="129"/>
        <v/>
      </c>
      <c r="G489" s="180"/>
      <c r="H489" s="181" t="str">
        <f t="shared" si="130"/>
        <v/>
      </c>
      <c r="I489" s="227"/>
      <c r="J489" s="227"/>
      <c r="K489" s="227"/>
      <c r="L489" s="227"/>
      <c r="M489" s="210" t="str">
        <f t="shared" si="135"/>
        <v/>
      </c>
      <c r="N489" s="210"/>
      <c r="O489" s="207"/>
      <c r="P489" s="182" t="str">
        <f t="shared" si="120"/>
        <v/>
      </c>
      <c r="Q489" s="183" t="str">
        <f t="shared" si="131"/>
        <v/>
      </c>
      <c r="R489" s="182" t="str">
        <f>IF(M489&lt;&gt;"",IF(#REF!*F489*10=0,"",#REF!*F489*10),"")</f>
        <v/>
      </c>
      <c r="S489" s="184" t="str">
        <f t="shared" si="132"/>
        <v/>
      </c>
      <c r="T489" s="185" t="str">
        <f t="shared" si="121"/>
        <v/>
      </c>
      <c r="U489" s="183" t="str">
        <f t="shared" si="133"/>
        <v/>
      </c>
      <c r="V489" s="186" t="str">
        <f t="shared" si="122"/>
        <v/>
      </c>
      <c r="W489" s="186" t="str">
        <f t="shared" si="123"/>
        <v/>
      </c>
      <c r="X489" s="187" t="str">
        <f t="shared" si="124"/>
        <v/>
      </c>
      <c r="Y489" s="182" t="str">
        <f t="shared" si="134"/>
        <v/>
      </c>
      <c r="Z489" s="209" t="str">
        <f t="shared" si="125"/>
        <v/>
      </c>
      <c r="AA489" s="209" t="str">
        <f t="shared" si="126"/>
        <v/>
      </c>
      <c r="AB489" s="200"/>
      <c r="AC489" s="192"/>
    </row>
    <row r="490" spans="1:29" ht="11.4">
      <c r="A490" s="211" t="str">
        <f t="shared" si="127"/>
        <v/>
      </c>
      <c r="B490" s="211"/>
      <c r="C490" s="215"/>
      <c r="D490" s="213" t="str">
        <f t="shared" si="128"/>
        <v/>
      </c>
      <c r="E490" s="213" t="str">
        <f t="shared" si="136"/>
        <v/>
      </c>
      <c r="F490" s="214" t="str">
        <f t="shared" si="129"/>
        <v/>
      </c>
      <c r="G490" s="180"/>
      <c r="H490" s="181" t="str">
        <f t="shared" si="130"/>
        <v/>
      </c>
      <c r="I490" s="227"/>
      <c r="J490" s="227"/>
      <c r="K490" s="227"/>
      <c r="L490" s="227"/>
      <c r="M490" s="210" t="str">
        <f t="shared" si="135"/>
        <v/>
      </c>
      <c r="N490" s="210"/>
      <c r="O490" s="207"/>
      <c r="P490" s="182" t="str">
        <f t="shared" si="120"/>
        <v/>
      </c>
      <c r="Q490" s="183" t="str">
        <f t="shared" si="131"/>
        <v/>
      </c>
      <c r="R490" s="182" t="str">
        <f>IF(M490&lt;&gt;"",IF(#REF!*F490*10=0,"",#REF!*F490*10),"")</f>
        <v/>
      </c>
      <c r="S490" s="184" t="str">
        <f t="shared" si="132"/>
        <v/>
      </c>
      <c r="T490" s="185" t="str">
        <f t="shared" si="121"/>
        <v/>
      </c>
      <c r="U490" s="183" t="str">
        <f t="shared" si="133"/>
        <v/>
      </c>
      <c r="V490" s="186" t="str">
        <f t="shared" si="122"/>
        <v/>
      </c>
      <c r="W490" s="186" t="str">
        <f t="shared" si="123"/>
        <v/>
      </c>
      <c r="X490" s="187" t="str">
        <f t="shared" si="124"/>
        <v/>
      </c>
      <c r="Y490" s="182" t="str">
        <f t="shared" si="134"/>
        <v/>
      </c>
      <c r="Z490" s="209" t="str">
        <f t="shared" si="125"/>
        <v/>
      </c>
      <c r="AA490" s="209" t="str">
        <f t="shared" si="126"/>
        <v/>
      </c>
      <c r="AB490" s="200"/>
      <c r="AC490" s="192"/>
    </row>
    <row r="491" spans="1:29" ht="11.4">
      <c r="A491" s="211" t="str">
        <f t="shared" si="127"/>
        <v/>
      </c>
      <c r="B491" s="211"/>
      <c r="C491" s="215"/>
      <c r="D491" s="213" t="str">
        <f t="shared" si="128"/>
        <v/>
      </c>
      <c r="E491" s="213" t="str">
        <f t="shared" si="136"/>
        <v/>
      </c>
      <c r="F491" s="214" t="str">
        <f t="shared" si="129"/>
        <v/>
      </c>
      <c r="G491" s="180"/>
      <c r="H491" s="181" t="str">
        <f t="shared" si="130"/>
        <v/>
      </c>
      <c r="I491" s="227"/>
      <c r="J491" s="227"/>
      <c r="K491" s="227"/>
      <c r="L491" s="227"/>
      <c r="M491" s="210" t="str">
        <f t="shared" si="135"/>
        <v/>
      </c>
      <c r="N491" s="210"/>
      <c r="O491" s="207"/>
      <c r="P491" s="182" t="str">
        <f t="shared" si="120"/>
        <v/>
      </c>
      <c r="Q491" s="183" t="str">
        <f t="shared" si="131"/>
        <v/>
      </c>
      <c r="R491" s="182" t="str">
        <f>IF(M491&lt;&gt;"",IF(#REF!*F491*10=0,"",#REF!*F491*10),"")</f>
        <v/>
      </c>
      <c r="S491" s="184" t="str">
        <f t="shared" si="132"/>
        <v/>
      </c>
      <c r="T491" s="185" t="str">
        <f t="shared" si="121"/>
        <v/>
      </c>
      <c r="U491" s="183" t="str">
        <f t="shared" si="133"/>
        <v/>
      </c>
      <c r="V491" s="186" t="str">
        <f t="shared" si="122"/>
        <v/>
      </c>
      <c r="W491" s="186" t="str">
        <f t="shared" si="123"/>
        <v/>
      </c>
      <c r="X491" s="187" t="str">
        <f t="shared" si="124"/>
        <v/>
      </c>
      <c r="Y491" s="182" t="str">
        <f t="shared" si="134"/>
        <v/>
      </c>
      <c r="Z491" s="209" t="str">
        <f t="shared" si="125"/>
        <v/>
      </c>
      <c r="AA491" s="209" t="str">
        <f t="shared" si="126"/>
        <v/>
      </c>
      <c r="AB491" s="200"/>
      <c r="AC491" s="192"/>
    </row>
    <row r="492" spans="1:29" ht="11.4">
      <c r="A492" s="211" t="str">
        <f t="shared" si="127"/>
        <v/>
      </c>
      <c r="B492" s="211"/>
      <c r="C492" s="215"/>
      <c r="D492" s="213" t="str">
        <f t="shared" si="128"/>
        <v/>
      </c>
      <c r="E492" s="213" t="str">
        <f t="shared" si="136"/>
        <v/>
      </c>
      <c r="F492" s="214" t="str">
        <f t="shared" si="129"/>
        <v/>
      </c>
      <c r="G492" s="180"/>
      <c r="H492" s="181" t="str">
        <f t="shared" si="130"/>
        <v/>
      </c>
      <c r="I492" s="227"/>
      <c r="J492" s="227"/>
      <c r="K492" s="227"/>
      <c r="L492" s="227"/>
      <c r="M492" s="210" t="str">
        <f t="shared" si="135"/>
        <v/>
      </c>
      <c r="N492" s="210"/>
      <c r="O492" s="207"/>
      <c r="P492" s="182" t="str">
        <f t="shared" si="120"/>
        <v/>
      </c>
      <c r="Q492" s="183" t="str">
        <f t="shared" si="131"/>
        <v/>
      </c>
      <c r="R492" s="182" t="str">
        <f>IF(M492&lt;&gt;"",IF(#REF!*F492*10=0,"",#REF!*F492*10),"")</f>
        <v/>
      </c>
      <c r="S492" s="184" t="str">
        <f t="shared" si="132"/>
        <v/>
      </c>
      <c r="T492" s="185" t="str">
        <f t="shared" si="121"/>
        <v/>
      </c>
      <c r="U492" s="183" t="str">
        <f t="shared" si="133"/>
        <v/>
      </c>
      <c r="V492" s="186" t="str">
        <f t="shared" si="122"/>
        <v/>
      </c>
      <c r="W492" s="186" t="str">
        <f t="shared" si="123"/>
        <v/>
      </c>
      <c r="X492" s="187" t="str">
        <f t="shared" si="124"/>
        <v/>
      </c>
      <c r="Y492" s="182" t="str">
        <f t="shared" si="134"/>
        <v/>
      </c>
      <c r="Z492" s="209" t="str">
        <f t="shared" si="125"/>
        <v/>
      </c>
      <c r="AA492" s="209" t="str">
        <f t="shared" si="126"/>
        <v/>
      </c>
      <c r="AB492" s="200"/>
      <c r="AC492" s="192"/>
    </row>
    <row r="493" spans="1:29" ht="11.4">
      <c r="A493" s="211" t="str">
        <f t="shared" si="127"/>
        <v/>
      </c>
      <c r="B493" s="211"/>
      <c r="C493" s="215"/>
      <c r="D493" s="213" t="str">
        <f t="shared" si="128"/>
        <v/>
      </c>
      <c r="E493" s="213" t="str">
        <f t="shared" si="136"/>
        <v/>
      </c>
      <c r="F493" s="214" t="str">
        <f t="shared" si="129"/>
        <v/>
      </c>
      <c r="G493" s="180"/>
      <c r="H493" s="181" t="str">
        <f t="shared" si="130"/>
        <v/>
      </c>
      <c r="I493" s="227"/>
      <c r="J493" s="227"/>
      <c r="K493" s="227"/>
      <c r="L493" s="227"/>
      <c r="M493" s="210" t="str">
        <f t="shared" si="135"/>
        <v/>
      </c>
      <c r="N493" s="210"/>
      <c r="O493" s="207"/>
      <c r="P493" s="182" t="str">
        <f t="shared" si="120"/>
        <v/>
      </c>
      <c r="Q493" s="183" t="str">
        <f t="shared" si="131"/>
        <v/>
      </c>
      <c r="R493" s="182" t="str">
        <f>IF(M493&lt;&gt;"",IF(#REF!*F493*10=0,"",#REF!*F493*10),"")</f>
        <v/>
      </c>
      <c r="S493" s="184" t="str">
        <f t="shared" si="132"/>
        <v/>
      </c>
      <c r="T493" s="185" t="str">
        <f t="shared" si="121"/>
        <v/>
      </c>
      <c r="U493" s="183" t="str">
        <f t="shared" si="133"/>
        <v/>
      </c>
      <c r="V493" s="186" t="str">
        <f t="shared" si="122"/>
        <v/>
      </c>
      <c r="W493" s="186" t="str">
        <f t="shared" si="123"/>
        <v/>
      </c>
      <c r="X493" s="187" t="str">
        <f t="shared" si="124"/>
        <v/>
      </c>
      <c r="Y493" s="182" t="str">
        <f t="shared" si="134"/>
        <v/>
      </c>
      <c r="Z493" s="209" t="str">
        <f t="shared" si="125"/>
        <v/>
      </c>
      <c r="AA493" s="209" t="str">
        <f t="shared" si="126"/>
        <v/>
      </c>
      <c r="AB493" s="200"/>
      <c r="AC493" s="192"/>
    </row>
    <row r="494" spans="1:29" ht="11.4">
      <c r="A494" s="211" t="str">
        <f t="shared" si="127"/>
        <v/>
      </c>
      <c r="B494" s="211"/>
      <c r="C494" s="215"/>
      <c r="D494" s="213" t="str">
        <f t="shared" si="128"/>
        <v/>
      </c>
      <c r="E494" s="213" t="str">
        <f t="shared" si="136"/>
        <v/>
      </c>
      <c r="F494" s="214" t="str">
        <f t="shared" si="129"/>
        <v/>
      </c>
      <c r="G494" s="180"/>
      <c r="H494" s="181" t="str">
        <f t="shared" si="130"/>
        <v/>
      </c>
      <c r="I494" s="227"/>
      <c r="J494" s="227"/>
      <c r="K494" s="227"/>
      <c r="L494" s="227"/>
      <c r="M494" s="210" t="str">
        <f t="shared" si="135"/>
        <v/>
      </c>
      <c r="N494" s="210"/>
      <c r="O494" s="207"/>
      <c r="P494" s="182" t="str">
        <f t="shared" si="120"/>
        <v/>
      </c>
      <c r="Q494" s="183" t="str">
        <f t="shared" si="131"/>
        <v/>
      </c>
      <c r="R494" s="182" t="str">
        <f>IF(M494&lt;&gt;"",IF(#REF!*F494*10=0,"",#REF!*F494*10),"")</f>
        <v/>
      </c>
      <c r="S494" s="184" t="str">
        <f t="shared" si="132"/>
        <v/>
      </c>
      <c r="T494" s="185" t="str">
        <f t="shared" si="121"/>
        <v/>
      </c>
      <c r="U494" s="183" t="str">
        <f t="shared" si="133"/>
        <v/>
      </c>
      <c r="V494" s="186" t="str">
        <f t="shared" si="122"/>
        <v/>
      </c>
      <c r="W494" s="186" t="str">
        <f t="shared" si="123"/>
        <v/>
      </c>
      <c r="X494" s="187" t="str">
        <f t="shared" si="124"/>
        <v/>
      </c>
      <c r="Y494" s="182" t="str">
        <f t="shared" si="134"/>
        <v/>
      </c>
      <c r="Z494" s="209" t="str">
        <f t="shared" si="125"/>
        <v/>
      </c>
      <c r="AA494" s="209" t="str">
        <f t="shared" si="126"/>
        <v/>
      </c>
      <c r="AB494" s="200"/>
      <c r="AC494" s="192"/>
    </row>
    <row r="495" spans="1:29" ht="11.4">
      <c r="A495" s="211" t="str">
        <f t="shared" si="127"/>
        <v/>
      </c>
      <c r="B495" s="211"/>
      <c r="C495" s="215"/>
      <c r="D495" s="213" t="str">
        <f t="shared" si="128"/>
        <v/>
      </c>
      <c r="E495" s="213" t="str">
        <f t="shared" si="136"/>
        <v/>
      </c>
      <c r="F495" s="214" t="str">
        <f t="shared" si="129"/>
        <v/>
      </c>
      <c r="G495" s="180"/>
      <c r="H495" s="181" t="str">
        <f t="shared" si="130"/>
        <v/>
      </c>
      <c r="I495" s="227"/>
      <c r="J495" s="227"/>
      <c r="K495" s="227"/>
      <c r="L495" s="227"/>
      <c r="M495" s="210" t="str">
        <f t="shared" si="135"/>
        <v/>
      </c>
      <c r="N495" s="210"/>
      <c r="O495" s="207"/>
      <c r="P495" s="182" t="str">
        <f t="shared" si="120"/>
        <v/>
      </c>
      <c r="Q495" s="183" t="str">
        <f t="shared" si="131"/>
        <v/>
      </c>
      <c r="R495" s="182" t="str">
        <f>IF(M495&lt;&gt;"",IF(#REF!*F495*10=0,"",#REF!*F495*10),"")</f>
        <v/>
      </c>
      <c r="S495" s="184" t="str">
        <f t="shared" si="132"/>
        <v/>
      </c>
      <c r="T495" s="185" t="str">
        <f t="shared" si="121"/>
        <v/>
      </c>
      <c r="U495" s="183" t="str">
        <f t="shared" si="133"/>
        <v/>
      </c>
      <c r="V495" s="186" t="str">
        <f t="shared" si="122"/>
        <v/>
      </c>
      <c r="W495" s="186" t="str">
        <f t="shared" si="123"/>
        <v/>
      </c>
      <c r="X495" s="187" t="str">
        <f t="shared" si="124"/>
        <v/>
      </c>
      <c r="Y495" s="182" t="str">
        <f t="shared" si="134"/>
        <v/>
      </c>
      <c r="Z495" s="209" t="str">
        <f t="shared" si="125"/>
        <v/>
      </c>
      <c r="AA495" s="209" t="str">
        <f t="shared" si="126"/>
        <v/>
      </c>
      <c r="AB495" s="200"/>
      <c r="AC495" s="192"/>
    </row>
    <row r="496" spans="1:29" ht="11.4">
      <c r="A496" s="211" t="str">
        <f t="shared" si="127"/>
        <v/>
      </c>
      <c r="B496" s="211"/>
      <c r="C496" s="215"/>
      <c r="D496" s="213" t="str">
        <f t="shared" si="128"/>
        <v/>
      </c>
      <c r="E496" s="213" t="str">
        <f t="shared" si="136"/>
        <v/>
      </c>
      <c r="F496" s="214" t="str">
        <f t="shared" si="129"/>
        <v/>
      </c>
      <c r="G496" s="180"/>
      <c r="H496" s="181" t="str">
        <f t="shared" si="130"/>
        <v/>
      </c>
      <c r="I496" s="227"/>
      <c r="J496" s="227"/>
      <c r="K496" s="227"/>
      <c r="L496" s="227"/>
      <c r="M496" s="210" t="str">
        <f t="shared" si="135"/>
        <v/>
      </c>
      <c r="N496" s="210"/>
      <c r="O496" s="207"/>
      <c r="P496" s="182" t="str">
        <f t="shared" si="120"/>
        <v/>
      </c>
      <c r="Q496" s="183" t="str">
        <f t="shared" si="131"/>
        <v/>
      </c>
      <c r="R496" s="182" t="str">
        <f>IF(M496&lt;&gt;"",IF(#REF!*F496*10=0,"",#REF!*F496*10),"")</f>
        <v/>
      </c>
      <c r="S496" s="184" t="str">
        <f t="shared" si="132"/>
        <v/>
      </c>
      <c r="T496" s="185" t="str">
        <f t="shared" si="121"/>
        <v/>
      </c>
      <c r="U496" s="183" t="str">
        <f t="shared" si="133"/>
        <v/>
      </c>
      <c r="V496" s="186" t="str">
        <f t="shared" si="122"/>
        <v/>
      </c>
      <c r="W496" s="186" t="str">
        <f t="shared" si="123"/>
        <v/>
      </c>
      <c r="X496" s="187" t="str">
        <f t="shared" si="124"/>
        <v/>
      </c>
      <c r="Y496" s="182" t="str">
        <f t="shared" si="134"/>
        <v/>
      </c>
      <c r="Z496" s="209" t="str">
        <f t="shared" si="125"/>
        <v/>
      </c>
      <c r="AA496" s="209" t="str">
        <f t="shared" si="126"/>
        <v/>
      </c>
      <c r="AB496" s="200"/>
      <c r="AC496" s="192"/>
    </row>
    <row r="497" spans="1:29" ht="11.4">
      <c r="A497" s="211" t="str">
        <f t="shared" si="127"/>
        <v/>
      </c>
      <c r="B497" s="211"/>
      <c r="C497" s="215"/>
      <c r="D497" s="213" t="str">
        <f t="shared" si="128"/>
        <v/>
      </c>
      <c r="E497" s="213" t="str">
        <f t="shared" si="136"/>
        <v/>
      </c>
      <c r="F497" s="214" t="str">
        <f t="shared" si="129"/>
        <v/>
      </c>
      <c r="G497" s="180"/>
      <c r="H497" s="181" t="str">
        <f t="shared" si="130"/>
        <v/>
      </c>
      <c r="I497" s="227"/>
      <c r="J497" s="227"/>
      <c r="K497" s="227"/>
      <c r="L497" s="227"/>
      <c r="M497" s="210" t="str">
        <f t="shared" si="135"/>
        <v/>
      </c>
      <c r="N497" s="210"/>
      <c r="O497" s="207"/>
      <c r="P497" s="182" t="str">
        <f t="shared" si="120"/>
        <v/>
      </c>
      <c r="Q497" s="183" t="str">
        <f t="shared" si="131"/>
        <v/>
      </c>
      <c r="R497" s="182" t="str">
        <f>IF(M497&lt;&gt;"",IF(#REF!*F497*10=0,"",#REF!*F497*10),"")</f>
        <v/>
      </c>
      <c r="S497" s="184" t="str">
        <f t="shared" si="132"/>
        <v/>
      </c>
      <c r="T497" s="185" t="str">
        <f t="shared" si="121"/>
        <v/>
      </c>
      <c r="U497" s="183" t="str">
        <f t="shared" si="133"/>
        <v/>
      </c>
      <c r="V497" s="186" t="str">
        <f t="shared" si="122"/>
        <v/>
      </c>
      <c r="W497" s="186" t="str">
        <f t="shared" si="123"/>
        <v/>
      </c>
      <c r="X497" s="187" t="str">
        <f t="shared" si="124"/>
        <v/>
      </c>
      <c r="Y497" s="182" t="str">
        <f t="shared" si="134"/>
        <v/>
      </c>
      <c r="Z497" s="209" t="str">
        <f t="shared" si="125"/>
        <v/>
      </c>
      <c r="AA497" s="209" t="str">
        <f t="shared" si="126"/>
        <v/>
      </c>
      <c r="AB497" s="200"/>
      <c r="AC497" s="192"/>
    </row>
    <row r="498" spans="1:29" ht="11.4">
      <c r="A498" s="211" t="str">
        <f t="shared" si="127"/>
        <v/>
      </c>
      <c r="B498" s="211"/>
      <c r="C498" s="215"/>
      <c r="D498" s="213" t="str">
        <f t="shared" si="128"/>
        <v/>
      </c>
      <c r="E498" s="213" t="str">
        <f t="shared" si="136"/>
        <v/>
      </c>
      <c r="F498" s="214" t="str">
        <f t="shared" si="129"/>
        <v/>
      </c>
      <c r="G498" s="180"/>
      <c r="H498" s="181" t="str">
        <f t="shared" si="130"/>
        <v/>
      </c>
      <c r="I498" s="227"/>
      <c r="J498" s="227"/>
      <c r="K498" s="227"/>
      <c r="L498" s="227"/>
      <c r="M498" s="210" t="str">
        <f t="shared" si="135"/>
        <v/>
      </c>
      <c r="N498" s="210"/>
      <c r="O498" s="207"/>
      <c r="P498" s="182" t="str">
        <f t="shared" si="120"/>
        <v/>
      </c>
      <c r="Q498" s="183" t="str">
        <f t="shared" si="131"/>
        <v/>
      </c>
      <c r="R498" s="182" t="str">
        <f>IF(M498&lt;&gt;"",IF(#REF!*F498*10=0,"",#REF!*F498*10),"")</f>
        <v/>
      </c>
      <c r="S498" s="184" t="str">
        <f t="shared" si="132"/>
        <v/>
      </c>
      <c r="T498" s="185" t="str">
        <f t="shared" si="121"/>
        <v/>
      </c>
      <c r="U498" s="183" t="str">
        <f t="shared" si="133"/>
        <v/>
      </c>
      <c r="V498" s="186" t="str">
        <f t="shared" si="122"/>
        <v/>
      </c>
      <c r="W498" s="186" t="str">
        <f t="shared" si="123"/>
        <v/>
      </c>
      <c r="X498" s="187" t="str">
        <f t="shared" si="124"/>
        <v/>
      </c>
      <c r="Y498" s="182" t="str">
        <f t="shared" si="134"/>
        <v/>
      </c>
      <c r="Z498" s="209" t="str">
        <f t="shared" si="125"/>
        <v/>
      </c>
      <c r="AA498" s="209" t="str">
        <f t="shared" si="126"/>
        <v/>
      </c>
      <c r="AB498" s="200"/>
      <c r="AC498" s="192"/>
    </row>
    <row r="499" spans="1:29" ht="11.4">
      <c r="A499" s="211" t="str">
        <f t="shared" si="127"/>
        <v/>
      </c>
      <c r="B499" s="211"/>
      <c r="C499" s="215"/>
      <c r="D499" s="213" t="str">
        <f t="shared" si="128"/>
        <v/>
      </c>
      <c r="E499" s="213" t="str">
        <f t="shared" si="136"/>
        <v/>
      </c>
      <c r="F499" s="214" t="str">
        <f t="shared" si="129"/>
        <v/>
      </c>
      <c r="G499" s="180"/>
      <c r="H499" s="181" t="str">
        <f t="shared" si="130"/>
        <v/>
      </c>
      <c r="I499" s="227"/>
      <c r="J499" s="227"/>
      <c r="K499" s="227"/>
      <c r="L499" s="227"/>
      <c r="M499" s="210" t="str">
        <f t="shared" si="135"/>
        <v/>
      </c>
      <c r="N499" s="210"/>
      <c r="O499" s="207"/>
      <c r="P499" s="182" t="str">
        <f t="shared" si="120"/>
        <v/>
      </c>
      <c r="Q499" s="183" t="str">
        <f t="shared" si="131"/>
        <v/>
      </c>
      <c r="R499" s="182" t="str">
        <f>IF(M499&lt;&gt;"",IF(#REF!*F499*10=0,"",#REF!*F499*10),"")</f>
        <v/>
      </c>
      <c r="S499" s="184" t="str">
        <f t="shared" si="132"/>
        <v/>
      </c>
      <c r="T499" s="185" t="str">
        <f t="shared" si="121"/>
        <v/>
      </c>
      <c r="U499" s="183" t="str">
        <f t="shared" si="133"/>
        <v/>
      </c>
      <c r="V499" s="186" t="str">
        <f t="shared" si="122"/>
        <v/>
      </c>
      <c r="W499" s="186" t="str">
        <f t="shared" si="123"/>
        <v/>
      </c>
      <c r="X499" s="187" t="str">
        <f t="shared" si="124"/>
        <v/>
      </c>
      <c r="Y499" s="182" t="str">
        <f t="shared" si="134"/>
        <v/>
      </c>
      <c r="Z499" s="209" t="str">
        <f t="shared" si="125"/>
        <v/>
      </c>
      <c r="AA499" s="209" t="str">
        <f t="shared" si="126"/>
        <v/>
      </c>
      <c r="AB499" s="200"/>
      <c r="AC499" s="192"/>
    </row>
    <row r="500" spans="1:29" ht="11.4">
      <c r="A500" s="211" t="str">
        <f t="shared" si="127"/>
        <v/>
      </c>
      <c r="B500" s="211"/>
      <c r="C500" s="215"/>
      <c r="D500" s="213" t="str">
        <f t="shared" si="128"/>
        <v/>
      </c>
      <c r="E500" s="213" t="str">
        <f t="shared" si="136"/>
        <v/>
      </c>
      <c r="F500" s="214" t="str">
        <f t="shared" si="129"/>
        <v/>
      </c>
      <c r="G500" s="180"/>
      <c r="H500" s="181" t="str">
        <f t="shared" si="130"/>
        <v/>
      </c>
      <c r="I500" s="227"/>
      <c r="J500" s="227"/>
      <c r="K500" s="227"/>
      <c r="L500" s="227"/>
      <c r="M500" s="210" t="str">
        <f t="shared" si="135"/>
        <v/>
      </c>
      <c r="N500" s="210"/>
      <c r="O500" s="207"/>
      <c r="P500" s="182" t="str">
        <f t="shared" si="120"/>
        <v/>
      </c>
      <c r="Q500" s="183" t="str">
        <f t="shared" si="131"/>
        <v/>
      </c>
      <c r="R500" s="182" t="str">
        <f>IF(M500&lt;&gt;"",IF(#REF!*F500*10=0,"",#REF!*F500*10),"")</f>
        <v/>
      </c>
      <c r="S500" s="184" t="str">
        <f t="shared" si="132"/>
        <v/>
      </c>
      <c r="T500" s="185" t="str">
        <f t="shared" si="121"/>
        <v/>
      </c>
      <c r="U500" s="183" t="str">
        <f t="shared" si="133"/>
        <v/>
      </c>
      <c r="V500" s="186" t="str">
        <f t="shared" si="122"/>
        <v/>
      </c>
      <c r="W500" s="186" t="str">
        <f t="shared" si="123"/>
        <v/>
      </c>
      <c r="X500" s="187" t="str">
        <f t="shared" si="124"/>
        <v/>
      </c>
      <c r="Y500" s="182" t="str">
        <f t="shared" si="134"/>
        <v/>
      </c>
      <c r="Z500" s="209" t="str">
        <f t="shared" si="125"/>
        <v/>
      </c>
      <c r="AA500" s="209" t="str">
        <f t="shared" si="126"/>
        <v/>
      </c>
      <c r="AB500" s="200"/>
      <c r="AC500" s="192"/>
    </row>
    <row r="501" spans="1:29" ht="11.4">
      <c r="A501" s="211" t="str">
        <f t="shared" si="127"/>
        <v/>
      </c>
      <c r="B501" s="211"/>
      <c r="C501" s="215"/>
      <c r="D501" s="213" t="str">
        <f t="shared" si="128"/>
        <v/>
      </c>
      <c r="E501" s="213" t="str">
        <f t="shared" si="136"/>
        <v/>
      </c>
      <c r="F501" s="214" t="str">
        <f t="shared" si="129"/>
        <v/>
      </c>
      <c r="G501" s="180"/>
      <c r="H501" s="181" t="str">
        <f t="shared" si="130"/>
        <v/>
      </c>
      <c r="I501" s="227"/>
      <c r="J501" s="227"/>
      <c r="K501" s="227"/>
      <c r="L501" s="227"/>
      <c r="M501" s="210" t="str">
        <f t="shared" si="135"/>
        <v/>
      </c>
      <c r="N501" s="210"/>
      <c r="O501" s="207"/>
      <c r="P501" s="182" t="str">
        <f t="shared" si="120"/>
        <v/>
      </c>
      <c r="Q501" s="183" t="str">
        <f t="shared" si="131"/>
        <v/>
      </c>
      <c r="R501" s="182" t="str">
        <f>IF(M501&lt;&gt;"",IF(#REF!*F501*10=0,"",#REF!*F501*10),"")</f>
        <v/>
      </c>
      <c r="S501" s="184" t="str">
        <f t="shared" si="132"/>
        <v/>
      </c>
      <c r="T501" s="185" t="str">
        <f t="shared" si="121"/>
        <v/>
      </c>
      <c r="U501" s="183" t="str">
        <f t="shared" si="133"/>
        <v/>
      </c>
      <c r="V501" s="186" t="str">
        <f t="shared" si="122"/>
        <v/>
      </c>
      <c r="W501" s="186" t="str">
        <f t="shared" si="123"/>
        <v/>
      </c>
      <c r="X501" s="187" t="str">
        <f t="shared" si="124"/>
        <v/>
      </c>
      <c r="Y501" s="182" t="str">
        <f t="shared" si="134"/>
        <v/>
      </c>
      <c r="Z501" s="209" t="str">
        <f t="shared" si="125"/>
        <v/>
      </c>
      <c r="AA501" s="209" t="str">
        <f t="shared" si="126"/>
        <v/>
      </c>
      <c r="AB501" s="200"/>
      <c r="AC501" s="192"/>
    </row>
    <row r="502" spans="1:29" ht="11.4">
      <c r="A502" s="211" t="str">
        <f t="shared" si="127"/>
        <v/>
      </c>
      <c r="B502" s="211"/>
      <c r="C502" s="215"/>
      <c r="D502" s="213" t="str">
        <f t="shared" si="128"/>
        <v/>
      </c>
      <c r="E502" s="213" t="str">
        <f t="shared" si="136"/>
        <v/>
      </c>
      <c r="F502" s="214" t="str">
        <f t="shared" si="129"/>
        <v/>
      </c>
      <c r="G502" s="180"/>
      <c r="H502" s="181" t="str">
        <f t="shared" si="130"/>
        <v/>
      </c>
      <c r="I502" s="227"/>
      <c r="J502" s="227"/>
      <c r="K502" s="227"/>
      <c r="L502" s="227"/>
      <c r="M502" s="210" t="str">
        <f t="shared" si="135"/>
        <v/>
      </c>
      <c r="N502" s="210"/>
      <c r="O502" s="207"/>
      <c r="P502" s="182" t="str">
        <f t="shared" si="120"/>
        <v/>
      </c>
      <c r="Q502" s="183" t="str">
        <f t="shared" si="131"/>
        <v/>
      </c>
      <c r="R502" s="182" t="str">
        <f>IF(M502&lt;&gt;"",IF(#REF!*F502*10=0,"",#REF!*F502*10),"")</f>
        <v/>
      </c>
      <c r="S502" s="184" t="str">
        <f t="shared" si="132"/>
        <v/>
      </c>
      <c r="T502" s="185" t="str">
        <f t="shared" si="121"/>
        <v/>
      </c>
      <c r="U502" s="183" t="str">
        <f t="shared" si="133"/>
        <v/>
      </c>
      <c r="V502" s="186" t="str">
        <f t="shared" si="122"/>
        <v/>
      </c>
      <c r="W502" s="186" t="str">
        <f t="shared" si="123"/>
        <v/>
      </c>
      <c r="X502" s="187" t="str">
        <f t="shared" si="124"/>
        <v/>
      </c>
      <c r="Y502" s="182" t="str">
        <f t="shared" si="134"/>
        <v/>
      </c>
      <c r="Z502" s="209" t="str">
        <f t="shared" si="125"/>
        <v/>
      </c>
      <c r="AA502" s="209" t="str">
        <f t="shared" si="126"/>
        <v/>
      </c>
      <c r="AB502" s="200"/>
      <c r="AC502" s="192"/>
    </row>
    <row r="503" spans="1:29" ht="11.4">
      <c r="A503" s="211" t="str">
        <f t="shared" si="127"/>
        <v/>
      </c>
      <c r="B503" s="211"/>
      <c r="C503" s="215"/>
      <c r="D503" s="213" t="str">
        <f t="shared" si="128"/>
        <v/>
      </c>
      <c r="E503" s="213" t="str">
        <f t="shared" si="136"/>
        <v/>
      </c>
      <c r="F503" s="214" t="str">
        <f t="shared" si="129"/>
        <v/>
      </c>
      <c r="G503" s="180"/>
      <c r="H503" s="181" t="str">
        <f t="shared" si="130"/>
        <v/>
      </c>
      <c r="I503" s="227"/>
      <c r="J503" s="227"/>
      <c r="K503" s="227"/>
      <c r="L503" s="227"/>
      <c r="M503" s="210" t="str">
        <f t="shared" si="135"/>
        <v/>
      </c>
      <c r="N503" s="210"/>
      <c r="O503" s="207"/>
      <c r="P503" s="182" t="str">
        <f t="shared" si="120"/>
        <v/>
      </c>
      <c r="Q503" s="183" t="str">
        <f t="shared" si="131"/>
        <v/>
      </c>
      <c r="R503" s="182" t="str">
        <f>IF(M503&lt;&gt;"",IF(#REF!*F503*10=0,"",#REF!*F503*10),"")</f>
        <v/>
      </c>
      <c r="S503" s="184" t="str">
        <f t="shared" si="132"/>
        <v/>
      </c>
      <c r="T503" s="185" t="str">
        <f t="shared" si="121"/>
        <v/>
      </c>
      <c r="U503" s="183" t="str">
        <f t="shared" si="133"/>
        <v/>
      </c>
      <c r="V503" s="186" t="str">
        <f t="shared" si="122"/>
        <v/>
      </c>
      <c r="W503" s="186" t="str">
        <f t="shared" si="123"/>
        <v/>
      </c>
      <c r="X503" s="187" t="str">
        <f t="shared" si="124"/>
        <v/>
      </c>
      <c r="Y503" s="182" t="str">
        <f t="shared" si="134"/>
        <v/>
      </c>
      <c r="Z503" s="209" t="str">
        <f t="shared" si="125"/>
        <v/>
      </c>
      <c r="AA503" s="209" t="str">
        <f t="shared" si="126"/>
        <v/>
      </c>
      <c r="AB503" s="200"/>
      <c r="AC503" s="192"/>
    </row>
    <row r="504" spans="1:29" ht="11.4">
      <c r="A504" s="211" t="str">
        <f t="shared" si="127"/>
        <v/>
      </c>
      <c r="B504" s="211"/>
      <c r="C504" s="215"/>
      <c r="D504" s="213" t="str">
        <f t="shared" si="128"/>
        <v/>
      </c>
      <c r="E504" s="213" t="str">
        <f t="shared" si="136"/>
        <v/>
      </c>
      <c r="F504" s="214" t="str">
        <f t="shared" si="129"/>
        <v/>
      </c>
      <c r="G504" s="180"/>
      <c r="H504" s="181" t="str">
        <f t="shared" si="130"/>
        <v/>
      </c>
      <c r="I504" s="227"/>
      <c r="J504" s="227"/>
      <c r="K504" s="227"/>
      <c r="L504" s="227"/>
      <c r="M504" s="210" t="str">
        <f t="shared" si="135"/>
        <v/>
      </c>
      <c r="N504" s="210"/>
      <c r="O504" s="207"/>
      <c r="P504" s="182" t="str">
        <f t="shared" si="120"/>
        <v/>
      </c>
      <c r="Q504" s="183" t="str">
        <f t="shared" si="131"/>
        <v/>
      </c>
      <c r="R504" s="182" t="str">
        <f>IF(M504&lt;&gt;"",IF(#REF!*F504*10=0,"",#REF!*F504*10),"")</f>
        <v/>
      </c>
      <c r="S504" s="184" t="str">
        <f t="shared" si="132"/>
        <v/>
      </c>
      <c r="T504" s="185" t="str">
        <f t="shared" si="121"/>
        <v/>
      </c>
      <c r="U504" s="183" t="str">
        <f t="shared" si="133"/>
        <v/>
      </c>
      <c r="V504" s="186" t="str">
        <f t="shared" si="122"/>
        <v/>
      </c>
      <c r="W504" s="186" t="str">
        <f t="shared" si="123"/>
        <v/>
      </c>
      <c r="X504" s="187" t="str">
        <f t="shared" si="124"/>
        <v/>
      </c>
      <c r="Y504" s="182" t="str">
        <f t="shared" si="134"/>
        <v/>
      </c>
      <c r="Z504" s="209" t="str">
        <f t="shared" si="125"/>
        <v/>
      </c>
      <c r="AA504" s="209" t="str">
        <f t="shared" si="126"/>
        <v/>
      </c>
      <c r="AB504" s="200"/>
      <c r="AC504" s="192"/>
    </row>
    <row r="505" spans="1:29" ht="11.4">
      <c r="A505" s="211" t="str">
        <f t="shared" si="127"/>
        <v/>
      </c>
      <c r="B505" s="211"/>
      <c r="C505" s="215"/>
      <c r="D505" s="213" t="str">
        <f t="shared" si="128"/>
        <v/>
      </c>
      <c r="E505" s="213" t="str">
        <f t="shared" si="136"/>
        <v/>
      </c>
      <c r="F505" s="214" t="str">
        <f t="shared" si="129"/>
        <v/>
      </c>
      <c r="G505" s="180"/>
      <c r="H505" s="181" t="str">
        <f t="shared" si="130"/>
        <v/>
      </c>
      <c r="I505" s="227"/>
      <c r="J505" s="227"/>
      <c r="K505" s="227"/>
      <c r="L505" s="227"/>
      <c r="M505" s="210" t="str">
        <f t="shared" si="135"/>
        <v/>
      </c>
      <c r="N505" s="210"/>
      <c r="O505" s="207"/>
      <c r="P505" s="182" t="str">
        <f t="shared" si="120"/>
        <v/>
      </c>
      <c r="Q505" s="183" t="str">
        <f t="shared" si="131"/>
        <v/>
      </c>
      <c r="R505" s="182" t="str">
        <f>IF(M505&lt;&gt;"",IF(#REF!*F505*10=0,"",#REF!*F505*10),"")</f>
        <v/>
      </c>
      <c r="S505" s="184" t="str">
        <f t="shared" si="132"/>
        <v/>
      </c>
      <c r="T505" s="185" t="str">
        <f t="shared" si="121"/>
        <v/>
      </c>
      <c r="U505" s="183" t="str">
        <f t="shared" si="133"/>
        <v/>
      </c>
      <c r="V505" s="186" t="str">
        <f t="shared" si="122"/>
        <v/>
      </c>
      <c r="W505" s="186" t="str">
        <f t="shared" si="123"/>
        <v/>
      </c>
      <c r="X505" s="187" t="str">
        <f t="shared" si="124"/>
        <v/>
      </c>
      <c r="Y505" s="182" t="str">
        <f t="shared" si="134"/>
        <v/>
      </c>
      <c r="Z505" s="209" t="str">
        <f t="shared" si="125"/>
        <v/>
      </c>
      <c r="AA505" s="209" t="str">
        <f t="shared" si="126"/>
        <v/>
      </c>
      <c r="AB505" s="200"/>
      <c r="AC505" s="192"/>
    </row>
    <row r="506" spans="1:29" ht="11.4">
      <c r="A506" s="211" t="str">
        <f t="shared" si="127"/>
        <v/>
      </c>
      <c r="B506" s="211"/>
      <c r="C506" s="215"/>
      <c r="D506" s="213" t="str">
        <f t="shared" si="128"/>
        <v/>
      </c>
      <c r="E506" s="213" t="str">
        <f t="shared" si="136"/>
        <v/>
      </c>
      <c r="F506" s="214" t="str">
        <f t="shared" si="129"/>
        <v/>
      </c>
      <c r="G506" s="180"/>
      <c r="H506" s="181" t="str">
        <f t="shared" si="130"/>
        <v/>
      </c>
      <c r="I506" s="227"/>
      <c r="J506" s="227"/>
      <c r="K506" s="227"/>
      <c r="L506" s="227"/>
      <c r="M506" s="210" t="str">
        <f t="shared" si="135"/>
        <v/>
      </c>
      <c r="N506" s="210"/>
      <c r="O506" s="207"/>
      <c r="P506" s="182" t="str">
        <f t="shared" si="120"/>
        <v/>
      </c>
      <c r="Q506" s="183" t="str">
        <f t="shared" si="131"/>
        <v/>
      </c>
      <c r="R506" s="182" t="str">
        <f>IF(M506&lt;&gt;"",IF(#REF!*F506*10=0,"",#REF!*F506*10),"")</f>
        <v/>
      </c>
      <c r="S506" s="184" t="str">
        <f t="shared" si="132"/>
        <v/>
      </c>
      <c r="T506" s="185" t="str">
        <f t="shared" si="121"/>
        <v/>
      </c>
      <c r="U506" s="183" t="str">
        <f t="shared" si="133"/>
        <v/>
      </c>
      <c r="V506" s="186" t="str">
        <f t="shared" si="122"/>
        <v/>
      </c>
      <c r="W506" s="186" t="str">
        <f t="shared" si="123"/>
        <v/>
      </c>
      <c r="X506" s="187" t="str">
        <f t="shared" si="124"/>
        <v/>
      </c>
      <c r="Y506" s="182" t="str">
        <f t="shared" si="134"/>
        <v/>
      </c>
      <c r="Z506" s="209" t="str">
        <f t="shared" si="125"/>
        <v/>
      </c>
      <c r="AA506" s="209" t="str">
        <f t="shared" si="126"/>
        <v/>
      </c>
      <c r="AB506" s="200"/>
      <c r="AC506" s="192"/>
    </row>
    <row r="507" spans="1:29" ht="11.4">
      <c r="A507" s="211" t="str">
        <f t="shared" si="127"/>
        <v/>
      </c>
      <c r="B507" s="211"/>
      <c r="C507" s="215"/>
      <c r="D507" s="213" t="str">
        <f t="shared" si="128"/>
        <v/>
      </c>
      <c r="E507" s="213" t="str">
        <f t="shared" si="136"/>
        <v/>
      </c>
      <c r="F507" s="214" t="str">
        <f t="shared" si="129"/>
        <v/>
      </c>
      <c r="G507" s="180"/>
      <c r="H507" s="181" t="str">
        <f t="shared" si="130"/>
        <v/>
      </c>
      <c r="I507" s="227"/>
      <c r="J507" s="227"/>
      <c r="K507" s="227"/>
      <c r="L507" s="227"/>
      <c r="M507" s="210" t="str">
        <f t="shared" si="135"/>
        <v/>
      </c>
      <c r="N507" s="210"/>
      <c r="O507" s="207"/>
      <c r="P507" s="182" t="str">
        <f t="shared" si="120"/>
        <v/>
      </c>
      <c r="Q507" s="183" t="str">
        <f t="shared" si="131"/>
        <v/>
      </c>
      <c r="R507" s="182" t="str">
        <f>IF(M507&lt;&gt;"",IF(#REF!*F507*10=0,"",#REF!*F507*10),"")</f>
        <v/>
      </c>
      <c r="S507" s="184" t="str">
        <f t="shared" si="132"/>
        <v/>
      </c>
      <c r="T507" s="185" t="str">
        <f t="shared" si="121"/>
        <v/>
      </c>
      <c r="U507" s="183" t="str">
        <f t="shared" si="133"/>
        <v/>
      </c>
      <c r="V507" s="186" t="str">
        <f t="shared" si="122"/>
        <v/>
      </c>
      <c r="W507" s="186" t="str">
        <f t="shared" si="123"/>
        <v/>
      </c>
      <c r="X507" s="187" t="str">
        <f t="shared" si="124"/>
        <v/>
      </c>
      <c r="Y507" s="182" t="str">
        <f t="shared" si="134"/>
        <v/>
      </c>
      <c r="Z507" s="209" t="str">
        <f t="shared" si="125"/>
        <v/>
      </c>
      <c r="AA507" s="209" t="str">
        <f t="shared" si="126"/>
        <v/>
      </c>
      <c r="AB507" s="200"/>
      <c r="AC507" s="192"/>
    </row>
    <row r="508" spans="1:29" ht="11.4">
      <c r="A508" s="211" t="str">
        <f t="shared" si="127"/>
        <v/>
      </c>
      <c r="B508" s="211"/>
      <c r="C508" s="215"/>
      <c r="D508" s="213" t="str">
        <f t="shared" si="128"/>
        <v/>
      </c>
      <c r="E508" s="213" t="str">
        <f t="shared" si="136"/>
        <v/>
      </c>
      <c r="F508" s="214" t="str">
        <f t="shared" si="129"/>
        <v/>
      </c>
      <c r="G508" s="180"/>
      <c r="H508" s="181" t="str">
        <f t="shared" si="130"/>
        <v/>
      </c>
      <c r="I508" s="227"/>
      <c r="J508" s="227"/>
      <c r="K508" s="227"/>
      <c r="L508" s="227"/>
      <c r="M508" s="210" t="str">
        <f t="shared" si="135"/>
        <v/>
      </c>
      <c r="N508" s="210"/>
      <c r="O508" s="207"/>
      <c r="P508" s="182" t="str">
        <f t="shared" si="120"/>
        <v/>
      </c>
      <c r="Q508" s="183" t="str">
        <f t="shared" si="131"/>
        <v/>
      </c>
      <c r="R508" s="182" t="str">
        <f>IF(M508&lt;&gt;"",IF(#REF!*F508*10=0,"",#REF!*F508*10),"")</f>
        <v/>
      </c>
      <c r="S508" s="184" t="str">
        <f t="shared" si="132"/>
        <v/>
      </c>
      <c r="T508" s="185" t="str">
        <f t="shared" si="121"/>
        <v/>
      </c>
      <c r="U508" s="183" t="str">
        <f t="shared" si="133"/>
        <v/>
      </c>
      <c r="V508" s="186" t="str">
        <f t="shared" si="122"/>
        <v/>
      </c>
      <c r="W508" s="186" t="str">
        <f t="shared" si="123"/>
        <v/>
      </c>
      <c r="X508" s="187" t="str">
        <f t="shared" si="124"/>
        <v/>
      </c>
      <c r="Y508" s="182" t="str">
        <f t="shared" si="134"/>
        <v/>
      </c>
      <c r="Z508" s="209" t="str">
        <f t="shared" si="125"/>
        <v/>
      </c>
      <c r="AA508" s="209" t="str">
        <f t="shared" si="126"/>
        <v/>
      </c>
      <c r="AB508" s="200"/>
      <c r="AC508" s="192"/>
    </row>
    <row r="509" spans="1:29" ht="11.4">
      <c r="A509" s="211" t="str">
        <f t="shared" si="127"/>
        <v/>
      </c>
      <c r="B509" s="211"/>
      <c r="C509" s="215"/>
      <c r="D509" s="213" t="str">
        <f t="shared" si="128"/>
        <v/>
      </c>
      <c r="E509" s="213" t="str">
        <f t="shared" si="136"/>
        <v/>
      </c>
      <c r="F509" s="214" t="str">
        <f t="shared" si="129"/>
        <v/>
      </c>
      <c r="G509" s="180"/>
      <c r="H509" s="181" t="str">
        <f t="shared" si="130"/>
        <v/>
      </c>
      <c r="I509" s="227"/>
      <c r="J509" s="227"/>
      <c r="K509" s="227"/>
      <c r="L509" s="227"/>
      <c r="M509" s="210" t="str">
        <f t="shared" si="135"/>
        <v/>
      </c>
      <c r="N509" s="210"/>
      <c r="O509" s="207"/>
      <c r="P509" s="182" t="str">
        <f t="shared" si="120"/>
        <v/>
      </c>
      <c r="Q509" s="183" t="str">
        <f t="shared" si="131"/>
        <v/>
      </c>
      <c r="R509" s="182" t="str">
        <f>IF(M509&lt;&gt;"",IF(#REF!*F509*10=0,"",#REF!*F509*10),"")</f>
        <v/>
      </c>
      <c r="S509" s="184" t="str">
        <f t="shared" si="132"/>
        <v/>
      </c>
      <c r="T509" s="185" t="str">
        <f t="shared" si="121"/>
        <v/>
      </c>
      <c r="U509" s="183" t="str">
        <f t="shared" si="133"/>
        <v/>
      </c>
      <c r="V509" s="186" t="str">
        <f t="shared" si="122"/>
        <v/>
      </c>
      <c r="W509" s="186" t="str">
        <f t="shared" si="123"/>
        <v/>
      </c>
      <c r="X509" s="187" t="str">
        <f t="shared" si="124"/>
        <v/>
      </c>
      <c r="Y509" s="182" t="str">
        <f t="shared" si="134"/>
        <v/>
      </c>
      <c r="Z509" s="209" t="str">
        <f t="shared" si="125"/>
        <v/>
      </c>
      <c r="AA509" s="209" t="str">
        <f t="shared" si="126"/>
        <v/>
      </c>
      <c r="AB509" s="200"/>
      <c r="AC509" s="192"/>
    </row>
    <row r="510" spans="1:29" ht="11.4">
      <c r="A510" s="211" t="str">
        <f t="shared" si="127"/>
        <v/>
      </c>
      <c r="B510" s="211"/>
      <c r="C510" s="215"/>
      <c r="D510" s="213" t="str">
        <f t="shared" si="128"/>
        <v/>
      </c>
      <c r="E510" s="213" t="str">
        <f t="shared" si="136"/>
        <v/>
      </c>
      <c r="F510" s="214" t="str">
        <f t="shared" si="129"/>
        <v/>
      </c>
      <c r="G510" s="180"/>
      <c r="H510" s="181" t="str">
        <f t="shared" si="130"/>
        <v/>
      </c>
      <c r="I510" s="227"/>
      <c r="J510" s="227"/>
      <c r="K510" s="227"/>
      <c r="L510" s="227"/>
      <c r="M510" s="210" t="str">
        <f t="shared" si="135"/>
        <v/>
      </c>
      <c r="N510" s="210"/>
      <c r="O510" s="207"/>
      <c r="P510" s="182" t="str">
        <f t="shared" si="120"/>
        <v/>
      </c>
      <c r="Q510" s="183" t="str">
        <f t="shared" si="131"/>
        <v/>
      </c>
      <c r="R510" s="182" t="str">
        <f>IF(M510&lt;&gt;"",IF(#REF!*F510*10=0,"",#REF!*F510*10),"")</f>
        <v/>
      </c>
      <c r="S510" s="184" t="str">
        <f t="shared" si="132"/>
        <v/>
      </c>
      <c r="T510" s="185" t="str">
        <f t="shared" si="121"/>
        <v/>
      </c>
      <c r="U510" s="183" t="str">
        <f t="shared" si="133"/>
        <v/>
      </c>
      <c r="V510" s="186" t="str">
        <f t="shared" si="122"/>
        <v/>
      </c>
      <c r="W510" s="186" t="str">
        <f t="shared" si="123"/>
        <v/>
      </c>
      <c r="X510" s="187" t="str">
        <f t="shared" si="124"/>
        <v/>
      </c>
      <c r="Y510" s="182" t="str">
        <f t="shared" si="134"/>
        <v/>
      </c>
      <c r="Z510" s="209" t="str">
        <f t="shared" si="125"/>
        <v/>
      </c>
      <c r="AA510" s="209" t="str">
        <f t="shared" si="126"/>
        <v/>
      </c>
      <c r="AB510" s="200"/>
      <c r="AC510" s="192"/>
    </row>
    <row r="511" spans="1:29" ht="11.4">
      <c r="A511" s="211" t="str">
        <f t="shared" si="127"/>
        <v/>
      </c>
      <c r="B511" s="211"/>
      <c r="C511" s="215"/>
      <c r="D511" s="213" t="str">
        <f t="shared" si="128"/>
        <v/>
      </c>
      <c r="E511" s="213" t="str">
        <f t="shared" si="136"/>
        <v/>
      </c>
      <c r="F511" s="214" t="str">
        <f t="shared" si="129"/>
        <v/>
      </c>
      <c r="G511" s="180"/>
      <c r="H511" s="181" t="str">
        <f t="shared" si="130"/>
        <v/>
      </c>
      <c r="I511" s="227"/>
      <c r="J511" s="227"/>
      <c r="K511" s="227"/>
      <c r="L511" s="227"/>
      <c r="M511" s="210" t="str">
        <f t="shared" si="135"/>
        <v/>
      </c>
      <c r="N511" s="210"/>
      <c r="O511" s="207"/>
      <c r="P511" s="182" t="str">
        <f t="shared" si="120"/>
        <v/>
      </c>
      <c r="Q511" s="183" t="str">
        <f t="shared" si="131"/>
        <v/>
      </c>
      <c r="R511" s="182" t="str">
        <f>IF(M511&lt;&gt;"",IF(#REF!*F511*10=0,"",#REF!*F511*10),"")</f>
        <v/>
      </c>
      <c r="S511" s="184" t="str">
        <f t="shared" si="132"/>
        <v/>
      </c>
      <c r="T511" s="185" t="str">
        <f t="shared" si="121"/>
        <v/>
      </c>
      <c r="U511" s="183" t="str">
        <f t="shared" si="133"/>
        <v/>
      </c>
      <c r="V511" s="186" t="str">
        <f t="shared" si="122"/>
        <v/>
      </c>
      <c r="W511" s="186" t="str">
        <f t="shared" si="123"/>
        <v/>
      </c>
      <c r="X511" s="187" t="str">
        <f t="shared" si="124"/>
        <v/>
      </c>
      <c r="Y511" s="182" t="str">
        <f t="shared" si="134"/>
        <v/>
      </c>
      <c r="Z511" s="209" t="str">
        <f t="shared" si="125"/>
        <v/>
      </c>
      <c r="AA511" s="209" t="str">
        <f t="shared" si="126"/>
        <v/>
      </c>
      <c r="AB511" s="200"/>
      <c r="AC511" s="192"/>
    </row>
    <row r="512" spans="1:29" ht="11.4">
      <c r="A512" s="211" t="str">
        <f t="shared" si="127"/>
        <v/>
      </c>
      <c r="B512" s="211"/>
      <c r="C512" s="215"/>
      <c r="D512" s="213" t="str">
        <f t="shared" si="128"/>
        <v/>
      </c>
      <c r="E512" s="213" t="str">
        <f t="shared" si="136"/>
        <v/>
      </c>
      <c r="F512" s="214" t="str">
        <f t="shared" si="129"/>
        <v/>
      </c>
      <c r="G512" s="180"/>
      <c r="H512" s="181" t="str">
        <f t="shared" si="130"/>
        <v/>
      </c>
      <c r="I512" s="227"/>
      <c r="J512" s="227"/>
      <c r="K512" s="227"/>
      <c r="L512" s="227"/>
      <c r="M512" s="210" t="str">
        <f t="shared" si="135"/>
        <v/>
      </c>
      <c r="N512" s="210"/>
      <c r="O512" s="207"/>
      <c r="P512" s="182" t="str">
        <f t="shared" si="120"/>
        <v/>
      </c>
      <c r="Q512" s="183" t="str">
        <f t="shared" si="131"/>
        <v/>
      </c>
      <c r="R512" s="182" t="str">
        <f>IF(M512&lt;&gt;"",IF(#REF!*F512*10=0,"",#REF!*F512*10),"")</f>
        <v/>
      </c>
      <c r="S512" s="184" t="str">
        <f t="shared" si="132"/>
        <v/>
      </c>
      <c r="T512" s="185" t="str">
        <f t="shared" si="121"/>
        <v/>
      </c>
      <c r="U512" s="183" t="str">
        <f t="shared" si="133"/>
        <v/>
      </c>
      <c r="V512" s="186" t="str">
        <f t="shared" si="122"/>
        <v/>
      </c>
      <c r="W512" s="186" t="str">
        <f t="shared" si="123"/>
        <v/>
      </c>
      <c r="X512" s="187" t="str">
        <f t="shared" si="124"/>
        <v/>
      </c>
      <c r="Y512" s="182" t="str">
        <f t="shared" si="134"/>
        <v/>
      </c>
      <c r="Z512" s="209" t="str">
        <f t="shared" si="125"/>
        <v/>
      </c>
      <c r="AA512" s="209" t="str">
        <f t="shared" si="126"/>
        <v/>
      </c>
      <c r="AB512" s="200"/>
      <c r="AC512" s="192"/>
    </row>
    <row r="513" spans="1:29" ht="11.4">
      <c r="A513" s="211" t="str">
        <f t="shared" si="127"/>
        <v/>
      </c>
      <c r="B513" s="211"/>
      <c r="C513" s="215"/>
      <c r="D513" s="213" t="str">
        <f t="shared" si="128"/>
        <v/>
      </c>
      <c r="E513" s="213" t="str">
        <f t="shared" si="136"/>
        <v/>
      </c>
      <c r="F513" s="214" t="str">
        <f t="shared" si="129"/>
        <v/>
      </c>
      <c r="G513" s="180"/>
      <c r="H513" s="181" t="str">
        <f t="shared" si="130"/>
        <v/>
      </c>
      <c r="I513" s="227"/>
      <c r="J513" s="227"/>
      <c r="K513" s="227"/>
      <c r="L513" s="227"/>
      <c r="M513" s="210" t="str">
        <f t="shared" si="135"/>
        <v/>
      </c>
      <c r="N513" s="210"/>
      <c r="O513" s="207"/>
      <c r="P513" s="182" t="str">
        <f t="shared" si="120"/>
        <v/>
      </c>
      <c r="Q513" s="183" t="str">
        <f t="shared" si="131"/>
        <v/>
      </c>
      <c r="R513" s="182" t="str">
        <f>IF(M513&lt;&gt;"",IF(#REF!*F513*10=0,"",#REF!*F513*10),"")</f>
        <v/>
      </c>
      <c r="S513" s="184" t="str">
        <f t="shared" si="132"/>
        <v/>
      </c>
      <c r="T513" s="185" t="str">
        <f t="shared" si="121"/>
        <v/>
      </c>
      <c r="U513" s="183" t="str">
        <f t="shared" si="133"/>
        <v/>
      </c>
      <c r="V513" s="186" t="str">
        <f t="shared" si="122"/>
        <v/>
      </c>
      <c r="W513" s="186" t="str">
        <f t="shared" si="123"/>
        <v/>
      </c>
      <c r="X513" s="187" t="str">
        <f t="shared" si="124"/>
        <v/>
      </c>
      <c r="Y513" s="182" t="str">
        <f t="shared" si="134"/>
        <v/>
      </c>
      <c r="Z513" s="209" t="str">
        <f t="shared" si="125"/>
        <v/>
      </c>
      <c r="AA513" s="209" t="str">
        <f t="shared" si="126"/>
        <v/>
      </c>
      <c r="AB513" s="200"/>
      <c r="AC513" s="192"/>
    </row>
    <row r="514" spans="1:29" ht="11.4">
      <c r="A514" s="211" t="str">
        <f t="shared" si="127"/>
        <v/>
      </c>
      <c r="B514" s="211"/>
      <c r="C514" s="215"/>
      <c r="D514" s="213" t="str">
        <f t="shared" si="128"/>
        <v/>
      </c>
      <c r="E514" s="213" t="str">
        <f t="shared" si="136"/>
        <v/>
      </c>
      <c r="F514" s="214" t="str">
        <f t="shared" si="129"/>
        <v/>
      </c>
      <c r="G514" s="180"/>
      <c r="H514" s="181" t="str">
        <f t="shared" si="130"/>
        <v/>
      </c>
      <c r="I514" s="227"/>
      <c r="J514" s="227"/>
      <c r="K514" s="227"/>
      <c r="L514" s="227"/>
      <c r="M514" s="210" t="str">
        <f t="shared" si="135"/>
        <v/>
      </c>
      <c r="N514" s="210"/>
      <c r="O514" s="207"/>
      <c r="P514" s="182" t="str">
        <f t="shared" si="120"/>
        <v/>
      </c>
      <c r="Q514" s="183" t="str">
        <f t="shared" si="131"/>
        <v/>
      </c>
      <c r="R514" s="182" t="str">
        <f>IF(M514&lt;&gt;"",IF(#REF!*F514*10=0,"",#REF!*F514*10),"")</f>
        <v/>
      </c>
      <c r="S514" s="184" t="str">
        <f t="shared" si="132"/>
        <v/>
      </c>
      <c r="T514" s="185" t="str">
        <f t="shared" si="121"/>
        <v/>
      </c>
      <c r="U514" s="183" t="str">
        <f t="shared" si="133"/>
        <v/>
      </c>
      <c r="V514" s="186" t="str">
        <f t="shared" si="122"/>
        <v/>
      </c>
      <c r="W514" s="186" t="str">
        <f t="shared" si="123"/>
        <v/>
      </c>
      <c r="X514" s="187" t="str">
        <f t="shared" si="124"/>
        <v/>
      </c>
      <c r="Y514" s="182" t="str">
        <f t="shared" si="134"/>
        <v/>
      </c>
      <c r="Z514" s="209" t="str">
        <f t="shared" si="125"/>
        <v/>
      </c>
      <c r="AA514" s="209" t="str">
        <f t="shared" si="126"/>
        <v/>
      </c>
      <c r="AB514" s="200"/>
      <c r="AC514" s="192"/>
    </row>
    <row r="515" spans="1:29" ht="11.4">
      <c r="A515" s="211" t="str">
        <f t="shared" si="127"/>
        <v/>
      </c>
      <c r="B515" s="211"/>
      <c r="C515" s="215"/>
      <c r="D515" s="213" t="str">
        <f t="shared" si="128"/>
        <v/>
      </c>
      <c r="E515" s="213" t="str">
        <f t="shared" si="136"/>
        <v/>
      </c>
      <c r="F515" s="214" t="str">
        <f t="shared" si="129"/>
        <v/>
      </c>
      <c r="G515" s="180"/>
      <c r="H515" s="181" t="str">
        <f t="shared" si="130"/>
        <v/>
      </c>
      <c r="I515" s="227"/>
      <c r="J515" s="227"/>
      <c r="K515" s="227"/>
      <c r="L515" s="227"/>
      <c r="M515" s="210" t="str">
        <f t="shared" si="135"/>
        <v/>
      </c>
      <c r="N515" s="210"/>
      <c r="O515" s="207"/>
      <c r="P515" s="182" t="str">
        <f t="shared" si="120"/>
        <v/>
      </c>
      <c r="Q515" s="183" t="str">
        <f t="shared" si="131"/>
        <v/>
      </c>
      <c r="R515" s="182" t="str">
        <f>IF(M515&lt;&gt;"",IF(#REF!*F515*10=0,"",#REF!*F515*10),"")</f>
        <v/>
      </c>
      <c r="S515" s="184" t="str">
        <f t="shared" si="132"/>
        <v/>
      </c>
      <c r="T515" s="185" t="str">
        <f t="shared" si="121"/>
        <v/>
      </c>
      <c r="U515" s="183" t="str">
        <f t="shared" si="133"/>
        <v/>
      </c>
      <c r="V515" s="186" t="str">
        <f t="shared" si="122"/>
        <v/>
      </c>
      <c r="W515" s="186" t="str">
        <f t="shared" si="123"/>
        <v/>
      </c>
      <c r="X515" s="187" t="str">
        <f t="shared" si="124"/>
        <v/>
      </c>
      <c r="Y515" s="182" t="str">
        <f t="shared" si="134"/>
        <v/>
      </c>
      <c r="Z515" s="209" t="str">
        <f t="shared" si="125"/>
        <v/>
      </c>
      <c r="AA515" s="209" t="str">
        <f t="shared" si="126"/>
        <v/>
      </c>
      <c r="AB515" s="200"/>
      <c r="AC515" s="192"/>
    </row>
    <row r="516" spans="1:29" ht="11.4">
      <c r="A516" s="211" t="str">
        <f t="shared" si="127"/>
        <v/>
      </c>
      <c r="B516" s="211"/>
      <c r="C516" s="215"/>
      <c r="D516" s="213" t="str">
        <f t="shared" si="128"/>
        <v/>
      </c>
      <c r="E516" s="213" t="str">
        <f t="shared" si="136"/>
        <v/>
      </c>
      <c r="F516" s="214" t="str">
        <f t="shared" si="129"/>
        <v/>
      </c>
      <c r="G516" s="180"/>
      <c r="H516" s="181" t="str">
        <f t="shared" si="130"/>
        <v/>
      </c>
      <c r="I516" s="227"/>
      <c r="J516" s="227"/>
      <c r="K516" s="227"/>
      <c r="L516" s="227"/>
      <c r="M516" s="210" t="str">
        <f t="shared" si="135"/>
        <v/>
      </c>
      <c r="N516" s="210"/>
      <c r="O516" s="207"/>
      <c r="P516" s="182" t="str">
        <f t="shared" si="120"/>
        <v/>
      </c>
      <c r="Q516" s="183" t="str">
        <f t="shared" si="131"/>
        <v/>
      </c>
      <c r="R516" s="182" t="str">
        <f>IF(M516&lt;&gt;"",IF(#REF!*F516*10=0,"",#REF!*F516*10),"")</f>
        <v/>
      </c>
      <c r="S516" s="184" t="str">
        <f t="shared" si="132"/>
        <v/>
      </c>
      <c r="T516" s="185" t="str">
        <f t="shared" si="121"/>
        <v/>
      </c>
      <c r="U516" s="183" t="str">
        <f t="shared" si="133"/>
        <v/>
      </c>
      <c r="V516" s="186" t="str">
        <f t="shared" si="122"/>
        <v/>
      </c>
      <c r="W516" s="186" t="str">
        <f t="shared" si="123"/>
        <v/>
      </c>
      <c r="X516" s="187" t="str">
        <f t="shared" si="124"/>
        <v/>
      </c>
      <c r="Y516" s="182" t="str">
        <f t="shared" si="134"/>
        <v/>
      </c>
      <c r="Z516" s="209" t="str">
        <f t="shared" si="125"/>
        <v/>
      </c>
      <c r="AA516" s="209" t="str">
        <f t="shared" si="126"/>
        <v/>
      </c>
      <c r="AB516" s="200"/>
      <c r="AC516" s="192"/>
    </row>
    <row r="517" spans="1:29" ht="11.4">
      <c r="A517" s="211" t="str">
        <f t="shared" si="127"/>
        <v/>
      </c>
      <c r="B517" s="211"/>
      <c r="C517" s="215"/>
      <c r="D517" s="213" t="str">
        <f t="shared" si="128"/>
        <v/>
      </c>
      <c r="E517" s="213" t="str">
        <f t="shared" si="136"/>
        <v/>
      </c>
      <c r="F517" s="214" t="str">
        <f t="shared" si="129"/>
        <v/>
      </c>
      <c r="G517" s="180"/>
      <c r="H517" s="181" t="str">
        <f t="shared" si="130"/>
        <v/>
      </c>
      <c r="I517" s="227"/>
      <c r="J517" s="227"/>
      <c r="K517" s="227"/>
      <c r="L517" s="227"/>
      <c r="M517" s="210" t="str">
        <f t="shared" si="135"/>
        <v/>
      </c>
      <c r="N517" s="210"/>
      <c r="O517" s="207"/>
      <c r="P517" s="182" t="str">
        <f t="shared" si="120"/>
        <v/>
      </c>
      <c r="Q517" s="183" t="str">
        <f t="shared" si="131"/>
        <v/>
      </c>
      <c r="R517" s="182" t="str">
        <f>IF(M517&lt;&gt;"",IF(#REF!*F517*10=0,"",#REF!*F517*10),"")</f>
        <v/>
      </c>
      <c r="S517" s="184" t="str">
        <f t="shared" si="132"/>
        <v/>
      </c>
      <c r="T517" s="185" t="str">
        <f t="shared" si="121"/>
        <v/>
      </c>
      <c r="U517" s="183" t="str">
        <f t="shared" si="133"/>
        <v/>
      </c>
      <c r="V517" s="186" t="str">
        <f t="shared" si="122"/>
        <v/>
      </c>
      <c r="W517" s="186" t="str">
        <f t="shared" si="123"/>
        <v/>
      </c>
      <c r="X517" s="187" t="str">
        <f t="shared" si="124"/>
        <v/>
      </c>
      <c r="Y517" s="182" t="str">
        <f t="shared" si="134"/>
        <v/>
      </c>
      <c r="Z517" s="209" t="str">
        <f t="shared" si="125"/>
        <v/>
      </c>
      <c r="AA517" s="209" t="str">
        <f t="shared" si="126"/>
        <v/>
      </c>
      <c r="AB517" s="200"/>
      <c r="AC517" s="192"/>
    </row>
    <row r="518" spans="1:29" ht="11.4">
      <c r="A518" s="211" t="str">
        <f t="shared" si="127"/>
        <v/>
      </c>
      <c r="B518" s="211"/>
      <c r="C518" s="215"/>
      <c r="D518" s="213" t="str">
        <f t="shared" si="128"/>
        <v/>
      </c>
      <c r="E518" s="213" t="str">
        <f t="shared" si="136"/>
        <v/>
      </c>
      <c r="F518" s="214" t="str">
        <f t="shared" si="129"/>
        <v/>
      </c>
      <c r="G518" s="180"/>
      <c r="H518" s="181" t="str">
        <f t="shared" si="130"/>
        <v/>
      </c>
      <c r="I518" s="227"/>
      <c r="J518" s="227"/>
      <c r="K518" s="227"/>
      <c r="L518" s="227"/>
      <c r="M518" s="210" t="str">
        <f t="shared" si="135"/>
        <v/>
      </c>
      <c r="N518" s="210"/>
      <c r="O518" s="207"/>
      <c r="P518" s="182" t="str">
        <f t="shared" si="120"/>
        <v/>
      </c>
      <c r="Q518" s="183" t="str">
        <f t="shared" si="131"/>
        <v/>
      </c>
      <c r="R518" s="182" t="str">
        <f>IF(M518&lt;&gt;"",IF(#REF!*F518*10=0,"",#REF!*F518*10),"")</f>
        <v/>
      </c>
      <c r="S518" s="184" t="str">
        <f t="shared" si="132"/>
        <v/>
      </c>
      <c r="T518" s="185" t="str">
        <f t="shared" si="121"/>
        <v/>
      </c>
      <c r="U518" s="183" t="str">
        <f t="shared" si="133"/>
        <v/>
      </c>
      <c r="V518" s="186" t="str">
        <f t="shared" si="122"/>
        <v/>
      </c>
      <c r="W518" s="186" t="str">
        <f t="shared" si="123"/>
        <v/>
      </c>
      <c r="X518" s="187" t="str">
        <f t="shared" si="124"/>
        <v/>
      </c>
      <c r="Y518" s="182" t="str">
        <f t="shared" si="134"/>
        <v/>
      </c>
      <c r="Z518" s="209" t="str">
        <f t="shared" si="125"/>
        <v/>
      </c>
      <c r="AA518" s="209" t="str">
        <f t="shared" si="126"/>
        <v/>
      </c>
      <c r="AB518" s="200"/>
      <c r="AC518" s="192"/>
    </row>
    <row r="519" spans="1:29" ht="11.4">
      <c r="A519" s="211" t="str">
        <f t="shared" si="127"/>
        <v/>
      </c>
      <c r="B519" s="211"/>
      <c r="C519" s="215"/>
      <c r="D519" s="213" t="str">
        <f t="shared" si="128"/>
        <v/>
      </c>
      <c r="E519" s="213" t="str">
        <f t="shared" si="136"/>
        <v/>
      </c>
      <c r="F519" s="214" t="str">
        <f t="shared" si="129"/>
        <v/>
      </c>
      <c r="G519" s="180"/>
      <c r="H519" s="181" t="str">
        <f t="shared" si="130"/>
        <v/>
      </c>
      <c r="I519" s="227"/>
      <c r="J519" s="227"/>
      <c r="K519" s="227"/>
      <c r="L519" s="227"/>
      <c r="M519" s="210" t="str">
        <f t="shared" si="135"/>
        <v/>
      </c>
      <c r="N519" s="210"/>
      <c r="O519" s="207"/>
      <c r="P519" s="182" t="str">
        <f t="shared" si="120"/>
        <v/>
      </c>
      <c r="Q519" s="183" t="str">
        <f t="shared" si="131"/>
        <v/>
      </c>
      <c r="R519" s="182" t="str">
        <f>IF(M519&lt;&gt;"",IF(#REF!*F519*10=0,"",#REF!*F519*10),"")</f>
        <v/>
      </c>
      <c r="S519" s="184" t="str">
        <f t="shared" si="132"/>
        <v/>
      </c>
      <c r="T519" s="185" t="str">
        <f t="shared" si="121"/>
        <v/>
      </c>
      <c r="U519" s="183" t="str">
        <f t="shared" si="133"/>
        <v/>
      </c>
      <c r="V519" s="186" t="str">
        <f t="shared" si="122"/>
        <v/>
      </c>
      <c r="W519" s="186" t="str">
        <f t="shared" si="123"/>
        <v/>
      </c>
      <c r="X519" s="187" t="str">
        <f t="shared" si="124"/>
        <v/>
      </c>
      <c r="Y519" s="182" t="str">
        <f t="shared" si="134"/>
        <v/>
      </c>
      <c r="Z519" s="209" t="str">
        <f t="shared" si="125"/>
        <v/>
      </c>
      <c r="AA519" s="209" t="str">
        <f t="shared" si="126"/>
        <v/>
      </c>
      <c r="AB519" s="200"/>
      <c r="AC519" s="192"/>
    </row>
    <row r="520" spans="1:29" ht="11.4">
      <c r="A520" s="211" t="str">
        <f t="shared" si="127"/>
        <v/>
      </c>
      <c r="B520" s="211"/>
      <c r="C520" s="215"/>
      <c r="D520" s="213" t="str">
        <f t="shared" si="128"/>
        <v/>
      </c>
      <c r="E520" s="213" t="str">
        <f t="shared" si="136"/>
        <v/>
      </c>
      <c r="F520" s="214" t="str">
        <f t="shared" si="129"/>
        <v/>
      </c>
      <c r="G520" s="180"/>
      <c r="H520" s="181" t="str">
        <f t="shared" si="130"/>
        <v/>
      </c>
      <c r="I520" s="227"/>
      <c r="J520" s="227"/>
      <c r="K520" s="227"/>
      <c r="L520" s="227"/>
      <c r="M520" s="210" t="str">
        <f t="shared" si="135"/>
        <v/>
      </c>
      <c r="N520" s="210"/>
      <c r="O520" s="207"/>
      <c r="P520" s="182" t="str">
        <f t="shared" si="120"/>
        <v/>
      </c>
      <c r="Q520" s="183" t="str">
        <f t="shared" si="131"/>
        <v/>
      </c>
      <c r="R520" s="182" t="str">
        <f>IF(M520&lt;&gt;"",IF(#REF!*F520*10=0,"",#REF!*F520*10),"")</f>
        <v/>
      </c>
      <c r="S520" s="184" t="str">
        <f t="shared" si="132"/>
        <v/>
      </c>
      <c r="T520" s="185" t="str">
        <f t="shared" si="121"/>
        <v/>
      </c>
      <c r="U520" s="183" t="str">
        <f t="shared" si="133"/>
        <v/>
      </c>
      <c r="V520" s="186" t="str">
        <f t="shared" si="122"/>
        <v/>
      </c>
      <c r="W520" s="186" t="str">
        <f t="shared" si="123"/>
        <v/>
      </c>
      <c r="X520" s="187" t="str">
        <f t="shared" si="124"/>
        <v/>
      </c>
      <c r="Y520" s="182" t="str">
        <f t="shared" si="134"/>
        <v/>
      </c>
      <c r="Z520" s="209" t="str">
        <f t="shared" si="125"/>
        <v/>
      </c>
      <c r="AA520" s="209" t="str">
        <f t="shared" si="126"/>
        <v/>
      </c>
      <c r="AB520" s="200"/>
      <c r="AC520" s="192"/>
    </row>
    <row r="521" spans="1:29" ht="11.4">
      <c r="A521" s="211" t="str">
        <f t="shared" si="127"/>
        <v/>
      </c>
      <c r="B521" s="211"/>
      <c r="C521" s="215"/>
      <c r="D521" s="213" t="str">
        <f t="shared" si="128"/>
        <v/>
      </c>
      <c r="E521" s="213" t="str">
        <f t="shared" si="136"/>
        <v/>
      </c>
      <c r="F521" s="214" t="str">
        <f t="shared" si="129"/>
        <v/>
      </c>
      <c r="G521" s="180"/>
      <c r="H521" s="181" t="str">
        <f t="shared" si="130"/>
        <v/>
      </c>
      <c r="I521" s="227"/>
      <c r="J521" s="227"/>
      <c r="K521" s="227"/>
      <c r="L521" s="227"/>
      <c r="M521" s="210" t="str">
        <f t="shared" si="135"/>
        <v/>
      </c>
      <c r="N521" s="210"/>
      <c r="O521" s="207"/>
      <c r="P521" s="182" t="str">
        <f t="shared" si="120"/>
        <v/>
      </c>
      <c r="Q521" s="183" t="str">
        <f t="shared" si="131"/>
        <v/>
      </c>
      <c r="R521" s="182" t="str">
        <f>IF(M521&lt;&gt;"",IF(#REF!*F521*10=0,"",#REF!*F521*10),"")</f>
        <v/>
      </c>
      <c r="S521" s="184" t="str">
        <f t="shared" si="132"/>
        <v/>
      </c>
      <c r="T521" s="185" t="str">
        <f t="shared" si="121"/>
        <v/>
      </c>
      <c r="U521" s="183" t="str">
        <f t="shared" si="133"/>
        <v/>
      </c>
      <c r="V521" s="186" t="str">
        <f t="shared" si="122"/>
        <v/>
      </c>
      <c r="W521" s="186" t="str">
        <f t="shared" si="123"/>
        <v/>
      </c>
      <c r="X521" s="187" t="str">
        <f t="shared" si="124"/>
        <v/>
      </c>
      <c r="Y521" s="182" t="str">
        <f t="shared" si="134"/>
        <v/>
      </c>
      <c r="Z521" s="209" t="str">
        <f t="shared" si="125"/>
        <v/>
      </c>
      <c r="AA521" s="209" t="str">
        <f t="shared" si="126"/>
        <v/>
      </c>
      <c r="AB521" s="200"/>
      <c r="AC521" s="192"/>
    </row>
    <row r="522" spans="1:29" ht="11.4">
      <c r="A522" s="211" t="str">
        <f t="shared" si="127"/>
        <v/>
      </c>
      <c r="B522" s="211"/>
      <c r="C522" s="215"/>
      <c r="D522" s="213" t="str">
        <f t="shared" si="128"/>
        <v/>
      </c>
      <c r="E522" s="213" t="str">
        <f t="shared" si="136"/>
        <v/>
      </c>
      <c r="F522" s="214" t="str">
        <f t="shared" si="129"/>
        <v/>
      </c>
      <c r="G522" s="180"/>
      <c r="H522" s="181" t="str">
        <f t="shared" si="130"/>
        <v/>
      </c>
      <c r="I522" s="227"/>
      <c r="J522" s="227"/>
      <c r="K522" s="227"/>
      <c r="L522" s="227"/>
      <c r="M522" s="210" t="str">
        <f t="shared" si="135"/>
        <v/>
      </c>
      <c r="N522" s="210"/>
      <c r="O522" s="207"/>
      <c r="P522" s="182" t="str">
        <f t="shared" si="120"/>
        <v/>
      </c>
      <c r="Q522" s="183" t="str">
        <f t="shared" si="131"/>
        <v/>
      </c>
      <c r="R522" s="182" t="str">
        <f>IF(M522&lt;&gt;"",IF(#REF!*F522*10=0,"",#REF!*F522*10),"")</f>
        <v/>
      </c>
      <c r="S522" s="184" t="str">
        <f t="shared" si="132"/>
        <v/>
      </c>
      <c r="T522" s="185" t="str">
        <f t="shared" si="121"/>
        <v/>
      </c>
      <c r="U522" s="183" t="str">
        <f t="shared" si="133"/>
        <v/>
      </c>
      <c r="V522" s="186" t="str">
        <f t="shared" si="122"/>
        <v/>
      </c>
      <c r="W522" s="186" t="str">
        <f t="shared" si="123"/>
        <v/>
      </c>
      <c r="X522" s="187" t="str">
        <f t="shared" si="124"/>
        <v/>
      </c>
      <c r="Y522" s="182" t="str">
        <f t="shared" si="134"/>
        <v/>
      </c>
      <c r="Z522" s="209" t="str">
        <f t="shared" si="125"/>
        <v/>
      </c>
      <c r="AA522" s="209" t="str">
        <f t="shared" si="126"/>
        <v/>
      </c>
      <c r="AB522" s="200"/>
      <c r="AC522" s="192"/>
    </row>
    <row r="523" spans="1:29" ht="11.4">
      <c r="A523" s="211" t="str">
        <f t="shared" si="127"/>
        <v/>
      </c>
      <c r="B523" s="211"/>
      <c r="C523" s="215"/>
      <c r="D523" s="213" t="str">
        <f t="shared" si="128"/>
        <v/>
      </c>
      <c r="E523" s="213" t="str">
        <f t="shared" si="136"/>
        <v/>
      </c>
      <c r="F523" s="214" t="str">
        <f t="shared" si="129"/>
        <v/>
      </c>
      <c r="G523" s="180"/>
      <c r="H523" s="181" t="str">
        <f t="shared" si="130"/>
        <v/>
      </c>
      <c r="I523" s="227"/>
      <c r="J523" s="227"/>
      <c r="K523" s="227"/>
      <c r="L523" s="227"/>
      <c r="M523" s="210" t="str">
        <f t="shared" si="135"/>
        <v/>
      </c>
      <c r="N523" s="210"/>
      <c r="O523" s="207"/>
      <c r="P523" s="182" t="str">
        <f t="shared" si="120"/>
        <v/>
      </c>
      <c r="Q523" s="183" t="str">
        <f t="shared" si="131"/>
        <v/>
      </c>
      <c r="R523" s="182" t="str">
        <f>IF(M523&lt;&gt;"",IF(#REF!*F523*10=0,"",#REF!*F523*10),"")</f>
        <v/>
      </c>
      <c r="S523" s="184" t="str">
        <f t="shared" si="132"/>
        <v/>
      </c>
      <c r="T523" s="185" t="str">
        <f t="shared" si="121"/>
        <v/>
      </c>
      <c r="U523" s="183" t="str">
        <f t="shared" si="133"/>
        <v/>
      </c>
      <c r="V523" s="186" t="str">
        <f t="shared" si="122"/>
        <v/>
      </c>
      <c r="W523" s="186" t="str">
        <f t="shared" si="123"/>
        <v/>
      </c>
      <c r="X523" s="187" t="str">
        <f t="shared" si="124"/>
        <v/>
      </c>
      <c r="Y523" s="182" t="str">
        <f t="shared" si="134"/>
        <v/>
      </c>
      <c r="Z523" s="209" t="str">
        <f t="shared" si="125"/>
        <v/>
      </c>
      <c r="AA523" s="209" t="str">
        <f t="shared" si="126"/>
        <v/>
      </c>
      <c r="AB523" s="200"/>
      <c r="AC523" s="192"/>
    </row>
    <row r="524" spans="1:29" ht="11.4">
      <c r="A524" s="211" t="str">
        <f t="shared" si="127"/>
        <v/>
      </c>
      <c r="B524" s="211"/>
      <c r="C524" s="215"/>
      <c r="D524" s="213" t="str">
        <f t="shared" si="128"/>
        <v/>
      </c>
      <c r="E524" s="213" t="str">
        <f t="shared" si="136"/>
        <v/>
      </c>
      <c r="F524" s="214" t="str">
        <f t="shared" si="129"/>
        <v/>
      </c>
      <c r="G524" s="180"/>
      <c r="H524" s="181" t="str">
        <f t="shared" si="130"/>
        <v/>
      </c>
      <c r="I524" s="227"/>
      <c r="J524" s="227"/>
      <c r="K524" s="227"/>
      <c r="L524" s="227"/>
      <c r="M524" s="210" t="str">
        <f t="shared" si="135"/>
        <v/>
      </c>
      <c r="N524" s="210"/>
      <c r="O524" s="207"/>
      <c r="P524" s="182" t="str">
        <f t="shared" ref="P524:P587" si="137">IF(M524="","",IF(L524*F524*$D$3=0,0,L524*F524*$D$3))</f>
        <v/>
      </c>
      <c r="Q524" s="183" t="str">
        <f t="shared" si="131"/>
        <v/>
      </c>
      <c r="R524" s="182" t="str">
        <f>IF(M524&lt;&gt;"",IF(#REF!*F524*10=0,"",#REF!*F524*10),"")</f>
        <v/>
      </c>
      <c r="S524" s="184" t="str">
        <f t="shared" si="132"/>
        <v/>
      </c>
      <c r="T524" s="185" t="str">
        <f t="shared" ref="T524:T587" si="138">IF(X524="","",X524*F524*$D$3)</f>
        <v/>
      </c>
      <c r="U524" s="183" t="str">
        <f t="shared" si="133"/>
        <v/>
      </c>
      <c r="V524" s="186" t="str">
        <f t="shared" ref="V524:V587" si="139">IF(M524="","",IF(AND(M524&gt;I524,H524="L"),1, IF(AND(I524&gt;M524,H524="S"),1,0)))</f>
        <v/>
      </c>
      <c r="W524" s="186" t="str">
        <f t="shared" ref="W524:W587" si="140">IF(M524="","",IF(AND(M524&lt;I524,H524="L"),1, IF(AND(I524&lt;M524,H524="S"),1,0)))</f>
        <v/>
      </c>
      <c r="X524" s="187" t="str">
        <f t="shared" ref="X524:X587" si="141">IF((M524=""),"",IF(H524="Buy",1,-1)*(M524-I524)*IF(LEN(RIGHT(I524,LEN(I524)-FIND(".",I524)))&gt;3,10000,100))</f>
        <v/>
      </c>
      <c r="Y524" s="182" t="str">
        <f t="shared" si="134"/>
        <v/>
      </c>
      <c r="Z524" s="209" t="str">
        <f t="shared" ref="Z524:Z587" si="142">IF(C524="","",MONTH(LEFT(C524,8)))</f>
        <v/>
      </c>
      <c r="AA524" s="209" t="str">
        <f t="shared" ref="AA524:AA587" si="143">IF(C524="","",YEAR(LEFT(C524,8)))</f>
        <v/>
      </c>
      <c r="AB524" s="200"/>
      <c r="AC524" s="192"/>
    </row>
    <row r="525" spans="1:29" ht="11.4">
      <c r="A525" s="211" t="str">
        <f t="shared" ref="A525:A588" si="144">IF(D525="","",1)</f>
        <v/>
      </c>
      <c r="B525" s="211"/>
      <c r="C525" s="215"/>
      <c r="D525" s="213" t="str">
        <f t="shared" ref="D525:D588" si="145">IF(G525="","","SUGAR")</f>
        <v/>
      </c>
      <c r="E525" s="213" t="str">
        <f t="shared" si="136"/>
        <v/>
      </c>
      <c r="F525" s="214" t="str">
        <f t="shared" ref="F525:F588" si="146">IF(G525="","",0.01)</f>
        <v/>
      </c>
      <c r="G525" s="180"/>
      <c r="H525" s="181" t="str">
        <f t="shared" ref="H525:H588" si="147">IF(G525="","",IF(OR(G525="第二类买点",G525="第三类买点"),"Buy","Sell"))</f>
        <v/>
      </c>
      <c r="I525" s="227"/>
      <c r="J525" s="227"/>
      <c r="K525" s="227"/>
      <c r="L525" s="227"/>
      <c r="M525" s="210" t="str">
        <f t="shared" si="135"/>
        <v/>
      </c>
      <c r="N525" s="210"/>
      <c r="O525" s="207"/>
      <c r="P525" s="182" t="str">
        <f t="shared" si="137"/>
        <v/>
      </c>
      <c r="Q525" s="183" t="str">
        <f t="shared" ref="Q525:Q588" si="148">IF(P525="","",IF(P525=0,0,P525/$I$4))</f>
        <v/>
      </c>
      <c r="R525" s="182" t="str">
        <f>IF(M525&lt;&gt;"",IF(#REF!*F525*10=0,"",#REF!*F525*10),"")</f>
        <v/>
      </c>
      <c r="S525" s="184" t="str">
        <f t="shared" ref="S525:S588" si="149">IF(P525="","",IF(P525=0,0,R525/P525))</f>
        <v/>
      </c>
      <c r="T525" s="185" t="str">
        <f t="shared" si="138"/>
        <v/>
      </c>
      <c r="U525" s="183" t="str">
        <f t="shared" ref="U525:U588" si="150">IF(T525="","",IF($I$4="","",T525/$I$4))</f>
        <v/>
      </c>
      <c r="V525" s="186" t="str">
        <f t="shared" si="139"/>
        <v/>
      </c>
      <c r="W525" s="186" t="str">
        <f t="shared" si="140"/>
        <v/>
      </c>
      <c r="X525" s="187" t="str">
        <f t="shared" si="141"/>
        <v/>
      </c>
      <c r="Y525" s="182" t="str">
        <f t="shared" si="134"/>
        <v/>
      </c>
      <c r="Z525" s="209" t="str">
        <f t="shared" si="142"/>
        <v/>
      </c>
      <c r="AA525" s="209" t="str">
        <f t="shared" si="143"/>
        <v/>
      </c>
      <c r="AB525" s="200"/>
      <c r="AC525" s="192"/>
    </row>
    <row r="526" spans="1:29" ht="11.4">
      <c r="A526" s="211" t="str">
        <f t="shared" si="144"/>
        <v/>
      </c>
      <c r="B526" s="211"/>
      <c r="C526" s="215"/>
      <c r="D526" s="213" t="str">
        <f t="shared" si="145"/>
        <v/>
      </c>
      <c r="E526" s="213" t="str">
        <f t="shared" si="136"/>
        <v/>
      </c>
      <c r="F526" s="214" t="str">
        <f t="shared" si="146"/>
        <v/>
      </c>
      <c r="G526" s="180"/>
      <c r="H526" s="181" t="str">
        <f t="shared" si="147"/>
        <v/>
      </c>
      <c r="I526" s="227"/>
      <c r="J526" s="227"/>
      <c r="K526" s="227"/>
      <c r="L526" s="227"/>
      <c r="M526" s="210" t="str">
        <f t="shared" si="135"/>
        <v/>
      </c>
      <c r="N526" s="210"/>
      <c r="O526" s="207"/>
      <c r="P526" s="182" t="str">
        <f t="shared" si="137"/>
        <v/>
      </c>
      <c r="Q526" s="183" t="str">
        <f t="shared" si="148"/>
        <v/>
      </c>
      <c r="R526" s="182" t="str">
        <f>IF(M526&lt;&gt;"",IF(#REF!*F526*10=0,"",#REF!*F526*10),"")</f>
        <v/>
      </c>
      <c r="S526" s="184" t="str">
        <f t="shared" si="149"/>
        <v/>
      </c>
      <c r="T526" s="185" t="str">
        <f t="shared" si="138"/>
        <v/>
      </c>
      <c r="U526" s="183" t="str">
        <f t="shared" si="150"/>
        <v/>
      </c>
      <c r="V526" s="186" t="str">
        <f t="shared" si="139"/>
        <v/>
      </c>
      <c r="W526" s="186" t="str">
        <f t="shared" si="140"/>
        <v/>
      </c>
      <c r="X526" s="187" t="str">
        <f t="shared" si="141"/>
        <v/>
      </c>
      <c r="Y526" s="182" t="str">
        <f t="shared" ref="Y526:Y589" si="151">IF(Y525="","",IF(T526="","",Y525+T526))</f>
        <v/>
      </c>
      <c r="Z526" s="209" t="str">
        <f t="shared" si="142"/>
        <v/>
      </c>
      <c r="AA526" s="209" t="str">
        <f t="shared" si="143"/>
        <v/>
      </c>
      <c r="AB526" s="200"/>
      <c r="AC526" s="192"/>
    </row>
    <row r="527" spans="1:29" ht="11.4">
      <c r="A527" s="211" t="str">
        <f t="shared" si="144"/>
        <v/>
      </c>
      <c r="B527" s="211"/>
      <c r="C527" s="215"/>
      <c r="D527" s="213" t="str">
        <f t="shared" si="145"/>
        <v/>
      </c>
      <c r="E527" s="213" t="str">
        <f t="shared" si="136"/>
        <v/>
      </c>
      <c r="F527" s="214" t="str">
        <f t="shared" si="146"/>
        <v/>
      </c>
      <c r="G527" s="180"/>
      <c r="H527" s="181" t="str">
        <f t="shared" si="147"/>
        <v/>
      </c>
      <c r="I527" s="227"/>
      <c r="J527" s="227"/>
      <c r="K527" s="227"/>
      <c r="L527" s="227"/>
      <c r="M527" s="210" t="str">
        <f t="shared" ref="M527:M590" si="152">IF(J527="","",J527)</f>
        <v/>
      </c>
      <c r="N527" s="210"/>
      <c r="O527" s="207"/>
      <c r="P527" s="182" t="str">
        <f t="shared" si="137"/>
        <v/>
      </c>
      <c r="Q527" s="183" t="str">
        <f t="shared" si="148"/>
        <v/>
      </c>
      <c r="R527" s="182" t="str">
        <f>IF(M527&lt;&gt;"",IF(#REF!*F527*10=0,"",#REF!*F527*10),"")</f>
        <v/>
      </c>
      <c r="S527" s="184" t="str">
        <f t="shared" si="149"/>
        <v/>
      </c>
      <c r="T527" s="185" t="str">
        <f t="shared" si="138"/>
        <v/>
      </c>
      <c r="U527" s="183" t="str">
        <f t="shared" si="150"/>
        <v/>
      </c>
      <c r="V527" s="186" t="str">
        <f t="shared" si="139"/>
        <v/>
      </c>
      <c r="W527" s="186" t="str">
        <f t="shared" si="140"/>
        <v/>
      </c>
      <c r="X527" s="187" t="str">
        <f t="shared" si="141"/>
        <v/>
      </c>
      <c r="Y527" s="182" t="str">
        <f t="shared" si="151"/>
        <v/>
      </c>
      <c r="Z527" s="209" t="str">
        <f t="shared" si="142"/>
        <v/>
      </c>
      <c r="AA527" s="209" t="str">
        <f t="shared" si="143"/>
        <v/>
      </c>
      <c r="AB527" s="200"/>
      <c r="AC527" s="192"/>
    </row>
    <row r="528" spans="1:29" ht="11.4">
      <c r="A528" s="211" t="str">
        <f t="shared" si="144"/>
        <v/>
      </c>
      <c r="B528" s="211"/>
      <c r="C528" s="215"/>
      <c r="D528" s="213" t="str">
        <f t="shared" si="145"/>
        <v/>
      </c>
      <c r="E528" s="213" t="str">
        <f t="shared" ref="E528:E591" si="153">IF(G528="","","M30")</f>
        <v/>
      </c>
      <c r="F528" s="214" t="str">
        <f t="shared" si="146"/>
        <v/>
      </c>
      <c r="G528" s="180"/>
      <c r="H528" s="181" t="str">
        <f t="shared" si="147"/>
        <v/>
      </c>
      <c r="I528" s="227"/>
      <c r="J528" s="227"/>
      <c r="K528" s="227"/>
      <c r="L528" s="227"/>
      <c r="M528" s="210" t="str">
        <f t="shared" si="152"/>
        <v/>
      </c>
      <c r="N528" s="210"/>
      <c r="O528" s="207"/>
      <c r="P528" s="182" t="str">
        <f t="shared" si="137"/>
        <v/>
      </c>
      <c r="Q528" s="183" t="str">
        <f t="shared" si="148"/>
        <v/>
      </c>
      <c r="R528" s="182" t="str">
        <f>IF(M528&lt;&gt;"",IF(#REF!*F528*10=0,"",#REF!*F528*10),"")</f>
        <v/>
      </c>
      <c r="S528" s="184" t="str">
        <f t="shared" si="149"/>
        <v/>
      </c>
      <c r="T528" s="185" t="str">
        <f t="shared" si="138"/>
        <v/>
      </c>
      <c r="U528" s="183" t="str">
        <f t="shared" si="150"/>
        <v/>
      </c>
      <c r="V528" s="186" t="str">
        <f t="shared" si="139"/>
        <v/>
      </c>
      <c r="W528" s="186" t="str">
        <f t="shared" si="140"/>
        <v/>
      </c>
      <c r="X528" s="187" t="str">
        <f t="shared" si="141"/>
        <v/>
      </c>
      <c r="Y528" s="182" t="str">
        <f t="shared" si="151"/>
        <v/>
      </c>
      <c r="Z528" s="209" t="str">
        <f t="shared" si="142"/>
        <v/>
      </c>
      <c r="AA528" s="209" t="str">
        <f t="shared" si="143"/>
        <v/>
      </c>
      <c r="AB528" s="200"/>
      <c r="AC528" s="192"/>
    </row>
    <row r="529" spans="1:29" ht="11.4">
      <c r="A529" s="211" t="str">
        <f t="shared" si="144"/>
        <v/>
      </c>
      <c r="B529" s="211"/>
      <c r="C529" s="215"/>
      <c r="D529" s="213" t="str">
        <f t="shared" si="145"/>
        <v/>
      </c>
      <c r="E529" s="213" t="str">
        <f t="shared" si="153"/>
        <v/>
      </c>
      <c r="F529" s="214" t="str">
        <f t="shared" si="146"/>
        <v/>
      </c>
      <c r="G529" s="180"/>
      <c r="H529" s="181" t="str">
        <f t="shared" si="147"/>
        <v/>
      </c>
      <c r="I529" s="227"/>
      <c r="J529" s="227"/>
      <c r="K529" s="227"/>
      <c r="L529" s="227"/>
      <c r="M529" s="210" t="str">
        <f t="shared" si="152"/>
        <v/>
      </c>
      <c r="N529" s="210"/>
      <c r="O529" s="207"/>
      <c r="P529" s="182" t="str">
        <f t="shared" si="137"/>
        <v/>
      </c>
      <c r="Q529" s="183" t="str">
        <f t="shared" si="148"/>
        <v/>
      </c>
      <c r="R529" s="182" t="str">
        <f>IF(M529&lt;&gt;"",IF(#REF!*F529*10=0,"",#REF!*F529*10),"")</f>
        <v/>
      </c>
      <c r="S529" s="184" t="str">
        <f t="shared" si="149"/>
        <v/>
      </c>
      <c r="T529" s="185" t="str">
        <f t="shared" si="138"/>
        <v/>
      </c>
      <c r="U529" s="183" t="str">
        <f t="shared" si="150"/>
        <v/>
      </c>
      <c r="V529" s="186" t="str">
        <f t="shared" si="139"/>
        <v/>
      </c>
      <c r="W529" s="186" t="str">
        <f t="shared" si="140"/>
        <v/>
      </c>
      <c r="X529" s="187" t="str">
        <f t="shared" si="141"/>
        <v/>
      </c>
      <c r="Y529" s="182" t="str">
        <f t="shared" si="151"/>
        <v/>
      </c>
      <c r="Z529" s="209" t="str">
        <f t="shared" si="142"/>
        <v/>
      </c>
      <c r="AA529" s="209" t="str">
        <f t="shared" si="143"/>
        <v/>
      </c>
      <c r="AB529" s="200"/>
      <c r="AC529" s="192"/>
    </row>
    <row r="530" spans="1:29" ht="11.4">
      <c r="A530" s="211" t="str">
        <f t="shared" si="144"/>
        <v/>
      </c>
      <c r="B530" s="211"/>
      <c r="C530" s="215"/>
      <c r="D530" s="213" t="str">
        <f t="shared" si="145"/>
        <v/>
      </c>
      <c r="E530" s="213" t="str">
        <f t="shared" si="153"/>
        <v/>
      </c>
      <c r="F530" s="214" t="str">
        <f t="shared" si="146"/>
        <v/>
      </c>
      <c r="G530" s="180"/>
      <c r="H530" s="181" t="str">
        <f t="shared" si="147"/>
        <v/>
      </c>
      <c r="I530" s="227"/>
      <c r="J530" s="227"/>
      <c r="K530" s="227"/>
      <c r="L530" s="227"/>
      <c r="M530" s="210" t="str">
        <f t="shared" si="152"/>
        <v/>
      </c>
      <c r="N530" s="210"/>
      <c r="O530" s="207"/>
      <c r="P530" s="182" t="str">
        <f t="shared" si="137"/>
        <v/>
      </c>
      <c r="Q530" s="183" t="str">
        <f t="shared" si="148"/>
        <v/>
      </c>
      <c r="R530" s="182" t="str">
        <f>IF(M530&lt;&gt;"",IF(#REF!*F530*10=0,"",#REF!*F530*10),"")</f>
        <v/>
      </c>
      <c r="S530" s="184" t="str">
        <f t="shared" si="149"/>
        <v/>
      </c>
      <c r="T530" s="185" t="str">
        <f t="shared" si="138"/>
        <v/>
      </c>
      <c r="U530" s="183" t="str">
        <f t="shared" si="150"/>
        <v/>
      </c>
      <c r="V530" s="186" t="str">
        <f t="shared" si="139"/>
        <v/>
      </c>
      <c r="W530" s="186" t="str">
        <f t="shared" si="140"/>
        <v/>
      </c>
      <c r="X530" s="187" t="str">
        <f t="shared" si="141"/>
        <v/>
      </c>
      <c r="Y530" s="182" t="str">
        <f t="shared" si="151"/>
        <v/>
      </c>
      <c r="Z530" s="209" t="str">
        <f t="shared" si="142"/>
        <v/>
      </c>
      <c r="AA530" s="209" t="str">
        <f t="shared" si="143"/>
        <v/>
      </c>
      <c r="AB530" s="200"/>
      <c r="AC530" s="192"/>
    </row>
    <row r="531" spans="1:29" ht="11.4">
      <c r="A531" s="211" t="str">
        <f t="shared" si="144"/>
        <v/>
      </c>
      <c r="B531" s="211"/>
      <c r="C531" s="215"/>
      <c r="D531" s="213" t="str">
        <f t="shared" si="145"/>
        <v/>
      </c>
      <c r="E531" s="213" t="str">
        <f t="shared" si="153"/>
        <v/>
      </c>
      <c r="F531" s="214" t="str">
        <f t="shared" si="146"/>
        <v/>
      </c>
      <c r="G531" s="180"/>
      <c r="H531" s="181" t="str">
        <f t="shared" si="147"/>
        <v/>
      </c>
      <c r="I531" s="227"/>
      <c r="J531" s="227"/>
      <c r="K531" s="227"/>
      <c r="L531" s="227"/>
      <c r="M531" s="210" t="str">
        <f t="shared" si="152"/>
        <v/>
      </c>
      <c r="N531" s="210"/>
      <c r="O531" s="207"/>
      <c r="P531" s="182" t="str">
        <f t="shared" si="137"/>
        <v/>
      </c>
      <c r="Q531" s="183" t="str">
        <f t="shared" si="148"/>
        <v/>
      </c>
      <c r="R531" s="182" t="str">
        <f>IF(M531&lt;&gt;"",IF(#REF!*F531*10=0,"",#REF!*F531*10),"")</f>
        <v/>
      </c>
      <c r="S531" s="184" t="str">
        <f t="shared" si="149"/>
        <v/>
      </c>
      <c r="T531" s="185" t="str">
        <f t="shared" si="138"/>
        <v/>
      </c>
      <c r="U531" s="183" t="str">
        <f t="shared" si="150"/>
        <v/>
      </c>
      <c r="V531" s="186" t="str">
        <f t="shared" si="139"/>
        <v/>
      </c>
      <c r="W531" s="186" t="str">
        <f t="shared" si="140"/>
        <v/>
      </c>
      <c r="X531" s="187" t="str">
        <f t="shared" si="141"/>
        <v/>
      </c>
      <c r="Y531" s="182" t="str">
        <f t="shared" si="151"/>
        <v/>
      </c>
      <c r="Z531" s="209" t="str">
        <f t="shared" si="142"/>
        <v/>
      </c>
      <c r="AA531" s="209" t="str">
        <f t="shared" si="143"/>
        <v/>
      </c>
      <c r="AB531" s="200"/>
      <c r="AC531" s="192"/>
    </row>
    <row r="532" spans="1:29" ht="11.4">
      <c r="A532" s="211" t="str">
        <f t="shared" si="144"/>
        <v/>
      </c>
      <c r="B532" s="211"/>
      <c r="C532" s="215"/>
      <c r="D532" s="213" t="str">
        <f t="shared" si="145"/>
        <v/>
      </c>
      <c r="E532" s="213" t="str">
        <f t="shared" si="153"/>
        <v/>
      </c>
      <c r="F532" s="214" t="str">
        <f t="shared" si="146"/>
        <v/>
      </c>
      <c r="G532" s="180"/>
      <c r="H532" s="181" t="str">
        <f t="shared" si="147"/>
        <v/>
      </c>
      <c r="I532" s="227"/>
      <c r="J532" s="227"/>
      <c r="K532" s="227"/>
      <c r="L532" s="227"/>
      <c r="M532" s="210" t="str">
        <f t="shared" si="152"/>
        <v/>
      </c>
      <c r="N532" s="210"/>
      <c r="O532" s="207"/>
      <c r="P532" s="182" t="str">
        <f t="shared" si="137"/>
        <v/>
      </c>
      <c r="Q532" s="183" t="str">
        <f t="shared" si="148"/>
        <v/>
      </c>
      <c r="R532" s="182" t="str">
        <f>IF(M532&lt;&gt;"",IF(#REF!*F532*10=0,"",#REF!*F532*10),"")</f>
        <v/>
      </c>
      <c r="S532" s="184" t="str">
        <f t="shared" si="149"/>
        <v/>
      </c>
      <c r="T532" s="185" t="str">
        <f t="shared" si="138"/>
        <v/>
      </c>
      <c r="U532" s="183" t="str">
        <f t="shared" si="150"/>
        <v/>
      </c>
      <c r="V532" s="186" t="str">
        <f t="shared" si="139"/>
        <v/>
      </c>
      <c r="W532" s="186" t="str">
        <f t="shared" si="140"/>
        <v/>
      </c>
      <c r="X532" s="187" t="str">
        <f t="shared" si="141"/>
        <v/>
      </c>
      <c r="Y532" s="182" t="str">
        <f t="shared" si="151"/>
        <v/>
      </c>
      <c r="Z532" s="209" t="str">
        <f t="shared" si="142"/>
        <v/>
      </c>
      <c r="AA532" s="209" t="str">
        <f t="shared" si="143"/>
        <v/>
      </c>
      <c r="AB532" s="200"/>
      <c r="AC532" s="192"/>
    </row>
    <row r="533" spans="1:29" ht="11.4">
      <c r="A533" s="211" t="str">
        <f t="shared" si="144"/>
        <v/>
      </c>
      <c r="B533" s="211"/>
      <c r="C533" s="215"/>
      <c r="D533" s="213" t="str">
        <f t="shared" si="145"/>
        <v/>
      </c>
      <c r="E533" s="213" t="str">
        <f t="shared" si="153"/>
        <v/>
      </c>
      <c r="F533" s="214" t="str">
        <f t="shared" si="146"/>
        <v/>
      </c>
      <c r="G533" s="180"/>
      <c r="H533" s="181" t="str">
        <f t="shared" si="147"/>
        <v/>
      </c>
      <c r="I533" s="227"/>
      <c r="J533" s="227"/>
      <c r="K533" s="227"/>
      <c r="L533" s="227"/>
      <c r="M533" s="210" t="str">
        <f t="shared" si="152"/>
        <v/>
      </c>
      <c r="N533" s="210"/>
      <c r="O533" s="207"/>
      <c r="P533" s="182" t="str">
        <f t="shared" si="137"/>
        <v/>
      </c>
      <c r="Q533" s="183" t="str">
        <f t="shared" si="148"/>
        <v/>
      </c>
      <c r="R533" s="182" t="str">
        <f>IF(M533&lt;&gt;"",IF(#REF!*F533*10=0,"",#REF!*F533*10),"")</f>
        <v/>
      </c>
      <c r="S533" s="184" t="str">
        <f t="shared" si="149"/>
        <v/>
      </c>
      <c r="T533" s="185" t="str">
        <f t="shared" si="138"/>
        <v/>
      </c>
      <c r="U533" s="183" t="str">
        <f t="shared" si="150"/>
        <v/>
      </c>
      <c r="V533" s="186" t="str">
        <f t="shared" si="139"/>
        <v/>
      </c>
      <c r="W533" s="186" t="str">
        <f t="shared" si="140"/>
        <v/>
      </c>
      <c r="X533" s="187" t="str">
        <f t="shared" si="141"/>
        <v/>
      </c>
      <c r="Y533" s="182" t="str">
        <f t="shared" si="151"/>
        <v/>
      </c>
      <c r="Z533" s="209" t="str">
        <f t="shared" si="142"/>
        <v/>
      </c>
      <c r="AA533" s="209" t="str">
        <f t="shared" si="143"/>
        <v/>
      </c>
      <c r="AB533" s="200"/>
      <c r="AC533" s="192"/>
    </row>
    <row r="534" spans="1:29" ht="11.4">
      <c r="A534" s="211" t="str">
        <f t="shared" si="144"/>
        <v/>
      </c>
      <c r="B534" s="211"/>
      <c r="C534" s="215"/>
      <c r="D534" s="213" t="str">
        <f t="shared" si="145"/>
        <v/>
      </c>
      <c r="E534" s="213" t="str">
        <f t="shared" si="153"/>
        <v/>
      </c>
      <c r="F534" s="214" t="str">
        <f t="shared" si="146"/>
        <v/>
      </c>
      <c r="G534" s="180"/>
      <c r="H534" s="181" t="str">
        <f t="shared" si="147"/>
        <v/>
      </c>
      <c r="I534" s="227"/>
      <c r="J534" s="227"/>
      <c r="K534" s="227"/>
      <c r="L534" s="227"/>
      <c r="M534" s="210" t="str">
        <f t="shared" si="152"/>
        <v/>
      </c>
      <c r="N534" s="210"/>
      <c r="O534" s="207"/>
      <c r="P534" s="182" t="str">
        <f t="shared" si="137"/>
        <v/>
      </c>
      <c r="Q534" s="183" t="str">
        <f t="shared" si="148"/>
        <v/>
      </c>
      <c r="R534" s="182" t="str">
        <f>IF(M534&lt;&gt;"",IF(#REF!*F534*10=0,"",#REF!*F534*10),"")</f>
        <v/>
      </c>
      <c r="S534" s="184" t="str">
        <f t="shared" si="149"/>
        <v/>
      </c>
      <c r="T534" s="185" t="str">
        <f t="shared" si="138"/>
        <v/>
      </c>
      <c r="U534" s="183" t="str">
        <f t="shared" si="150"/>
        <v/>
      </c>
      <c r="V534" s="186" t="str">
        <f t="shared" si="139"/>
        <v/>
      </c>
      <c r="W534" s="186" t="str">
        <f t="shared" si="140"/>
        <v/>
      </c>
      <c r="X534" s="187" t="str">
        <f t="shared" si="141"/>
        <v/>
      </c>
      <c r="Y534" s="182" t="str">
        <f t="shared" si="151"/>
        <v/>
      </c>
      <c r="Z534" s="209" t="str">
        <f t="shared" si="142"/>
        <v/>
      </c>
      <c r="AA534" s="209" t="str">
        <f t="shared" si="143"/>
        <v/>
      </c>
      <c r="AB534" s="200"/>
      <c r="AC534" s="192"/>
    </row>
    <row r="535" spans="1:29" ht="11.4">
      <c r="A535" s="211" t="str">
        <f t="shared" si="144"/>
        <v/>
      </c>
      <c r="B535" s="211"/>
      <c r="C535" s="215"/>
      <c r="D535" s="213" t="str">
        <f t="shared" si="145"/>
        <v/>
      </c>
      <c r="E535" s="213" t="str">
        <f t="shared" si="153"/>
        <v/>
      </c>
      <c r="F535" s="214" t="str">
        <f t="shared" si="146"/>
        <v/>
      </c>
      <c r="G535" s="180"/>
      <c r="H535" s="181" t="str">
        <f t="shared" si="147"/>
        <v/>
      </c>
      <c r="I535" s="227"/>
      <c r="J535" s="227"/>
      <c r="K535" s="227"/>
      <c r="L535" s="227"/>
      <c r="M535" s="210" t="str">
        <f t="shared" si="152"/>
        <v/>
      </c>
      <c r="N535" s="210"/>
      <c r="O535" s="207"/>
      <c r="P535" s="182" t="str">
        <f t="shared" si="137"/>
        <v/>
      </c>
      <c r="Q535" s="183" t="str">
        <f t="shared" si="148"/>
        <v/>
      </c>
      <c r="R535" s="182" t="str">
        <f>IF(M535&lt;&gt;"",IF(#REF!*F535*10=0,"",#REF!*F535*10),"")</f>
        <v/>
      </c>
      <c r="S535" s="184" t="str">
        <f t="shared" si="149"/>
        <v/>
      </c>
      <c r="T535" s="185" t="str">
        <f t="shared" si="138"/>
        <v/>
      </c>
      <c r="U535" s="183" t="str">
        <f t="shared" si="150"/>
        <v/>
      </c>
      <c r="V535" s="186" t="str">
        <f t="shared" si="139"/>
        <v/>
      </c>
      <c r="W535" s="186" t="str">
        <f t="shared" si="140"/>
        <v/>
      </c>
      <c r="X535" s="187" t="str">
        <f t="shared" si="141"/>
        <v/>
      </c>
      <c r="Y535" s="182" t="str">
        <f t="shared" si="151"/>
        <v/>
      </c>
      <c r="Z535" s="209" t="str">
        <f t="shared" si="142"/>
        <v/>
      </c>
      <c r="AA535" s="209" t="str">
        <f t="shared" si="143"/>
        <v/>
      </c>
      <c r="AB535" s="200"/>
      <c r="AC535" s="192"/>
    </row>
    <row r="536" spans="1:29" ht="11.4">
      <c r="A536" s="211" t="str">
        <f t="shared" si="144"/>
        <v/>
      </c>
      <c r="B536" s="211"/>
      <c r="C536" s="215"/>
      <c r="D536" s="213" t="str">
        <f t="shared" si="145"/>
        <v/>
      </c>
      <c r="E536" s="213" t="str">
        <f t="shared" si="153"/>
        <v/>
      </c>
      <c r="F536" s="214" t="str">
        <f t="shared" si="146"/>
        <v/>
      </c>
      <c r="G536" s="180"/>
      <c r="H536" s="181" t="str">
        <f t="shared" si="147"/>
        <v/>
      </c>
      <c r="I536" s="227"/>
      <c r="J536" s="227"/>
      <c r="K536" s="227"/>
      <c r="L536" s="227"/>
      <c r="M536" s="210" t="str">
        <f t="shared" si="152"/>
        <v/>
      </c>
      <c r="N536" s="210"/>
      <c r="O536" s="207"/>
      <c r="P536" s="182" t="str">
        <f t="shared" si="137"/>
        <v/>
      </c>
      <c r="Q536" s="183" t="str">
        <f t="shared" si="148"/>
        <v/>
      </c>
      <c r="R536" s="182" t="str">
        <f>IF(M536&lt;&gt;"",IF(#REF!*F536*10=0,"",#REF!*F536*10),"")</f>
        <v/>
      </c>
      <c r="S536" s="184" t="str">
        <f t="shared" si="149"/>
        <v/>
      </c>
      <c r="T536" s="185" t="str">
        <f t="shared" si="138"/>
        <v/>
      </c>
      <c r="U536" s="183" t="str">
        <f t="shared" si="150"/>
        <v/>
      </c>
      <c r="V536" s="186" t="str">
        <f t="shared" si="139"/>
        <v/>
      </c>
      <c r="W536" s="186" t="str">
        <f t="shared" si="140"/>
        <v/>
      </c>
      <c r="X536" s="187" t="str">
        <f t="shared" si="141"/>
        <v/>
      </c>
      <c r="Y536" s="182" t="str">
        <f t="shared" si="151"/>
        <v/>
      </c>
      <c r="Z536" s="209" t="str">
        <f t="shared" si="142"/>
        <v/>
      </c>
      <c r="AA536" s="209" t="str">
        <f t="shared" si="143"/>
        <v/>
      </c>
      <c r="AB536" s="200"/>
      <c r="AC536" s="192"/>
    </row>
    <row r="537" spans="1:29" ht="11.4">
      <c r="A537" s="211" t="str">
        <f t="shared" si="144"/>
        <v/>
      </c>
      <c r="B537" s="211"/>
      <c r="C537" s="215"/>
      <c r="D537" s="213" t="str">
        <f t="shared" si="145"/>
        <v/>
      </c>
      <c r="E537" s="213" t="str">
        <f t="shared" si="153"/>
        <v/>
      </c>
      <c r="F537" s="214" t="str">
        <f t="shared" si="146"/>
        <v/>
      </c>
      <c r="G537" s="180"/>
      <c r="H537" s="181" t="str">
        <f t="shared" si="147"/>
        <v/>
      </c>
      <c r="I537" s="227"/>
      <c r="J537" s="227"/>
      <c r="K537" s="227"/>
      <c r="L537" s="227"/>
      <c r="M537" s="210" t="str">
        <f t="shared" si="152"/>
        <v/>
      </c>
      <c r="N537" s="210"/>
      <c r="O537" s="207"/>
      <c r="P537" s="182" t="str">
        <f t="shared" si="137"/>
        <v/>
      </c>
      <c r="Q537" s="183" t="str">
        <f t="shared" si="148"/>
        <v/>
      </c>
      <c r="R537" s="182" t="str">
        <f>IF(M537&lt;&gt;"",IF(#REF!*F537*10=0,"",#REF!*F537*10),"")</f>
        <v/>
      </c>
      <c r="S537" s="184" t="str">
        <f t="shared" si="149"/>
        <v/>
      </c>
      <c r="T537" s="185" t="str">
        <f t="shared" si="138"/>
        <v/>
      </c>
      <c r="U537" s="183" t="str">
        <f t="shared" si="150"/>
        <v/>
      </c>
      <c r="V537" s="186" t="str">
        <f t="shared" si="139"/>
        <v/>
      </c>
      <c r="W537" s="186" t="str">
        <f t="shared" si="140"/>
        <v/>
      </c>
      <c r="X537" s="187" t="str">
        <f t="shared" si="141"/>
        <v/>
      </c>
      <c r="Y537" s="182" t="str">
        <f t="shared" si="151"/>
        <v/>
      </c>
      <c r="Z537" s="209" t="str">
        <f t="shared" si="142"/>
        <v/>
      </c>
      <c r="AA537" s="209" t="str">
        <f t="shared" si="143"/>
        <v/>
      </c>
      <c r="AB537" s="200"/>
      <c r="AC537" s="192"/>
    </row>
    <row r="538" spans="1:29" ht="11.4">
      <c r="A538" s="211" t="str">
        <f t="shared" si="144"/>
        <v/>
      </c>
      <c r="B538" s="211"/>
      <c r="C538" s="215"/>
      <c r="D538" s="213" t="str">
        <f t="shared" si="145"/>
        <v/>
      </c>
      <c r="E538" s="213" t="str">
        <f t="shared" si="153"/>
        <v/>
      </c>
      <c r="F538" s="214" t="str">
        <f t="shared" si="146"/>
        <v/>
      </c>
      <c r="G538" s="180"/>
      <c r="H538" s="181" t="str">
        <f t="shared" si="147"/>
        <v/>
      </c>
      <c r="I538" s="227"/>
      <c r="J538" s="227"/>
      <c r="K538" s="227"/>
      <c r="L538" s="227"/>
      <c r="M538" s="210" t="str">
        <f t="shared" si="152"/>
        <v/>
      </c>
      <c r="N538" s="210"/>
      <c r="O538" s="207"/>
      <c r="P538" s="182" t="str">
        <f t="shared" si="137"/>
        <v/>
      </c>
      <c r="Q538" s="183" t="str">
        <f t="shared" si="148"/>
        <v/>
      </c>
      <c r="R538" s="182" t="str">
        <f>IF(M538&lt;&gt;"",IF(#REF!*F538*10=0,"",#REF!*F538*10),"")</f>
        <v/>
      </c>
      <c r="S538" s="184" t="str">
        <f t="shared" si="149"/>
        <v/>
      </c>
      <c r="T538" s="185" t="str">
        <f t="shared" si="138"/>
        <v/>
      </c>
      <c r="U538" s="183" t="str">
        <f t="shared" si="150"/>
        <v/>
      </c>
      <c r="V538" s="186" t="str">
        <f t="shared" si="139"/>
        <v/>
      </c>
      <c r="W538" s="186" t="str">
        <f t="shared" si="140"/>
        <v/>
      </c>
      <c r="X538" s="187" t="str">
        <f t="shared" si="141"/>
        <v/>
      </c>
      <c r="Y538" s="182" t="str">
        <f t="shared" si="151"/>
        <v/>
      </c>
      <c r="Z538" s="209" t="str">
        <f t="shared" si="142"/>
        <v/>
      </c>
      <c r="AA538" s="209" t="str">
        <f t="shared" si="143"/>
        <v/>
      </c>
      <c r="AB538" s="200"/>
      <c r="AC538" s="192"/>
    </row>
    <row r="539" spans="1:29" ht="11.4">
      <c r="A539" s="211" t="str">
        <f t="shared" si="144"/>
        <v/>
      </c>
      <c r="B539" s="211"/>
      <c r="C539" s="215"/>
      <c r="D539" s="213" t="str">
        <f t="shared" si="145"/>
        <v/>
      </c>
      <c r="E539" s="213" t="str">
        <f t="shared" si="153"/>
        <v/>
      </c>
      <c r="F539" s="214" t="str">
        <f t="shared" si="146"/>
        <v/>
      </c>
      <c r="G539" s="180"/>
      <c r="H539" s="181" t="str">
        <f t="shared" si="147"/>
        <v/>
      </c>
      <c r="I539" s="227"/>
      <c r="J539" s="227"/>
      <c r="K539" s="227"/>
      <c r="L539" s="227"/>
      <c r="M539" s="210" t="str">
        <f t="shared" si="152"/>
        <v/>
      </c>
      <c r="N539" s="210"/>
      <c r="O539" s="207"/>
      <c r="P539" s="182" t="str">
        <f t="shared" si="137"/>
        <v/>
      </c>
      <c r="Q539" s="183" t="str">
        <f t="shared" si="148"/>
        <v/>
      </c>
      <c r="R539" s="182" t="str">
        <f>IF(M539&lt;&gt;"",IF(#REF!*F539*10=0,"",#REF!*F539*10),"")</f>
        <v/>
      </c>
      <c r="S539" s="184" t="str">
        <f t="shared" si="149"/>
        <v/>
      </c>
      <c r="T539" s="185" t="str">
        <f t="shared" si="138"/>
        <v/>
      </c>
      <c r="U539" s="183" t="str">
        <f t="shared" si="150"/>
        <v/>
      </c>
      <c r="V539" s="186" t="str">
        <f t="shared" si="139"/>
        <v/>
      </c>
      <c r="W539" s="186" t="str">
        <f t="shared" si="140"/>
        <v/>
      </c>
      <c r="X539" s="187" t="str">
        <f t="shared" si="141"/>
        <v/>
      </c>
      <c r="Y539" s="182" t="str">
        <f t="shared" si="151"/>
        <v/>
      </c>
      <c r="Z539" s="209" t="str">
        <f t="shared" si="142"/>
        <v/>
      </c>
      <c r="AA539" s="209" t="str">
        <f t="shared" si="143"/>
        <v/>
      </c>
      <c r="AB539" s="200"/>
      <c r="AC539" s="192"/>
    </row>
    <row r="540" spans="1:29" ht="11.4">
      <c r="A540" s="211" t="str">
        <f t="shared" si="144"/>
        <v/>
      </c>
      <c r="B540" s="211"/>
      <c r="C540" s="215"/>
      <c r="D540" s="213" t="str">
        <f t="shared" si="145"/>
        <v/>
      </c>
      <c r="E540" s="213" t="str">
        <f t="shared" si="153"/>
        <v/>
      </c>
      <c r="F540" s="214" t="str">
        <f t="shared" si="146"/>
        <v/>
      </c>
      <c r="G540" s="180"/>
      <c r="H540" s="181" t="str">
        <f t="shared" si="147"/>
        <v/>
      </c>
      <c r="I540" s="227"/>
      <c r="J540" s="227"/>
      <c r="K540" s="227"/>
      <c r="L540" s="227"/>
      <c r="M540" s="210" t="str">
        <f t="shared" si="152"/>
        <v/>
      </c>
      <c r="N540" s="210"/>
      <c r="O540" s="207"/>
      <c r="P540" s="182" t="str">
        <f t="shared" si="137"/>
        <v/>
      </c>
      <c r="Q540" s="183" t="str">
        <f t="shared" si="148"/>
        <v/>
      </c>
      <c r="R540" s="182" t="str">
        <f>IF(M540&lt;&gt;"",IF(#REF!*F540*10=0,"",#REF!*F540*10),"")</f>
        <v/>
      </c>
      <c r="S540" s="184" t="str">
        <f t="shared" si="149"/>
        <v/>
      </c>
      <c r="T540" s="185" t="str">
        <f t="shared" si="138"/>
        <v/>
      </c>
      <c r="U540" s="183" t="str">
        <f t="shared" si="150"/>
        <v/>
      </c>
      <c r="V540" s="186" t="str">
        <f t="shared" si="139"/>
        <v/>
      </c>
      <c r="W540" s="186" t="str">
        <f t="shared" si="140"/>
        <v/>
      </c>
      <c r="X540" s="187" t="str">
        <f t="shared" si="141"/>
        <v/>
      </c>
      <c r="Y540" s="182" t="str">
        <f t="shared" si="151"/>
        <v/>
      </c>
      <c r="Z540" s="209" t="str">
        <f t="shared" si="142"/>
        <v/>
      </c>
      <c r="AA540" s="209" t="str">
        <f t="shared" si="143"/>
        <v/>
      </c>
      <c r="AB540" s="200"/>
      <c r="AC540" s="192"/>
    </row>
    <row r="541" spans="1:29" ht="11.4">
      <c r="A541" s="211" t="str">
        <f t="shared" si="144"/>
        <v/>
      </c>
      <c r="B541" s="211"/>
      <c r="C541" s="215"/>
      <c r="D541" s="213" t="str">
        <f t="shared" si="145"/>
        <v/>
      </c>
      <c r="E541" s="213" t="str">
        <f t="shared" si="153"/>
        <v/>
      </c>
      <c r="F541" s="214" t="str">
        <f t="shared" si="146"/>
        <v/>
      </c>
      <c r="G541" s="180"/>
      <c r="H541" s="181" t="str">
        <f t="shared" si="147"/>
        <v/>
      </c>
      <c r="I541" s="227"/>
      <c r="J541" s="227"/>
      <c r="K541" s="227"/>
      <c r="L541" s="227"/>
      <c r="M541" s="210" t="str">
        <f t="shared" si="152"/>
        <v/>
      </c>
      <c r="N541" s="210"/>
      <c r="O541" s="207"/>
      <c r="P541" s="182" t="str">
        <f t="shared" si="137"/>
        <v/>
      </c>
      <c r="Q541" s="183" t="str">
        <f t="shared" si="148"/>
        <v/>
      </c>
      <c r="R541" s="182" t="str">
        <f>IF(M541&lt;&gt;"",IF(#REF!*F541*10=0,"",#REF!*F541*10),"")</f>
        <v/>
      </c>
      <c r="S541" s="184" t="str">
        <f t="shared" si="149"/>
        <v/>
      </c>
      <c r="T541" s="185" t="str">
        <f t="shared" si="138"/>
        <v/>
      </c>
      <c r="U541" s="183" t="str">
        <f t="shared" si="150"/>
        <v/>
      </c>
      <c r="V541" s="186" t="str">
        <f t="shared" si="139"/>
        <v/>
      </c>
      <c r="W541" s="186" t="str">
        <f t="shared" si="140"/>
        <v/>
      </c>
      <c r="X541" s="187" t="str">
        <f t="shared" si="141"/>
        <v/>
      </c>
      <c r="Y541" s="182" t="str">
        <f t="shared" si="151"/>
        <v/>
      </c>
      <c r="Z541" s="209" t="str">
        <f t="shared" si="142"/>
        <v/>
      </c>
      <c r="AA541" s="209" t="str">
        <f t="shared" si="143"/>
        <v/>
      </c>
      <c r="AB541" s="200"/>
      <c r="AC541" s="192"/>
    </row>
    <row r="542" spans="1:29" ht="11.4">
      <c r="A542" s="211" t="str">
        <f t="shared" si="144"/>
        <v/>
      </c>
      <c r="B542" s="211"/>
      <c r="C542" s="215"/>
      <c r="D542" s="213" t="str">
        <f t="shared" si="145"/>
        <v/>
      </c>
      <c r="E542" s="213" t="str">
        <f t="shared" si="153"/>
        <v/>
      </c>
      <c r="F542" s="214" t="str">
        <f t="shared" si="146"/>
        <v/>
      </c>
      <c r="G542" s="180"/>
      <c r="H542" s="181" t="str">
        <f t="shared" si="147"/>
        <v/>
      </c>
      <c r="I542" s="227"/>
      <c r="J542" s="227"/>
      <c r="K542" s="227"/>
      <c r="L542" s="227"/>
      <c r="M542" s="210" t="str">
        <f t="shared" si="152"/>
        <v/>
      </c>
      <c r="N542" s="210"/>
      <c r="O542" s="207"/>
      <c r="P542" s="182" t="str">
        <f t="shared" si="137"/>
        <v/>
      </c>
      <c r="Q542" s="183" t="str">
        <f t="shared" si="148"/>
        <v/>
      </c>
      <c r="R542" s="182" t="str">
        <f>IF(M542&lt;&gt;"",IF(#REF!*F542*10=0,"",#REF!*F542*10),"")</f>
        <v/>
      </c>
      <c r="S542" s="184" t="str">
        <f t="shared" si="149"/>
        <v/>
      </c>
      <c r="T542" s="185" t="str">
        <f t="shared" si="138"/>
        <v/>
      </c>
      <c r="U542" s="183" t="str">
        <f t="shared" si="150"/>
        <v/>
      </c>
      <c r="V542" s="186" t="str">
        <f t="shared" si="139"/>
        <v/>
      </c>
      <c r="W542" s="186" t="str">
        <f t="shared" si="140"/>
        <v/>
      </c>
      <c r="X542" s="187" t="str">
        <f t="shared" si="141"/>
        <v/>
      </c>
      <c r="Y542" s="182" t="str">
        <f t="shared" si="151"/>
        <v/>
      </c>
      <c r="Z542" s="209" t="str">
        <f t="shared" si="142"/>
        <v/>
      </c>
      <c r="AA542" s="209" t="str">
        <f t="shared" si="143"/>
        <v/>
      </c>
      <c r="AB542" s="200"/>
      <c r="AC542" s="192"/>
    </row>
    <row r="543" spans="1:29" ht="11.4">
      <c r="A543" s="211" t="str">
        <f t="shared" si="144"/>
        <v/>
      </c>
      <c r="B543" s="211"/>
      <c r="C543" s="215"/>
      <c r="D543" s="213" t="str">
        <f t="shared" si="145"/>
        <v/>
      </c>
      <c r="E543" s="213" t="str">
        <f t="shared" si="153"/>
        <v/>
      </c>
      <c r="F543" s="214" t="str">
        <f t="shared" si="146"/>
        <v/>
      </c>
      <c r="G543" s="180"/>
      <c r="H543" s="181" t="str">
        <f t="shared" si="147"/>
        <v/>
      </c>
      <c r="I543" s="227"/>
      <c r="J543" s="227"/>
      <c r="K543" s="227"/>
      <c r="L543" s="227"/>
      <c r="M543" s="210" t="str">
        <f t="shared" si="152"/>
        <v/>
      </c>
      <c r="N543" s="210"/>
      <c r="O543" s="207"/>
      <c r="P543" s="182" t="str">
        <f t="shared" si="137"/>
        <v/>
      </c>
      <c r="Q543" s="183" t="str">
        <f t="shared" si="148"/>
        <v/>
      </c>
      <c r="R543" s="182" t="str">
        <f>IF(M543&lt;&gt;"",IF(#REF!*F543*10=0,"",#REF!*F543*10),"")</f>
        <v/>
      </c>
      <c r="S543" s="184" t="str">
        <f t="shared" si="149"/>
        <v/>
      </c>
      <c r="T543" s="185" t="str">
        <f t="shared" si="138"/>
        <v/>
      </c>
      <c r="U543" s="183" t="str">
        <f t="shared" si="150"/>
        <v/>
      </c>
      <c r="V543" s="186" t="str">
        <f t="shared" si="139"/>
        <v/>
      </c>
      <c r="W543" s="186" t="str">
        <f t="shared" si="140"/>
        <v/>
      </c>
      <c r="X543" s="187" t="str">
        <f t="shared" si="141"/>
        <v/>
      </c>
      <c r="Y543" s="182" t="str">
        <f t="shared" si="151"/>
        <v/>
      </c>
      <c r="Z543" s="209" t="str">
        <f t="shared" si="142"/>
        <v/>
      </c>
      <c r="AA543" s="209" t="str">
        <f t="shared" si="143"/>
        <v/>
      </c>
      <c r="AB543" s="200"/>
      <c r="AC543" s="192"/>
    </row>
    <row r="544" spans="1:29" ht="11.4">
      <c r="A544" s="211" t="str">
        <f t="shared" si="144"/>
        <v/>
      </c>
      <c r="B544" s="211"/>
      <c r="C544" s="215"/>
      <c r="D544" s="213" t="str">
        <f t="shared" si="145"/>
        <v/>
      </c>
      <c r="E544" s="213" t="str">
        <f t="shared" si="153"/>
        <v/>
      </c>
      <c r="F544" s="214" t="str">
        <f t="shared" si="146"/>
        <v/>
      </c>
      <c r="G544" s="180"/>
      <c r="H544" s="181" t="str">
        <f t="shared" si="147"/>
        <v/>
      </c>
      <c r="I544" s="227"/>
      <c r="J544" s="227"/>
      <c r="K544" s="227"/>
      <c r="L544" s="227"/>
      <c r="M544" s="210" t="str">
        <f t="shared" si="152"/>
        <v/>
      </c>
      <c r="N544" s="210"/>
      <c r="O544" s="207"/>
      <c r="P544" s="182" t="str">
        <f t="shared" si="137"/>
        <v/>
      </c>
      <c r="Q544" s="183" t="str">
        <f t="shared" si="148"/>
        <v/>
      </c>
      <c r="R544" s="182" t="str">
        <f>IF(M544&lt;&gt;"",IF(#REF!*F544*10=0,"",#REF!*F544*10),"")</f>
        <v/>
      </c>
      <c r="S544" s="184" t="str">
        <f t="shared" si="149"/>
        <v/>
      </c>
      <c r="T544" s="185" t="str">
        <f t="shared" si="138"/>
        <v/>
      </c>
      <c r="U544" s="183" t="str">
        <f t="shared" si="150"/>
        <v/>
      </c>
      <c r="V544" s="186" t="str">
        <f t="shared" si="139"/>
        <v/>
      </c>
      <c r="W544" s="186" t="str">
        <f t="shared" si="140"/>
        <v/>
      </c>
      <c r="X544" s="187" t="str">
        <f t="shared" si="141"/>
        <v/>
      </c>
      <c r="Y544" s="182" t="str">
        <f t="shared" si="151"/>
        <v/>
      </c>
      <c r="Z544" s="209" t="str">
        <f t="shared" si="142"/>
        <v/>
      </c>
      <c r="AA544" s="209" t="str">
        <f t="shared" si="143"/>
        <v/>
      </c>
      <c r="AB544" s="200"/>
      <c r="AC544" s="192"/>
    </row>
    <row r="545" spans="1:29" ht="11.4">
      <c r="A545" s="211" t="str">
        <f t="shared" si="144"/>
        <v/>
      </c>
      <c r="B545" s="211"/>
      <c r="C545" s="215"/>
      <c r="D545" s="213" t="str">
        <f t="shared" si="145"/>
        <v/>
      </c>
      <c r="E545" s="213" t="str">
        <f t="shared" si="153"/>
        <v/>
      </c>
      <c r="F545" s="214" t="str">
        <f t="shared" si="146"/>
        <v/>
      </c>
      <c r="G545" s="180"/>
      <c r="H545" s="181" t="str">
        <f t="shared" si="147"/>
        <v/>
      </c>
      <c r="I545" s="227"/>
      <c r="J545" s="227"/>
      <c r="K545" s="227"/>
      <c r="L545" s="227"/>
      <c r="M545" s="210" t="str">
        <f t="shared" si="152"/>
        <v/>
      </c>
      <c r="N545" s="210"/>
      <c r="O545" s="207"/>
      <c r="P545" s="182" t="str">
        <f t="shared" si="137"/>
        <v/>
      </c>
      <c r="Q545" s="183" t="str">
        <f t="shared" si="148"/>
        <v/>
      </c>
      <c r="R545" s="182" t="str">
        <f>IF(M545&lt;&gt;"",IF(#REF!*F545*10=0,"",#REF!*F545*10),"")</f>
        <v/>
      </c>
      <c r="S545" s="184" t="str">
        <f t="shared" si="149"/>
        <v/>
      </c>
      <c r="T545" s="185" t="str">
        <f t="shared" si="138"/>
        <v/>
      </c>
      <c r="U545" s="183" t="str">
        <f t="shared" si="150"/>
        <v/>
      </c>
      <c r="V545" s="186" t="str">
        <f t="shared" si="139"/>
        <v/>
      </c>
      <c r="W545" s="186" t="str">
        <f t="shared" si="140"/>
        <v/>
      </c>
      <c r="X545" s="187" t="str">
        <f t="shared" si="141"/>
        <v/>
      </c>
      <c r="Y545" s="182" t="str">
        <f t="shared" si="151"/>
        <v/>
      </c>
      <c r="Z545" s="209" t="str">
        <f t="shared" si="142"/>
        <v/>
      </c>
      <c r="AA545" s="209" t="str">
        <f t="shared" si="143"/>
        <v/>
      </c>
      <c r="AB545" s="200"/>
      <c r="AC545" s="192"/>
    </row>
    <row r="546" spans="1:29" ht="11.4">
      <c r="A546" s="211" t="str">
        <f t="shared" si="144"/>
        <v/>
      </c>
      <c r="B546" s="211"/>
      <c r="C546" s="215"/>
      <c r="D546" s="213" t="str">
        <f t="shared" si="145"/>
        <v/>
      </c>
      <c r="E546" s="213" t="str">
        <f t="shared" si="153"/>
        <v/>
      </c>
      <c r="F546" s="214" t="str">
        <f t="shared" si="146"/>
        <v/>
      </c>
      <c r="G546" s="180"/>
      <c r="H546" s="181" t="str">
        <f t="shared" si="147"/>
        <v/>
      </c>
      <c r="I546" s="227"/>
      <c r="J546" s="227"/>
      <c r="K546" s="227"/>
      <c r="L546" s="227"/>
      <c r="M546" s="210" t="str">
        <f t="shared" si="152"/>
        <v/>
      </c>
      <c r="N546" s="210"/>
      <c r="O546" s="207"/>
      <c r="P546" s="182" t="str">
        <f t="shared" si="137"/>
        <v/>
      </c>
      <c r="Q546" s="183" t="str">
        <f t="shared" si="148"/>
        <v/>
      </c>
      <c r="R546" s="182" t="str">
        <f>IF(M546&lt;&gt;"",IF(#REF!*F546*10=0,"",#REF!*F546*10),"")</f>
        <v/>
      </c>
      <c r="S546" s="184" t="str">
        <f t="shared" si="149"/>
        <v/>
      </c>
      <c r="T546" s="185" t="str">
        <f t="shared" si="138"/>
        <v/>
      </c>
      <c r="U546" s="183" t="str">
        <f t="shared" si="150"/>
        <v/>
      </c>
      <c r="V546" s="186" t="str">
        <f t="shared" si="139"/>
        <v/>
      </c>
      <c r="W546" s="186" t="str">
        <f t="shared" si="140"/>
        <v/>
      </c>
      <c r="X546" s="187" t="str">
        <f t="shared" si="141"/>
        <v/>
      </c>
      <c r="Y546" s="182" t="str">
        <f t="shared" si="151"/>
        <v/>
      </c>
      <c r="Z546" s="209" t="str">
        <f t="shared" si="142"/>
        <v/>
      </c>
      <c r="AA546" s="209" t="str">
        <f t="shared" si="143"/>
        <v/>
      </c>
      <c r="AB546" s="200"/>
      <c r="AC546" s="192"/>
    </row>
    <row r="547" spans="1:29" ht="11.4">
      <c r="A547" s="211" t="str">
        <f t="shared" si="144"/>
        <v/>
      </c>
      <c r="B547" s="211"/>
      <c r="C547" s="215"/>
      <c r="D547" s="213" t="str">
        <f t="shared" si="145"/>
        <v/>
      </c>
      <c r="E547" s="213" t="str">
        <f t="shared" si="153"/>
        <v/>
      </c>
      <c r="F547" s="214" t="str">
        <f t="shared" si="146"/>
        <v/>
      </c>
      <c r="G547" s="180"/>
      <c r="H547" s="181" t="str">
        <f t="shared" si="147"/>
        <v/>
      </c>
      <c r="I547" s="227"/>
      <c r="J547" s="227"/>
      <c r="K547" s="227"/>
      <c r="L547" s="227"/>
      <c r="M547" s="210" t="str">
        <f t="shared" si="152"/>
        <v/>
      </c>
      <c r="N547" s="210"/>
      <c r="O547" s="207"/>
      <c r="P547" s="182" t="str">
        <f t="shared" si="137"/>
        <v/>
      </c>
      <c r="Q547" s="183" t="str">
        <f t="shared" si="148"/>
        <v/>
      </c>
      <c r="R547" s="182" t="str">
        <f>IF(M547&lt;&gt;"",IF(#REF!*F547*10=0,"",#REF!*F547*10),"")</f>
        <v/>
      </c>
      <c r="S547" s="184" t="str">
        <f t="shared" si="149"/>
        <v/>
      </c>
      <c r="T547" s="185" t="str">
        <f t="shared" si="138"/>
        <v/>
      </c>
      <c r="U547" s="183" t="str">
        <f t="shared" si="150"/>
        <v/>
      </c>
      <c r="V547" s="186" t="str">
        <f t="shared" si="139"/>
        <v/>
      </c>
      <c r="W547" s="186" t="str">
        <f t="shared" si="140"/>
        <v/>
      </c>
      <c r="X547" s="187" t="str">
        <f t="shared" si="141"/>
        <v/>
      </c>
      <c r="Y547" s="182" t="str">
        <f t="shared" si="151"/>
        <v/>
      </c>
      <c r="Z547" s="209" t="str">
        <f t="shared" si="142"/>
        <v/>
      </c>
      <c r="AA547" s="209" t="str">
        <f t="shared" si="143"/>
        <v/>
      </c>
      <c r="AB547" s="200"/>
      <c r="AC547" s="192"/>
    </row>
    <row r="548" spans="1:29" ht="11.4">
      <c r="A548" s="211" t="str">
        <f t="shared" si="144"/>
        <v/>
      </c>
      <c r="B548" s="211"/>
      <c r="C548" s="215"/>
      <c r="D548" s="213" t="str">
        <f t="shared" si="145"/>
        <v/>
      </c>
      <c r="E548" s="213" t="str">
        <f t="shared" si="153"/>
        <v/>
      </c>
      <c r="F548" s="214" t="str">
        <f t="shared" si="146"/>
        <v/>
      </c>
      <c r="G548" s="180"/>
      <c r="H548" s="181" t="str">
        <f t="shared" si="147"/>
        <v/>
      </c>
      <c r="I548" s="227"/>
      <c r="J548" s="227"/>
      <c r="K548" s="227"/>
      <c r="L548" s="227"/>
      <c r="M548" s="210" t="str">
        <f t="shared" si="152"/>
        <v/>
      </c>
      <c r="N548" s="210"/>
      <c r="O548" s="207"/>
      <c r="P548" s="182" t="str">
        <f t="shared" si="137"/>
        <v/>
      </c>
      <c r="Q548" s="183" t="str">
        <f t="shared" si="148"/>
        <v/>
      </c>
      <c r="R548" s="182" t="str">
        <f>IF(M548&lt;&gt;"",IF(#REF!*F548*10=0,"",#REF!*F548*10),"")</f>
        <v/>
      </c>
      <c r="S548" s="184" t="str">
        <f t="shared" si="149"/>
        <v/>
      </c>
      <c r="T548" s="185" t="str">
        <f t="shared" si="138"/>
        <v/>
      </c>
      <c r="U548" s="183" t="str">
        <f t="shared" si="150"/>
        <v/>
      </c>
      <c r="V548" s="186" t="str">
        <f t="shared" si="139"/>
        <v/>
      </c>
      <c r="W548" s="186" t="str">
        <f t="shared" si="140"/>
        <v/>
      </c>
      <c r="X548" s="187" t="str">
        <f t="shared" si="141"/>
        <v/>
      </c>
      <c r="Y548" s="182" t="str">
        <f t="shared" si="151"/>
        <v/>
      </c>
      <c r="Z548" s="209" t="str">
        <f t="shared" si="142"/>
        <v/>
      </c>
      <c r="AA548" s="209" t="str">
        <f t="shared" si="143"/>
        <v/>
      </c>
      <c r="AB548" s="200"/>
      <c r="AC548" s="192"/>
    </row>
    <row r="549" spans="1:29" ht="11.4">
      <c r="A549" s="211" t="str">
        <f t="shared" si="144"/>
        <v/>
      </c>
      <c r="B549" s="211"/>
      <c r="C549" s="215"/>
      <c r="D549" s="213" t="str">
        <f t="shared" si="145"/>
        <v/>
      </c>
      <c r="E549" s="213" t="str">
        <f t="shared" si="153"/>
        <v/>
      </c>
      <c r="F549" s="214" t="str">
        <f t="shared" si="146"/>
        <v/>
      </c>
      <c r="G549" s="180"/>
      <c r="H549" s="181" t="str">
        <f t="shared" si="147"/>
        <v/>
      </c>
      <c r="I549" s="227"/>
      <c r="J549" s="227"/>
      <c r="K549" s="227"/>
      <c r="L549" s="227"/>
      <c r="M549" s="210" t="str">
        <f t="shared" si="152"/>
        <v/>
      </c>
      <c r="N549" s="210"/>
      <c r="O549" s="207"/>
      <c r="P549" s="182" t="str">
        <f t="shared" si="137"/>
        <v/>
      </c>
      <c r="Q549" s="183" t="str">
        <f t="shared" si="148"/>
        <v/>
      </c>
      <c r="R549" s="182" t="str">
        <f>IF(M549&lt;&gt;"",IF(#REF!*F549*10=0,"",#REF!*F549*10),"")</f>
        <v/>
      </c>
      <c r="S549" s="184" t="str">
        <f t="shared" si="149"/>
        <v/>
      </c>
      <c r="T549" s="185" t="str">
        <f t="shared" si="138"/>
        <v/>
      </c>
      <c r="U549" s="183" t="str">
        <f t="shared" si="150"/>
        <v/>
      </c>
      <c r="V549" s="186" t="str">
        <f t="shared" si="139"/>
        <v/>
      </c>
      <c r="W549" s="186" t="str">
        <f t="shared" si="140"/>
        <v/>
      </c>
      <c r="X549" s="187" t="str">
        <f t="shared" si="141"/>
        <v/>
      </c>
      <c r="Y549" s="182" t="str">
        <f t="shared" si="151"/>
        <v/>
      </c>
      <c r="Z549" s="209" t="str">
        <f t="shared" si="142"/>
        <v/>
      </c>
      <c r="AA549" s="209" t="str">
        <f t="shared" si="143"/>
        <v/>
      </c>
      <c r="AB549" s="200"/>
      <c r="AC549" s="192"/>
    </row>
    <row r="550" spans="1:29" ht="11.4">
      <c r="A550" s="211" t="str">
        <f t="shared" si="144"/>
        <v/>
      </c>
      <c r="B550" s="211"/>
      <c r="C550" s="215"/>
      <c r="D550" s="213" t="str">
        <f t="shared" si="145"/>
        <v/>
      </c>
      <c r="E550" s="213" t="str">
        <f t="shared" si="153"/>
        <v/>
      </c>
      <c r="F550" s="214" t="str">
        <f t="shared" si="146"/>
        <v/>
      </c>
      <c r="G550" s="180"/>
      <c r="H550" s="181" t="str">
        <f t="shared" si="147"/>
        <v/>
      </c>
      <c r="I550" s="227"/>
      <c r="J550" s="227"/>
      <c r="K550" s="227"/>
      <c r="L550" s="227"/>
      <c r="M550" s="210" t="str">
        <f t="shared" si="152"/>
        <v/>
      </c>
      <c r="N550" s="210"/>
      <c r="O550" s="207"/>
      <c r="P550" s="182" t="str">
        <f t="shared" si="137"/>
        <v/>
      </c>
      <c r="Q550" s="183" t="str">
        <f t="shared" si="148"/>
        <v/>
      </c>
      <c r="R550" s="182" t="str">
        <f>IF(M550&lt;&gt;"",IF(#REF!*F550*10=0,"",#REF!*F550*10),"")</f>
        <v/>
      </c>
      <c r="S550" s="184" t="str">
        <f t="shared" si="149"/>
        <v/>
      </c>
      <c r="T550" s="185" t="str">
        <f t="shared" si="138"/>
        <v/>
      </c>
      <c r="U550" s="183" t="str">
        <f t="shared" si="150"/>
        <v/>
      </c>
      <c r="V550" s="186" t="str">
        <f t="shared" si="139"/>
        <v/>
      </c>
      <c r="W550" s="186" t="str">
        <f t="shared" si="140"/>
        <v/>
      </c>
      <c r="X550" s="187" t="str">
        <f t="shared" si="141"/>
        <v/>
      </c>
      <c r="Y550" s="182" t="str">
        <f t="shared" si="151"/>
        <v/>
      </c>
      <c r="Z550" s="209" t="str">
        <f t="shared" si="142"/>
        <v/>
      </c>
      <c r="AA550" s="209" t="str">
        <f t="shared" si="143"/>
        <v/>
      </c>
      <c r="AB550" s="200"/>
      <c r="AC550" s="192"/>
    </row>
    <row r="551" spans="1:29" ht="11.4">
      <c r="A551" s="211" t="str">
        <f t="shared" si="144"/>
        <v/>
      </c>
      <c r="B551" s="211"/>
      <c r="C551" s="215"/>
      <c r="D551" s="213" t="str">
        <f t="shared" si="145"/>
        <v/>
      </c>
      <c r="E551" s="213" t="str">
        <f t="shared" si="153"/>
        <v/>
      </c>
      <c r="F551" s="214" t="str">
        <f t="shared" si="146"/>
        <v/>
      </c>
      <c r="G551" s="180"/>
      <c r="H551" s="181" t="str">
        <f t="shared" si="147"/>
        <v/>
      </c>
      <c r="I551" s="227"/>
      <c r="J551" s="227"/>
      <c r="K551" s="227"/>
      <c r="L551" s="227"/>
      <c r="M551" s="210" t="str">
        <f t="shared" si="152"/>
        <v/>
      </c>
      <c r="N551" s="210"/>
      <c r="O551" s="207"/>
      <c r="P551" s="182" t="str">
        <f t="shared" si="137"/>
        <v/>
      </c>
      <c r="Q551" s="183" t="str">
        <f t="shared" si="148"/>
        <v/>
      </c>
      <c r="R551" s="182" t="str">
        <f>IF(M551&lt;&gt;"",IF(#REF!*F551*10=0,"",#REF!*F551*10),"")</f>
        <v/>
      </c>
      <c r="S551" s="184" t="str">
        <f t="shared" si="149"/>
        <v/>
      </c>
      <c r="T551" s="185" t="str">
        <f t="shared" si="138"/>
        <v/>
      </c>
      <c r="U551" s="183" t="str">
        <f t="shared" si="150"/>
        <v/>
      </c>
      <c r="V551" s="186" t="str">
        <f t="shared" si="139"/>
        <v/>
      </c>
      <c r="W551" s="186" t="str">
        <f t="shared" si="140"/>
        <v/>
      </c>
      <c r="X551" s="187" t="str">
        <f t="shared" si="141"/>
        <v/>
      </c>
      <c r="Y551" s="182" t="str">
        <f t="shared" si="151"/>
        <v/>
      </c>
      <c r="Z551" s="209" t="str">
        <f t="shared" si="142"/>
        <v/>
      </c>
      <c r="AA551" s="209" t="str">
        <f t="shared" si="143"/>
        <v/>
      </c>
      <c r="AB551" s="200"/>
      <c r="AC551" s="192"/>
    </row>
    <row r="552" spans="1:29" ht="11.4">
      <c r="A552" s="211" t="str">
        <f t="shared" si="144"/>
        <v/>
      </c>
      <c r="B552" s="211"/>
      <c r="C552" s="215"/>
      <c r="D552" s="213" t="str">
        <f t="shared" si="145"/>
        <v/>
      </c>
      <c r="E552" s="213" t="str">
        <f t="shared" si="153"/>
        <v/>
      </c>
      <c r="F552" s="214" t="str">
        <f t="shared" si="146"/>
        <v/>
      </c>
      <c r="G552" s="180"/>
      <c r="H552" s="181" t="str">
        <f t="shared" si="147"/>
        <v/>
      </c>
      <c r="I552" s="227"/>
      <c r="J552" s="227"/>
      <c r="K552" s="227"/>
      <c r="L552" s="227"/>
      <c r="M552" s="210" t="str">
        <f t="shared" si="152"/>
        <v/>
      </c>
      <c r="N552" s="210"/>
      <c r="O552" s="207"/>
      <c r="P552" s="182" t="str">
        <f t="shared" si="137"/>
        <v/>
      </c>
      <c r="Q552" s="183" t="str">
        <f t="shared" si="148"/>
        <v/>
      </c>
      <c r="R552" s="182" t="str">
        <f>IF(M552&lt;&gt;"",IF(#REF!*F552*10=0,"",#REF!*F552*10),"")</f>
        <v/>
      </c>
      <c r="S552" s="184" t="str">
        <f t="shared" si="149"/>
        <v/>
      </c>
      <c r="T552" s="185" t="str">
        <f t="shared" si="138"/>
        <v/>
      </c>
      <c r="U552" s="183" t="str">
        <f t="shared" si="150"/>
        <v/>
      </c>
      <c r="V552" s="186" t="str">
        <f t="shared" si="139"/>
        <v/>
      </c>
      <c r="W552" s="186" t="str">
        <f t="shared" si="140"/>
        <v/>
      </c>
      <c r="X552" s="187" t="str">
        <f t="shared" si="141"/>
        <v/>
      </c>
      <c r="Y552" s="182" t="str">
        <f t="shared" si="151"/>
        <v/>
      </c>
      <c r="Z552" s="209" t="str">
        <f t="shared" si="142"/>
        <v/>
      </c>
      <c r="AA552" s="209" t="str">
        <f t="shared" si="143"/>
        <v/>
      </c>
      <c r="AB552" s="200"/>
      <c r="AC552" s="192"/>
    </row>
    <row r="553" spans="1:29" ht="11.4">
      <c r="A553" s="211" t="str">
        <f t="shared" si="144"/>
        <v/>
      </c>
      <c r="B553" s="211"/>
      <c r="C553" s="215"/>
      <c r="D553" s="213" t="str">
        <f t="shared" si="145"/>
        <v/>
      </c>
      <c r="E553" s="213" t="str">
        <f t="shared" si="153"/>
        <v/>
      </c>
      <c r="F553" s="214" t="str">
        <f t="shared" si="146"/>
        <v/>
      </c>
      <c r="G553" s="180"/>
      <c r="H553" s="181" t="str">
        <f t="shared" si="147"/>
        <v/>
      </c>
      <c r="I553" s="227"/>
      <c r="J553" s="227"/>
      <c r="K553" s="227"/>
      <c r="L553" s="227"/>
      <c r="M553" s="210" t="str">
        <f t="shared" si="152"/>
        <v/>
      </c>
      <c r="N553" s="210"/>
      <c r="O553" s="207"/>
      <c r="P553" s="182" t="str">
        <f t="shared" si="137"/>
        <v/>
      </c>
      <c r="Q553" s="183" t="str">
        <f t="shared" si="148"/>
        <v/>
      </c>
      <c r="R553" s="182" t="str">
        <f>IF(M553&lt;&gt;"",IF(#REF!*F553*10=0,"",#REF!*F553*10),"")</f>
        <v/>
      </c>
      <c r="S553" s="184" t="str">
        <f t="shared" si="149"/>
        <v/>
      </c>
      <c r="T553" s="185" t="str">
        <f t="shared" si="138"/>
        <v/>
      </c>
      <c r="U553" s="183" t="str">
        <f t="shared" si="150"/>
        <v/>
      </c>
      <c r="V553" s="186" t="str">
        <f t="shared" si="139"/>
        <v/>
      </c>
      <c r="W553" s="186" t="str">
        <f t="shared" si="140"/>
        <v/>
      </c>
      <c r="X553" s="187" t="str">
        <f t="shared" si="141"/>
        <v/>
      </c>
      <c r="Y553" s="182" t="str">
        <f t="shared" si="151"/>
        <v/>
      </c>
      <c r="Z553" s="209" t="str">
        <f t="shared" si="142"/>
        <v/>
      </c>
      <c r="AA553" s="209" t="str">
        <f t="shared" si="143"/>
        <v/>
      </c>
      <c r="AB553" s="200"/>
      <c r="AC553" s="192"/>
    </row>
    <row r="554" spans="1:29" ht="11.4">
      <c r="A554" s="211" t="str">
        <f t="shared" si="144"/>
        <v/>
      </c>
      <c r="B554" s="211"/>
      <c r="C554" s="215"/>
      <c r="D554" s="213" t="str">
        <f t="shared" si="145"/>
        <v/>
      </c>
      <c r="E554" s="213" t="str">
        <f t="shared" si="153"/>
        <v/>
      </c>
      <c r="F554" s="214" t="str">
        <f t="shared" si="146"/>
        <v/>
      </c>
      <c r="G554" s="180"/>
      <c r="H554" s="181" t="str">
        <f t="shared" si="147"/>
        <v/>
      </c>
      <c r="I554" s="227"/>
      <c r="J554" s="227"/>
      <c r="K554" s="227"/>
      <c r="L554" s="227"/>
      <c r="M554" s="210" t="str">
        <f t="shared" si="152"/>
        <v/>
      </c>
      <c r="N554" s="210"/>
      <c r="O554" s="207"/>
      <c r="P554" s="182" t="str">
        <f t="shared" si="137"/>
        <v/>
      </c>
      <c r="Q554" s="183" t="str">
        <f t="shared" si="148"/>
        <v/>
      </c>
      <c r="R554" s="182" t="str">
        <f>IF(M554&lt;&gt;"",IF(#REF!*F554*10=0,"",#REF!*F554*10),"")</f>
        <v/>
      </c>
      <c r="S554" s="184" t="str">
        <f t="shared" si="149"/>
        <v/>
      </c>
      <c r="T554" s="185" t="str">
        <f t="shared" si="138"/>
        <v/>
      </c>
      <c r="U554" s="183" t="str">
        <f t="shared" si="150"/>
        <v/>
      </c>
      <c r="V554" s="186" t="str">
        <f t="shared" si="139"/>
        <v/>
      </c>
      <c r="W554" s="186" t="str">
        <f t="shared" si="140"/>
        <v/>
      </c>
      <c r="X554" s="187" t="str">
        <f t="shared" si="141"/>
        <v/>
      </c>
      <c r="Y554" s="182" t="str">
        <f t="shared" si="151"/>
        <v/>
      </c>
      <c r="Z554" s="209" t="str">
        <f t="shared" si="142"/>
        <v/>
      </c>
      <c r="AA554" s="209" t="str">
        <f t="shared" si="143"/>
        <v/>
      </c>
      <c r="AB554" s="200"/>
      <c r="AC554" s="192"/>
    </row>
    <row r="555" spans="1:29" ht="11.4">
      <c r="A555" s="211" t="str">
        <f t="shared" si="144"/>
        <v/>
      </c>
      <c r="B555" s="211"/>
      <c r="C555" s="215"/>
      <c r="D555" s="213" t="str">
        <f t="shared" si="145"/>
        <v/>
      </c>
      <c r="E555" s="213" t="str">
        <f t="shared" si="153"/>
        <v/>
      </c>
      <c r="F555" s="214" t="str">
        <f t="shared" si="146"/>
        <v/>
      </c>
      <c r="G555" s="180"/>
      <c r="H555" s="181" t="str">
        <f t="shared" si="147"/>
        <v/>
      </c>
      <c r="I555" s="227"/>
      <c r="J555" s="227"/>
      <c r="K555" s="227"/>
      <c r="L555" s="227"/>
      <c r="M555" s="210" t="str">
        <f t="shared" si="152"/>
        <v/>
      </c>
      <c r="N555" s="210"/>
      <c r="O555" s="207"/>
      <c r="P555" s="182" t="str">
        <f t="shared" si="137"/>
        <v/>
      </c>
      <c r="Q555" s="183" t="str">
        <f t="shared" si="148"/>
        <v/>
      </c>
      <c r="R555" s="182" t="str">
        <f>IF(M555&lt;&gt;"",IF(#REF!*F555*10=0,"",#REF!*F555*10),"")</f>
        <v/>
      </c>
      <c r="S555" s="184" t="str">
        <f t="shared" si="149"/>
        <v/>
      </c>
      <c r="T555" s="185" t="str">
        <f t="shared" si="138"/>
        <v/>
      </c>
      <c r="U555" s="183" t="str">
        <f t="shared" si="150"/>
        <v/>
      </c>
      <c r="V555" s="186" t="str">
        <f t="shared" si="139"/>
        <v/>
      </c>
      <c r="W555" s="186" t="str">
        <f t="shared" si="140"/>
        <v/>
      </c>
      <c r="X555" s="187" t="str">
        <f t="shared" si="141"/>
        <v/>
      </c>
      <c r="Y555" s="182" t="str">
        <f t="shared" si="151"/>
        <v/>
      </c>
      <c r="Z555" s="209" t="str">
        <f t="shared" si="142"/>
        <v/>
      </c>
      <c r="AA555" s="209" t="str">
        <f t="shared" si="143"/>
        <v/>
      </c>
      <c r="AB555" s="200"/>
      <c r="AC555" s="192"/>
    </row>
    <row r="556" spans="1:29" ht="11.4">
      <c r="A556" s="211" t="str">
        <f t="shared" si="144"/>
        <v/>
      </c>
      <c r="B556" s="211"/>
      <c r="C556" s="215"/>
      <c r="D556" s="213" t="str">
        <f t="shared" si="145"/>
        <v/>
      </c>
      <c r="E556" s="213" t="str">
        <f t="shared" si="153"/>
        <v/>
      </c>
      <c r="F556" s="214" t="str">
        <f t="shared" si="146"/>
        <v/>
      </c>
      <c r="G556" s="180"/>
      <c r="H556" s="181" t="str">
        <f t="shared" si="147"/>
        <v/>
      </c>
      <c r="I556" s="227"/>
      <c r="J556" s="227"/>
      <c r="K556" s="227"/>
      <c r="L556" s="227"/>
      <c r="M556" s="210" t="str">
        <f t="shared" si="152"/>
        <v/>
      </c>
      <c r="N556" s="210"/>
      <c r="O556" s="207"/>
      <c r="P556" s="182" t="str">
        <f t="shared" si="137"/>
        <v/>
      </c>
      <c r="Q556" s="183" t="str">
        <f t="shared" si="148"/>
        <v/>
      </c>
      <c r="R556" s="182" t="str">
        <f>IF(M556&lt;&gt;"",IF(#REF!*F556*10=0,"",#REF!*F556*10),"")</f>
        <v/>
      </c>
      <c r="S556" s="184" t="str">
        <f t="shared" si="149"/>
        <v/>
      </c>
      <c r="T556" s="185" t="str">
        <f t="shared" si="138"/>
        <v/>
      </c>
      <c r="U556" s="183" t="str">
        <f t="shared" si="150"/>
        <v/>
      </c>
      <c r="V556" s="186" t="str">
        <f t="shared" si="139"/>
        <v/>
      </c>
      <c r="W556" s="186" t="str">
        <f t="shared" si="140"/>
        <v/>
      </c>
      <c r="X556" s="187" t="str">
        <f t="shared" si="141"/>
        <v/>
      </c>
      <c r="Y556" s="182" t="str">
        <f t="shared" si="151"/>
        <v/>
      </c>
      <c r="Z556" s="209" t="str">
        <f t="shared" si="142"/>
        <v/>
      </c>
      <c r="AA556" s="209" t="str">
        <f t="shared" si="143"/>
        <v/>
      </c>
      <c r="AB556" s="200"/>
      <c r="AC556" s="192"/>
    </row>
    <row r="557" spans="1:29" ht="11.4">
      <c r="A557" s="211" t="str">
        <f t="shared" si="144"/>
        <v/>
      </c>
      <c r="B557" s="211"/>
      <c r="C557" s="215"/>
      <c r="D557" s="213" t="str">
        <f t="shared" si="145"/>
        <v/>
      </c>
      <c r="E557" s="213" t="str">
        <f t="shared" si="153"/>
        <v/>
      </c>
      <c r="F557" s="214" t="str">
        <f t="shared" si="146"/>
        <v/>
      </c>
      <c r="G557" s="180"/>
      <c r="H557" s="181" t="str">
        <f t="shared" si="147"/>
        <v/>
      </c>
      <c r="I557" s="227"/>
      <c r="J557" s="227"/>
      <c r="K557" s="227"/>
      <c r="L557" s="227"/>
      <c r="M557" s="210" t="str">
        <f t="shared" si="152"/>
        <v/>
      </c>
      <c r="N557" s="210"/>
      <c r="O557" s="207"/>
      <c r="P557" s="182" t="str">
        <f t="shared" si="137"/>
        <v/>
      </c>
      <c r="Q557" s="183" t="str">
        <f t="shared" si="148"/>
        <v/>
      </c>
      <c r="R557" s="182" t="str">
        <f>IF(M557&lt;&gt;"",IF(#REF!*F557*10=0,"",#REF!*F557*10),"")</f>
        <v/>
      </c>
      <c r="S557" s="184" t="str">
        <f t="shared" si="149"/>
        <v/>
      </c>
      <c r="T557" s="185" t="str">
        <f t="shared" si="138"/>
        <v/>
      </c>
      <c r="U557" s="183" t="str">
        <f t="shared" si="150"/>
        <v/>
      </c>
      <c r="V557" s="186" t="str">
        <f t="shared" si="139"/>
        <v/>
      </c>
      <c r="W557" s="186" t="str">
        <f t="shared" si="140"/>
        <v/>
      </c>
      <c r="X557" s="187" t="str">
        <f t="shared" si="141"/>
        <v/>
      </c>
      <c r="Y557" s="182" t="str">
        <f t="shared" si="151"/>
        <v/>
      </c>
      <c r="Z557" s="209" t="str">
        <f t="shared" si="142"/>
        <v/>
      </c>
      <c r="AA557" s="209" t="str">
        <f t="shared" si="143"/>
        <v/>
      </c>
      <c r="AB557" s="200"/>
      <c r="AC557" s="192"/>
    </row>
    <row r="558" spans="1:29" ht="11.4">
      <c r="A558" s="211" t="str">
        <f t="shared" si="144"/>
        <v/>
      </c>
      <c r="B558" s="211"/>
      <c r="C558" s="215"/>
      <c r="D558" s="213" t="str">
        <f t="shared" si="145"/>
        <v/>
      </c>
      <c r="E558" s="213" t="str">
        <f t="shared" si="153"/>
        <v/>
      </c>
      <c r="F558" s="214" t="str">
        <f t="shared" si="146"/>
        <v/>
      </c>
      <c r="G558" s="180"/>
      <c r="H558" s="181" t="str">
        <f t="shared" si="147"/>
        <v/>
      </c>
      <c r="I558" s="227"/>
      <c r="J558" s="227"/>
      <c r="K558" s="227"/>
      <c r="L558" s="227"/>
      <c r="M558" s="210" t="str">
        <f t="shared" si="152"/>
        <v/>
      </c>
      <c r="N558" s="210"/>
      <c r="O558" s="207"/>
      <c r="P558" s="182" t="str">
        <f t="shared" si="137"/>
        <v/>
      </c>
      <c r="Q558" s="183" t="str">
        <f t="shared" si="148"/>
        <v/>
      </c>
      <c r="R558" s="182" t="str">
        <f>IF(M558&lt;&gt;"",IF(#REF!*F558*10=0,"",#REF!*F558*10),"")</f>
        <v/>
      </c>
      <c r="S558" s="184" t="str">
        <f t="shared" si="149"/>
        <v/>
      </c>
      <c r="T558" s="185" t="str">
        <f t="shared" si="138"/>
        <v/>
      </c>
      <c r="U558" s="183" t="str">
        <f t="shared" si="150"/>
        <v/>
      </c>
      <c r="V558" s="186" t="str">
        <f t="shared" si="139"/>
        <v/>
      </c>
      <c r="W558" s="186" t="str">
        <f t="shared" si="140"/>
        <v/>
      </c>
      <c r="X558" s="187" t="str">
        <f t="shared" si="141"/>
        <v/>
      </c>
      <c r="Y558" s="182" t="str">
        <f t="shared" si="151"/>
        <v/>
      </c>
      <c r="Z558" s="209" t="str">
        <f t="shared" si="142"/>
        <v/>
      </c>
      <c r="AA558" s="209" t="str">
        <f t="shared" si="143"/>
        <v/>
      </c>
      <c r="AB558" s="200"/>
      <c r="AC558" s="192"/>
    </row>
    <row r="559" spans="1:29" ht="11.4">
      <c r="A559" s="211" t="str">
        <f t="shared" si="144"/>
        <v/>
      </c>
      <c r="B559" s="211"/>
      <c r="C559" s="215"/>
      <c r="D559" s="213" t="str">
        <f t="shared" si="145"/>
        <v/>
      </c>
      <c r="E559" s="213" t="str">
        <f t="shared" si="153"/>
        <v/>
      </c>
      <c r="F559" s="214" t="str">
        <f t="shared" si="146"/>
        <v/>
      </c>
      <c r="G559" s="180"/>
      <c r="H559" s="181" t="str">
        <f t="shared" si="147"/>
        <v/>
      </c>
      <c r="I559" s="227"/>
      <c r="J559" s="227"/>
      <c r="K559" s="227"/>
      <c r="L559" s="227"/>
      <c r="M559" s="210" t="str">
        <f t="shared" si="152"/>
        <v/>
      </c>
      <c r="N559" s="210"/>
      <c r="O559" s="207"/>
      <c r="P559" s="182" t="str">
        <f t="shared" si="137"/>
        <v/>
      </c>
      <c r="Q559" s="183" t="str">
        <f t="shared" si="148"/>
        <v/>
      </c>
      <c r="R559" s="182" t="str">
        <f>IF(M559&lt;&gt;"",IF(#REF!*F559*10=0,"",#REF!*F559*10),"")</f>
        <v/>
      </c>
      <c r="S559" s="184" t="str">
        <f t="shared" si="149"/>
        <v/>
      </c>
      <c r="T559" s="185" t="str">
        <f t="shared" si="138"/>
        <v/>
      </c>
      <c r="U559" s="183" t="str">
        <f t="shared" si="150"/>
        <v/>
      </c>
      <c r="V559" s="186" t="str">
        <f t="shared" si="139"/>
        <v/>
      </c>
      <c r="W559" s="186" t="str">
        <f t="shared" si="140"/>
        <v/>
      </c>
      <c r="X559" s="187" t="str">
        <f t="shared" si="141"/>
        <v/>
      </c>
      <c r="Y559" s="182" t="str">
        <f t="shared" si="151"/>
        <v/>
      </c>
      <c r="Z559" s="209" t="str">
        <f t="shared" si="142"/>
        <v/>
      </c>
      <c r="AA559" s="209" t="str">
        <f t="shared" si="143"/>
        <v/>
      </c>
      <c r="AB559" s="200"/>
      <c r="AC559" s="192"/>
    </row>
    <row r="560" spans="1:29" ht="11.4">
      <c r="A560" s="211" t="str">
        <f t="shared" si="144"/>
        <v/>
      </c>
      <c r="B560" s="211"/>
      <c r="C560" s="215"/>
      <c r="D560" s="213" t="str">
        <f t="shared" si="145"/>
        <v/>
      </c>
      <c r="E560" s="213" t="str">
        <f t="shared" si="153"/>
        <v/>
      </c>
      <c r="F560" s="214" t="str">
        <f t="shared" si="146"/>
        <v/>
      </c>
      <c r="G560" s="180"/>
      <c r="H560" s="181" t="str">
        <f t="shared" si="147"/>
        <v/>
      </c>
      <c r="I560" s="227"/>
      <c r="J560" s="227"/>
      <c r="K560" s="227"/>
      <c r="L560" s="227"/>
      <c r="M560" s="210" t="str">
        <f t="shared" si="152"/>
        <v/>
      </c>
      <c r="N560" s="210"/>
      <c r="O560" s="207"/>
      <c r="P560" s="182" t="str">
        <f t="shared" si="137"/>
        <v/>
      </c>
      <c r="Q560" s="183" t="str">
        <f t="shared" si="148"/>
        <v/>
      </c>
      <c r="R560" s="182" t="str">
        <f>IF(M560&lt;&gt;"",IF(#REF!*F560*10=0,"",#REF!*F560*10),"")</f>
        <v/>
      </c>
      <c r="S560" s="184" t="str">
        <f t="shared" si="149"/>
        <v/>
      </c>
      <c r="T560" s="185" t="str">
        <f t="shared" si="138"/>
        <v/>
      </c>
      <c r="U560" s="183" t="str">
        <f t="shared" si="150"/>
        <v/>
      </c>
      <c r="V560" s="186" t="str">
        <f t="shared" si="139"/>
        <v/>
      </c>
      <c r="W560" s="186" t="str">
        <f t="shared" si="140"/>
        <v/>
      </c>
      <c r="X560" s="187" t="str">
        <f t="shared" si="141"/>
        <v/>
      </c>
      <c r="Y560" s="182" t="str">
        <f t="shared" si="151"/>
        <v/>
      </c>
      <c r="Z560" s="209" t="str">
        <f t="shared" si="142"/>
        <v/>
      </c>
      <c r="AA560" s="209" t="str">
        <f t="shared" si="143"/>
        <v/>
      </c>
      <c r="AB560" s="200"/>
      <c r="AC560" s="192"/>
    </row>
    <row r="561" spans="1:29" ht="11.4">
      <c r="A561" s="211" t="str">
        <f t="shared" si="144"/>
        <v/>
      </c>
      <c r="B561" s="211"/>
      <c r="C561" s="215"/>
      <c r="D561" s="213" t="str">
        <f t="shared" si="145"/>
        <v/>
      </c>
      <c r="E561" s="213" t="str">
        <f t="shared" si="153"/>
        <v/>
      </c>
      <c r="F561" s="214" t="str">
        <f t="shared" si="146"/>
        <v/>
      </c>
      <c r="G561" s="180"/>
      <c r="H561" s="181" t="str">
        <f t="shared" si="147"/>
        <v/>
      </c>
      <c r="I561" s="227"/>
      <c r="J561" s="227"/>
      <c r="K561" s="227"/>
      <c r="L561" s="227"/>
      <c r="M561" s="210" t="str">
        <f t="shared" si="152"/>
        <v/>
      </c>
      <c r="N561" s="210"/>
      <c r="O561" s="207"/>
      <c r="P561" s="182" t="str">
        <f t="shared" si="137"/>
        <v/>
      </c>
      <c r="Q561" s="183" t="str">
        <f t="shared" si="148"/>
        <v/>
      </c>
      <c r="R561" s="182" t="str">
        <f>IF(M561&lt;&gt;"",IF(#REF!*F561*10=0,"",#REF!*F561*10),"")</f>
        <v/>
      </c>
      <c r="S561" s="184" t="str">
        <f t="shared" si="149"/>
        <v/>
      </c>
      <c r="T561" s="185" t="str">
        <f t="shared" si="138"/>
        <v/>
      </c>
      <c r="U561" s="183" t="str">
        <f t="shared" si="150"/>
        <v/>
      </c>
      <c r="V561" s="186" t="str">
        <f t="shared" si="139"/>
        <v/>
      </c>
      <c r="W561" s="186" t="str">
        <f t="shared" si="140"/>
        <v/>
      </c>
      <c r="X561" s="187" t="str">
        <f t="shared" si="141"/>
        <v/>
      </c>
      <c r="Y561" s="182" t="str">
        <f t="shared" si="151"/>
        <v/>
      </c>
      <c r="Z561" s="209" t="str">
        <f t="shared" si="142"/>
        <v/>
      </c>
      <c r="AA561" s="209" t="str">
        <f t="shared" si="143"/>
        <v/>
      </c>
      <c r="AB561" s="200"/>
      <c r="AC561" s="192"/>
    </row>
    <row r="562" spans="1:29" ht="11.4">
      <c r="A562" s="211" t="str">
        <f t="shared" si="144"/>
        <v/>
      </c>
      <c r="B562" s="211"/>
      <c r="C562" s="215"/>
      <c r="D562" s="213" t="str">
        <f t="shared" si="145"/>
        <v/>
      </c>
      <c r="E562" s="213" t="str">
        <f t="shared" si="153"/>
        <v/>
      </c>
      <c r="F562" s="214" t="str">
        <f t="shared" si="146"/>
        <v/>
      </c>
      <c r="G562" s="180"/>
      <c r="H562" s="181" t="str">
        <f t="shared" si="147"/>
        <v/>
      </c>
      <c r="I562" s="227"/>
      <c r="J562" s="227"/>
      <c r="K562" s="227"/>
      <c r="L562" s="227"/>
      <c r="M562" s="210" t="str">
        <f t="shared" si="152"/>
        <v/>
      </c>
      <c r="N562" s="210"/>
      <c r="O562" s="207"/>
      <c r="P562" s="182" t="str">
        <f t="shared" si="137"/>
        <v/>
      </c>
      <c r="Q562" s="183" t="str">
        <f t="shared" si="148"/>
        <v/>
      </c>
      <c r="R562" s="182" t="str">
        <f>IF(M562&lt;&gt;"",IF(#REF!*F562*10=0,"",#REF!*F562*10),"")</f>
        <v/>
      </c>
      <c r="S562" s="184" t="str">
        <f t="shared" si="149"/>
        <v/>
      </c>
      <c r="T562" s="185" t="str">
        <f t="shared" si="138"/>
        <v/>
      </c>
      <c r="U562" s="183" t="str">
        <f t="shared" si="150"/>
        <v/>
      </c>
      <c r="V562" s="186" t="str">
        <f t="shared" si="139"/>
        <v/>
      </c>
      <c r="W562" s="186" t="str">
        <f t="shared" si="140"/>
        <v/>
      </c>
      <c r="X562" s="187" t="str">
        <f t="shared" si="141"/>
        <v/>
      </c>
      <c r="Y562" s="182" t="str">
        <f t="shared" si="151"/>
        <v/>
      </c>
      <c r="Z562" s="209" t="str">
        <f t="shared" si="142"/>
        <v/>
      </c>
      <c r="AA562" s="209" t="str">
        <f t="shared" si="143"/>
        <v/>
      </c>
      <c r="AB562" s="200"/>
      <c r="AC562" s="192"/>
    </row>
    <row r="563" spans="1:29" ht="11.4">
      <c r="A563" s="211" t="str">
        <f t="shared" si="144"/>
        <v/>
      </c>
      <c r="B563" s="211"/>
      <c r="C563" s="215"/>
      <c r="D563" s="213" t="str">
        <f t="shared" si="145"/>
        <v/>
      </c>
      <c r="E563" s="213" t="str">
        <f t="shared" si="153"/>
        <v/>
      </c>
      <c r="F563" s="214" t="str">
        <f t="shared" si="146"/>
        <v/>
      </c>
      <c r="G563" s="180"/>
      <c r="H563" s="181" t="str">
        <f t="shared" si="147"/>
        <v/>
      </c>
      <c r="I563" s="227"/>
      <c r="J563" s="227"/>
      <c r="K563" s="227"/>
      <c r="L563" s="227"/>
      <c r="M563" s="210" t="str">
        <f t="shared" si="152"/>
        <v/>
      </c>
      <c r="N563" s="210"/>
      <c r="O563" s="207"/>
      <c r="P563" s="182" t="str">
        <f t="shared" si="137"/>
        <v/>
      </c>
      <c r="Q563" s="183" t="str">
        <f t="shared" si="148"/>
        <v/>
      </c>
      <c r="R563" s="182" t="str">
        <f>IF(M563&lt;&gt;"",IF(#REF!*F563*10=0,"",#REF!*F563*10),"")</f>
        <v/>
      </c>
      <c r="S563" s="184" t="str">
        <f t="shared" si="149"/>
        <v/>
      </c>
      <c r="T563" s="185" t="str">
        <f t="shared" si="138"/>
        <v/>
      </c>
      <c r="U563" s="183" t="str">
        <f t="shared" si="150"/>
        <v/>
      </c>
      <c r="V563" s="186" t="str">
        <f t="shared" si="139"/>
        <v/>
      </c>
      <c r="W563" s="186" t="str">
        <f t="shared" si="140"/>
        <v/>
      </c>
      <c r="X563" s="187" t="str">
        <f t="shared" si="141"/>
        <v/>
      </c>
      <c r="Y563" s="182" t="str">
        <f t="shared" si="151"/>
        <v/>
      </c>
      <c r="Z563" s="209" t="str">
        <f t="shared" si="142"/>
        <v/>
      </c>
      <c r="AA563" s="209" t="str">
        <f t="shared" si="143"/>
        <v/>
      </c>
      <c r="AB563" s="200"/>
      <c r="AC563" s="192"/>
    </row>
    <row r="564" spans="1:29" ht="11.4">
      <c r="A564" s="211" t="str">
        <f t="shared" si="144"/>
        <v/>
      </c>
      <c r="B564" s="211"/>
      <c r="C564" s="215"/>
      <c r="D564" s="213" t="str">
        <f t="shared" si="145"/>
        <v/>
      </c>
      <c r="E564" s="213" t="str">
        <f t="shared" si="153"/>
        <v/>
      </c>
      <c r="F564" s="214" t="str">
        <f t="shared" si="146"/>
        <v/>
      </c>
      <c r="G564" s="180"/>
      <c r="H564" s="181" t="str">
        <f t="shared" si="147"/>
        <v/>
      </c>
      <c r="I564" s="227"/>
      <c r="J564" s="227"/>
      <c r="K564" s="227"/>
      <c r="L564" s="227"/>
      <c r="M564" s="210" t="str">
        <f t="shared" si="152"/>
        <v/>
      </c>
      <c r="N564" s="210"/>
      <c r="O564" s="207"/>
      <c r="P564" s="182" t="str">
        <f t="shared" si="137"/>
        <v/>
      </c>
      <c r="Q564" s="183" t="str">
        <f t="shared" si="148"/>
        <v/>
      </c>
      <c r="R564" s="182" t="str">
        <f>IF(M564&lt;&gt;"",IF(#REF!*F564*10=0,"",#REF!*F564*10),"")</f>
        <v/>
      </c>
      <c r="S564" s="184" t="str">
        <f t="shared" si="149"/>
        <v/>
      </c>
      <c r="T564" s="185" t="str">
        <f t="shared" si="138"/>
        <v/>
      </c>
      <c r="U564" s="183" t="str">
        <f t="shared" si="150"/>
        <v/>
      </c>
      <c r="V564" s="186" t="str">
        <f t="shared" si="139"/>
        <v/>
      </c>
      <c r="W564" s="186" t="str">
        <f t="shared" si="140"/>
        <v/>
      </c>
      <c r="X564" s="187" t="str">
        <f t="shared" si="141"/>
        <v/>
      </c>
      <c r="Y564" s="182" t="str">
        <f t="shared" si="151"/>
        <v/>
      </c>
      <c r="Z564" s="209" t="str">
        <f t="shared" si="142"/>
        <v/>
      </c>
      <c r="AA564" s="209" t="str">
        <f t="shared" si="143"/>
        <v/>
      </c>
      <c r="AB564" s="200"/>
      <c r="AC564" s="192"/>
    </row>
    <row r="565" spans="1:29" ht="11.4">
      <c r="A565" s="211" t="str">
        <f t="shared" si="144"/>
        <v/>
      </c>
      <c r="B565" s="211"/>
      <c r="C565" s="215"/>
      <c r="D565" s="213" t="str">
        <f t="shared" si="145"/>
        <v/>
      </c>
      <c r="E565" s="213" t="str">
        <f t="shared" si="153"/>
        <v/>
      </c>
      <c r="F565" s="214" t="str">
        <f t="shared" si="146"/>
        <v/>
      </c>
      <c r="G565" s="180"/>
      <c r="H565" s="181" t="str">
        <f t="shared" si="147"/>
        <v/>
      </c>
      <c r="I565" s="227"/>
      <c r="J565" s="227"/>
      <c r="K565" s="227"/>
      <c r="L565" s="227"/>
      <c r="M565" s="210" t="str">
        <f t="shared" si="152"/>
        <v/>
      </c>
      <c r="N565" s="210"/>
      <c r="O565" s="207"/>
      <c r="P565" s="182" t="str">
        <f t="shared" si="137"/>
        <v/>
      </c>
      <c r="Q565" s="183" t="str">
        <f t="shared" si="148"/>
        <v/>
      </c>
      <c r="R565" s="182" t="str">
        <f>IF(M565&lt;&gt;"",IF(#REF!*F565*10=0,"",#REF!*F565*10),"")</f>
        <v/>
      </c>
      <c r="S565" s="184" t="str">
        <f t="shared" si="149"/>
        <v/>
      </c>
      <c r="T565" s="185" t="str">
        <f t="shared" si="138"/>
        <v/>
      </c>
      <c r="U565" s="183" t="str">
        <f t="shared" si="150"/>
        <v/>
      </c>
      <c r="V565" s="186" t="str">
        <f t="shared" si="139"/>
        <v/>
      </c>
      <c r="W565" s="186" t="str">
        <f t="shared" si="140"/>
        <v/>
      </c>
      <c r="X565" s="187" t="str">
        <f t="shared" si="141"/>
        <v/>
      </c>
      <c r="Y565" s="182" t="str">
        <f t="shared" si="151"/>
        <v/>
      </c>
      <c r="Z565" s="209" t="str">
        <f t="shared" si="142"/>
        <v/>
      </c>
      <c r="AA565" s="209" t="str">
        <f t="shared" si="143"/>
        <v/>
      </c>
      <c r="AB565" s="200"/>
      <c r="AC565" s="192"/>
    </row>
    <row r="566" spans="1:29" ht="11.4">
      <c r="A566" s="211" t="str">
        <f t="shared" si="144"/>
        <v/>
      </c>
      <c r="B566" s="211"/>
      <c r="C566" s="215"/>
      <c r="D566" s="213" t="str">
        <f t="shared" si="145"/>
        <v/>
      </c>
      <c r="E566" s="213" t="str">
        <f t="shared" si="153"/>
        <v/>
      </c>
      <c r="F566" s="214" t="str">
        <f t="shared" si="146"/>
        <v/>
      </c>
      <c r="G566" s="180"/>
      <c r="H566" s="181" t="str">
        <f t="shared" si="147"/>
        <v/>
      </c>
      <c r="I566" s="227"/>
      <c r="J566" s="227"/>
      <c r="K566" s="227"/>
      <c r="L566" s="227"/>
      <c r="M566" s="210" t="str">
        <f t="shared" si="152"/>
        <v/>
      </c>
      <c r="N566" s="210"/>
      <c r="O566" s="207"/>
      <c r="P566" s="182" t="str">
        <f t="shared" si="137"/>
        <v/>
      </c>
      <c r="Q566" s="183" t="str">
        <f t="shared" si="148"/>
        <v/>
      </c>
      <c r="R566" s="182" t="str">
        <f>IF(M566&lt;&gt;"",IF(#REF!*F566*10=0,"",#REF!*F566*10),"")</f>
        <v/>
      </c>
      <c r="S566" s="184" t="str">
        <f t="shared" si="149"/>
        <v/>
      </c>
      <c r="T566" s="185" t="str">
        <f t="shared" si="138"/>
        <v/>
      </c>
      <c r="U566" s="183" t="str">
        <f t="shared" si="150"/>
        <v/>
      </c>
      <c r="V566" s="186" t="str">
        <f t="shared" si="139"/>
        <v/>
      </c>
      <c r="W566" s="186" t="str">
        <f t="shared" si="140"/>
        <v/>
      </c>
      <c r="X566" s="187" t="str">
        <f t="shared" si="141"/>
        <v/>
      </c>
      <c r="Y566" s="182" t="str">
        <f t="shared" si="151"/>
        <v/>
      </c>
      <c r="Z566" s="209" t="str">
        <f t="shared" si="142"/>
        <v/>
      </c>
      <c r="AA566" s="209" t="str">
        <f t="shared" si="143"/>
        <v/>
      </c>
      <c r="AB566" s="200"/>
      <c r="AC566" s="192"/>
    </row>
    <row r="567" spans="1:29" ht="11.4">
      <c r="A567" s="211" t="str">
        <f t="shared" si="144"/>
        <v/>
      </c>
      <c r="B567" s="211"/>
      <c r="C567" s="215"/>
      <c r="D567" s="213" t="str">
        <f t="shared" si="145"/>
        <v/>
      </c>
      <c r="E567" s="213" t="str">
        <f t="shared" si="153"/>
        <v/>
      </c>
      <c r="F567" s="214" t="str">
        <f t="shared" si="146"/>
        <v/>
      </c>
      <c r="G567" s="180"/>
      <c r="H567" s="181" t="str">
        <f t="shared" si="147"/>
        <v/>
      </c>
      <c r="I567" s="227"/>
      <c r="J567" s="227"/>
      <c r="K567" s="227"/>
      <c r="L567" s="227"/>
      <c r="M567" s="210" t="str">
        <f t="shared" si="152"/>
        <v/>
      </c>
      <c r="N567" s="210"/>
      <c r="O567" s="207"/>
      <c r="P567" s="182" t="str">
        <f t="shared" si="137"/>
        <v/>
      </c>
      <c r="Q567" s="183" t="str">
        <f t="shared" si="148"/>
        <v/>
      </c>
      <c r="R567" s="182" t="str">
        <f>IF(M567&lt;&gt;"",IF(#REF!*F567*10=0,"",#REF!*F567*10),"")</f>
        <v/>
      </c>
      <c r="S567" s="184" t="str">
        <f t="shared" si="149"/>
        <v/>
      </c>
      <c r="T567" s="185" t="str">
        <f t="shared" si="138"/>
        <v/>
      </c>
      <c r="U567" s="183" t="str">
        <f t="shared" si="150"/>
        <v/>
      </c>
      <c r="V567" s="186" t="str">
        <f t="shared" si="139"/>
        <v/>
      </c>
      <c r="W567" s="186" t="str">
        <f t="shared" si="140"/>
        <v/>
      </c>
      <c r="X567" s="187" t="str">
        <f t="shared" si="141"/>
        <v/>
      </c>
      <c r="Y567" s="182" t="str">
        <f t="shared" si="151"/>
        <v/>
      </c>
      <c r="Z567" s="209" t="str">
        <f t="shared" si="142"/>
        <v/>
      </c>
      <c r="AA567" s="209" t="str">
        <f t="shared" si="143"/>
        <v/>
      </c>
      <c r="AB567" s="200"/>
      <c r="AC567" s="192"/>
    </row>
    <row r="568" spans="1:29" ht="11.4">
      <c r="A568" s="211" t="str">
        <f t="shared" si="144"/>
        <v/>
      </c>
      <c r="B568" s="211"/>
      <c r="C568" s="215"/>
      <c r="D568" s="213" t="str">
        <f t="shared" si="145"/>
        <v/>
      </c>
      <c r="E568" s="213" t="str">
        <f t="shared" si="153"/>
        <v/>
      </c>
      <c r="F568" s="214" t="str">
        <f t="shared" si="146"/>
        <v/>
      </c>
      <c r="G568" s="180"/>
      <c r="H568" s="181" t="str">
        <f t="shared" si="147"/>
        <v/>
      </c>
      <c r="I568" s="227"/>
      <c r="J568" s="227"/>
      <c r="K568" s="227"/>
      <c r="L568" s="227"/>
      <c r="M568" s="210" t="str">
        <f t="shared" si="152"/>
        <v/>
      </c>
      <c r="N568" s="210"/>
      <c r="O568" s="207"/>
      <c r="P568" s="182" t="str">
        <f t="shared" si="137"/>
        <v/>
      </c>
      <c r="Q568" s="183" t="str">
        <f t="shared" si="148"/>
        <v/>
      </c>
      <c r="R568" s="182" t="str">
        <f>IF(M568&lt;&gt;"",IF(#REF!*F568*10=0,"",#REF!*F568*10),"")</f>
        <v/>
      </c>
      <c r="S568" s="184" t="str">
        <f t="shared" si="149"/>
        <v/>
      </c>
      <c r="T568" s="185" t="str">
        <f t="shared" si="138"/>
        <v/>
      </c>
      <c r="U568" s="183" t="str">
        <f t="shared" si="150"/>
        <v/>
      </c>
      <c r="V568" s="186" t="str">
        <f t="shared" si="139"/>
        <v/>
      </c>
      <c r="W568" s="186" t="str">
        <f t="shared" si="140"/>
        <v/>
      </c>
      <c r="X568" s="187" t="str">
        <f t="shared" si="141"/>
        <v/>
      </c>
      <c r="Y568" s="182" t="str">
        <f t="shared" si="151"/>
        <v/>
      </c>
      <c r="Z568" s="209" t="str">
        <f t="shared" si="142"/>
        <v/>
      </c>
      <c r="AA568" s="209" t="str">
        <f t="shared" si="143"/>
        <v/>
      </c>
      <c r="AB568" s="200"/>
      <c r="AC568" s="192"/>
    </row>
    <row r="569" spans="1:29" ht="11.4">
      <c r="A569" s="211" t="str">
        <f t="shared" si="144"/>
        <v/>
      </c>
      <c r="B569" s="211"/>
      <c r="C569" s="215"/>
      <c r="D569" s="213" t="str">
        <f t="shared" si="145"/>
        <v/>
      </c>
      <c r="E569" s="213" t="str">
        <f t="shared" si="153"/>
        <v/>
      </c>
      <c r="F569" s="214" t="str">
        <f t="shared" si="146"/>
        <v/>
      </c>
      <c r="G569" s="180"/>
      <c r="H569" s="181" t="str">
        <f t="shared" si="147"/>
        <v/>
      </c>
      <c r="I569" s="227"/>
      <c r="J569" s="227"/>
      <c r="K569" s="227"/>
      <c r="L569" s="227"/>
      <c r="M569" s="210" t="str">
        <f t="shared" si="152"/>
        <v/>
      </c>
      <c r="N569" s="210"/>
      <c r="O569" s="207"/>
      <c r="P569" s="182" t="str">
        <f t="shared" si="137"/>
        <v/>
      </c>
      <c r="Q569" s="183" t="str">
        <f t="shared" si="148"/>
        <v/>
      </c>
      <c r="R569" s="182" t="str">
        <f>IF(M569&lt;&gt;"",IF(#REF!*F569*10=0,"",#REF!*F569*10),"")</f>
        <v/>
      </c>
      <c r="S569" s="184" t="str">
        <f t="shared" si="149"/>
        <v/>
      </c>
      <c r="T569" s="185" t="str">
        <f t="shared" si="138"/>
        <v/>
      </c>
      <c r="U569" s="183" t="str">
        <f t="shared" si="150"/>
        <v/>
      </c>
      <c r="V569" s="186" t="str">
        <f t="shared" si="139"/>
        <v/>
      </c>
      <c r="W569" s="186" t="str">
        <f t="shared" si="140"/>
        <v/>
      </c>
      <c r="X569" s="187" t="str">
        <f t="shared" si="141"/>
        <v/>
      </c>
      <c r="Y569" s="182" t="str">
        <f t="shared" si="151"/>
        <v/>
      </c>
      <c r="Z569" s="209" t="str">
        <f t="shared" si="142"/>
        <v/>
      </c>
      <c r="AA569" s="209" t="str">
        <f t="shared" si="143"/>
        <v/>
      </c>
      <c r="AB569" s="200"/>
      <c r="AC569" s="192"/>
    </row>
    <row r="570" spans="1:29" ht="11.4">
      <c r="A570" s="211" t="str">
        <f t="shared" si="144"/>
        <v/>
      </c>
      <c r="B570" s="211"/>
      <c r="C570" s="215"/>
      <c r="D570" s="213" t="str">
        <f t="shared" si="145"/>
        <v/>
      </c>
      <c r="E570" s="213" t="str">
        <f t="shared" si="153"/>
        <v/>
      </c>
      <c r="F570" s="214" t="str">
        <f t="shared" si="146"/>
        <v/>
      </c>
      <c r="G570" s="180"/>
      <c r="H570" s="181" t="str">
        <f t="shared" si="147"/>
        <v/>
      </c>
      <c r="I570" s="227"/>
      <c r="J570" s="227"/>
      <c r="K570" s="227"/>
      <c r="L570" s="227"/>
      <c r="M570" s="210" t="str">
        <f t="shared" si="152"/>
        <v/>
      </c>
      <c r="N570" s="210"/>
      <c r="O570" s="207"/>
      <c r="P570" s="182" t="str">
        <f t="shared" si="137"/>
        <v/>
      </c>
      <c r="Q570" s="183" t="str">
        <f t="shared" si="148"/>
        <v/>
      </c>
      <c r="R570" s="182" t="str">
        <f>IF(M570&lt;&gt;"",IF(#REF!*F570*10=0,"",#REF!*F570*10),"")</f>
        <v/>
      </c>
      <c r="S570" s="184" t="str">
        <f t="shared" si="149"/>
        <v/>
      </c>
      <c r="T570" s="185" t="str">
        <f t="shared" si="138"/>
        <v/>
      </c>
      <c r="U570" s="183" t="str">
        <f t="shared" si="150"/>
        <v/>
      </c>
      <c r="V570" s="186" t="str">
        <f t="shared" si="139"/>
        <v/>
      </c>
      <c r="W570" s="186" t="str">
        <f t="shared" si="140"/>
        <v/>
      </c>
      <c r="X570" s="187" t="str">
        <f t="shared" si="141"/>
        <v/>
      </c>
      <c r="Y570" s="182" t="str">
        <f t="shared" si="151"/>
        <v/>
      </c>
      <c r="Z570" s="209" t="str">
        <f t="shared" si="142"/>
        <v/>
      </c>
      <c r="AA570" s="209" t="str">
        <f t="shared" si="143"/>
        <v/>
      </c>
      <c r="AB570" s="200"/>
      <c r="AC570" s="192"/>
    </row>
    <row r="571" spans="1:29" ht="11.4">
      <c r="A571" s="211" t="str">
        <f t="shared" si="144"/>
        <v/>
      </c>
      <c r="B571" s="211"/>
      <c r="C571" s="215"/>
      <c r="D571" s="213" t="str">
        <f t="shared" si="145"/>
        <v/>
      </c>
      <c r="E571" s="213" t="str">
        <f t="shared" si="153"/>
        <v/>
      </c>
      <c r="F571" s="214" t="str">
        <f t="shared" si="146"/>
        <v/>
      </c>
      <c r="G571" s="180"/>
      <c r="H571" s="181" t="str">
        <f t="shared" si="147"/>
        <v/>
      </c>
      <c r="I571" s="227"/>
      <c r="J571" s="227"/>
      <c r="K571" s="227"/>
      <c r="L571" s="227"/>
      <c r="M571" s="210" t="str">
        <f t="shared" si="152"/>
        <v/>
      </c>
      <c r="N571" s="210"/>
      <c r="O571" s="207"/>
      <c r="P571" s="182" t="str">
        <f t="shared" si="137"/>
        <v/>
      </c>
      <c r="Q571" s="183" t="str">
        <f t="shared" si="148"/>
        <v/>
      </c>
      <c r="R571" s="182" t="str">
        <f>IF(M571&lt;&gt;"",IF(#REF!*F571*10=0,"",#REF!*F571*10),"")</f>
        <v/>
      </c>
      <c r="S571" s="184" t="str">
        <f t="shared" si="149"/>
        <v/>
      </c>
      <c r="T571" s="185" t="str">
        <f t="shared" si="138"/>
        <v/>
      </c>
      <c r="U571" s="183" t="str">
        <f t="shared" si="150"/>
        <v/>
      </c>
      <c r="V571" s="186" t="str">
        <f t="shared" si="139"/>
        <v/>
      </c>
      <c r="W571" s="186" t="str">
        <f t="shared" si="140"/>
        <v/>
      </c>
      <c r="X571" s="187" t="str">
        <f t="shared" si="141"/>
        <v/>
      </c>
      <c r="Y571" s="182" t="str">
        <f t="shared" si="151"/>
        <v/>
      </c>
      <c r="Z571" s="209" t="str">
        <f t="shared" si="142"/>
        <v/>
      </c>
      <c r="AA571" s="209" t="str">
        <f t="shared" si="143"/>
        <v/>
      </c>
      <c r="AB571" s="200"/>
      <c r="AC571" s="192"/>
    </row>
    <row r="572" spans="1:29" ht="11.4">
      <c r="A572" s="211" t="str">
        <f t="shared" si="144"/>
        <v/>
      </c>
      <c r="B572" s="211"/>
      <c r="C572" s="215"/>
      <c r="D572" s="213" t="str">
        <f t="shared" si="145"/>
        <v/>
      </c>
      <c r="E572" s="213" t="str">
        <f t="shared" si="153"/>
        <v/>
      </c>
      <c r="F572" s="214" t="str">
        <f t="shared" si="146"/>
        <v/>
      </c>
      <c r="G572" s="180"/>
      <c r="H572" s="181" t="str">
        <f t="shared" si="147"/>
        <v/>
      </c>
      <c r="I572" s="227"/>
      <c r="J572" s="227"/>
      <c r="K572" s="227"/>
      <c r="L572" s="227"/>
      <c r="M572" s="210" t="str">
        <f t="shared" si="152"/>
        <v/>
      </c>
      <c r="N572" s="210"/>
      <c r="O572" s="207"/>
      <c r="P572" s="182" t="str">
        <f t="shared" si="137"/>
        <v/>
      </c>
      <c r="Q572" s="183" t="str">
        <f t="shared" si="148"/>
        <v/>
      </c>
      <c r="R572" s="182" t="str">
        <f>IF(M572&lt;&gt;"",IF(#REF!*F572*10=0,"",#REF!*F572*10),"")</f>
        <v/>
      </c>
      <c r="S572" s="184" t="str">
        <f t="shared" si="149"/>
        <v/>
      </c>
      <c r="T572" s="185" t="str">
        <f t="shared" si="138"/>
        <v/>
      </c>
      <c r="U572" s="183" t="str">
        <f t="shared" si="150"/>
        <v/>
      </c>
      <c r="V572" s="186" t="str">
        <f t="shared" si="139"/>
        <v/>
      </c>
      <c r="W572" s="186" t="str">
        <f t="shared" si="140"/>
        <v/>
      </c>
      <c r="X572" s="187" t="str">
        <f t="shared" si="141"/>
        <v/>
      </c>
      <c r="Y572" s="182" t="str">
        <f t="shared" si="151"/>
        <v/>
      </c>
      <c r="Z572" s="209" t="str">
        <f t="shared" si="142"/>
        <v/>
      </c>
      <c r="AA572" s="209" t="str">
        <f t="shared" si="143"/>
        <v/>
      </c>
      <c r="AB572" s="200"/>
      <c r="AC572" s="192"/>
    </row>
    <row r="573" spans="1:29" ht="11.4">
      <c r="A573" s="211" t="str">
        <f t="shared" si="144"/>
        <v/>
      </c>
      <c r="B573" s="211"/>
      <c r="C573" s="215"/>
      <c r="D573" s="213" t="str">
        <f t="shared" si="145"/>
        <v/>
      </c>
      <c r="E573" s="213" t="str">
        <f t="shared" si="153"/>
        <v/>
      </c>
      <c r="F573" s="214" t="str">
        <f t="shared" si="146"/>
        <v/>
      </c>
      <c r="G573" s="180"/>
      <c r="H573" s="181" t="str">
        <f t="shared" si="147"/>
        <v/>
      </c>
      <c r="I573" s="227"/>
      <c r="J573" s="227"/>
      <c r="K573" s="227"/>
      <c r="L573" s="227"/>
      <c r="M573" s="210" t="str">
        <f t="shared" si="152"/>
        <v/>
      </c>
      <c r="N573" s="210"/>
      <c r="O573" s="207"/>
      <c r="P573" s="182" t="str">
        <f t="shared" si="137"/>
        <v/>
      </c>
      <c r="Q573" s="183" t="str">
        <f t="shared" si="148"/>
        <v/>
      </c>
      <c r="R573" s="182" t="str">
        <f>IF(M573&lt;&gt;"",IF(#REF!*F573*10=0,"",#REF!*F573*10),"")</f>
        <v/>
      </c>
      <c r="S573" s="184" t="str">
        <f t="shared" si="149"/>
        <v/>
      </c>
      <c r="T573" s="185" t="str">
        <f t="shared" si="138"/>
        <v/>
      </c>
      <c r="U573" s="183" t="str">
        <f t="shared" si="150"/>
        <v/>
      </c>
      <c r="V573" s="186" t="str">
        <f t="shared" si="139"/>
        <v/>
      </c>
      <c r="W573" s="186" t="str">
        <f t="shared" si="140"/>
        <v/>
      </c>
      <c r="X573" s="187" t="str">
        <f t="shared" si="141"/>
        <v/>
      </c>
      <c r="Y573" s="182" t="str">
        <f t="shared" si="151"/>
        <v/>
      </c>
      <c r="Z573" s="209" t="str">
        <f t="shared" si="142"/>
        <v/>
      </c>
      <c r="AA573" s="209" t="str">
        <f t="shared" si="143"/>
        <v/>
      </c>
      <c r="AB573" s="200"/>
      <c r="AC573" s="192"/>
    </row>
    <row r="574" spans="1:29" ht="11.4">
      <c r="A574" s="211" t="str">
        <f t="shared" si="144"/>
        <v/>
      </c>
      <c r="B574" s="211"/>
      <c r="C574" s="215"/>
      <c r="D574" s="213" t="str">
        <f t="shared" si="145"/>
        <v/>
      </c>
      <c r="E574" s="213" t="str">
        <f t="shared" si="153"/>
        <v/>
      </c>
      <c r="F574" s="214" t="str">
        <f t="shared" si="146"/>
        <v/>
      </c>
      <c r="G574" s="180"/>
      <c r="H574" s="181" t="str">
        <f t="shared" si="147"/>
        <v/>
      </c>
      <c r="I574" s="227"/>
      <c r="J574" s="227"/>
      <c r="K574" s="227"/>
      <c r="L574" s="227"/>
      <c r="M574" s="210" t="str">
        <f t="shared" si="152"/>
        <v/>
      </c>
      <c r="N574" s="210"/>
      <c r="O574" s="207"/>
      <c r="P574" s="182" t="str">
        <f t="shared" si="137"/>
        <v/>
      </c>
      <c r="Q574" s="183" t="str">
        <f t="shared" si="148"/>
        <v/>
      </c>
      <c r="R574" s="182" t="str">
        <f>IF(M574&lt;&gt;"",IF(#REF!*F574*10=0,"",#REF!*F574*10),"")</f>
        <v/>
      </c>
      <c r="S574" s="184" t="str">
        <f t="shared" si="149"/>
        <v/>
      </c>
      <c r="T574" s="185" t="str">
        <f t="shared" si="138"/>
        <v/>
      </c>
      <c r="U574" s="183" t="str">
        <f t="shared" si="150"/>
        <v/>
      </c>
      <c r="V574" s="186" t="str">
        <f t="shared" si="139"/>
        <v/>
      </c>
      <c r="W574" s="186" t="str">
        <f t="shared" si="140"/>
        <v/>
      </c>
      <c r="X574" s="187" t="str">
        <f t="shared" si="141"/>
        <v/>
      </c>
      <c r="Y574" s="182" t="str">
        <f t="shared" si="151"/>
        <v/>
      </c>
      <c r="Z574" s="209" t="str">
        <f t="shared" si="142"/>
        <v/>
      </c>
      <c r="AA574" s="209" t="str">
        <f t="shared" si="143"/>
        <v/>
      </c>
      <c r="AB574" s="200"/>
      <c r="AC574" s="192"/>
    </row>
    <row r="575" spans="1:29" ht="11.4">
      <c r="A575" s="211" t="str">
        <f t="shared" si="144"/>
        <v/>
      </c>
      <c r="B575" s="211"/>
      <c r="C575" s="215"/>
      <c r="D575" s="213" t="str">
        <f t="shared" si="145"/>
        <v/>
      </c>
      <c r="E575" s="213" t="str">
        <f t="shared" si="153"/>
        <v/>
      </c>
      <c r="F575" s="214" t="str">
        <f t="shared" si="146"/>
        <v/>
      </c>
      <c r="G575" s="180"/>
      <c r="H575" s="181" t="str">
        <f t="shared" si="147"/>
        <v/>
      </c>
      <c r="I575" s="227"/>
      <c r="J575" s="227"/>
      <c r="K575" s="227"/>
      <c r="L575" s="227"/>
      <c r="M575" s="210" t="str">
        <f t="shared" si="152"/>
        <v/>
      </c>
      <c r="N575" s="210"/>
      <c r="O575" s="207"/>
      <c r="P575" s="182" t="str">
        <f t="shared" si="137"/>
        <v/>
      </c>
      <c r="Q575" s="183" t="str">
        <f t="shared" si="148"/>
        <v/>
      </c>
      <c r="R575" s="182" t="str">
        <f>IF(M575&lt;&gt;"",IF(#REF!*F575*10=0,"",#REF!*F575*10),"")</f>
        <v/>
      </c>
      <c r="S575" s="184" t="str">
        <f t="shared" si="149"/>
        <v/>
      </c>
      <c r="T575" s="185" t="str">
        <f t="shared" si="138"/>
        <v/>
      </c>
      <c r="U575" s="183" t="str">
        <f t="shared" si="150"/>
        <v/>
      </c>
      <c r="V575" s="186" t="str">
        <f t="shared" si="139"/>
        <v/>
      </c>
      <c r="W575" s="186" t="str">
        <f t="shared" si="140"/>
        <v/>
      </c>
      <c r="X575" s="187" t="str">
        <f t="shared" si="141"/>
        <v/>
      </c>
      <c r="Y575" s="182" t="str">
        <f t="shared" si="151"/>
        <v/>
      </c>
      <c r="Z575" s="209" t="str">
        <f t="shared" si="142"/>
        <v/>
      </c>
      <c r="AA575" s="209" t="str">
        <f t="shared" si="143"/>
        <v/>
      </c>
      <c r="AB575" s="200"/>
      <c r="AC575" s="192"/>
    </row>
    <row r="576" spans="1:29" ht="11.4">
      <c r="A576" s="211" t="str">
        <f t="shared" si="144"/>
        <v/>
      </c>
      <c r="B576" s="211"/>
      <c r="C576" s="215"/>
      <c r="D576" s="213" t="str">
        <f t="shared" si="145"/>
        <v/>
      </c>
      <c r="E576" s="213" t="str">
        <f t="shared" si="153"/>
        <v/>
      </c>
      <c r="F576" s="214" t="str">
        <f t="shared" si="146"/>
        <v/>
      </c>
      <c r="G576" s="180"/>
      <c r="H576" s="181" t="str">
        <f t="shared" si="147"/>
        <v/>
      </c>
      <c r="I576" s="227"/>
      <c r="J576" s="227"/>
      <c r="K576" s="227"/>
      <c r="L576" s="227"/>
      <c r="M576" s="210" t="str">
        <f t="shared" si="152"/>
        <v/>
      </c>
      <c r="N576" s="210"/>
      <c r="O576" s="207"/>
      <c r="P576" s="182" t="str">
        <f t="shared" si="137"/>
        <v/>
      </c>
      <c r="Q576" s="183" t="str">
        <f t="shared" si="148"/>
        <v/>
      </c>
      <c r="R576" s="182" t="str">
        <f>IF(M576&lt;&gt;"",IF(#REF!*F576*10=0,"",#REF!*F576*10),"")</f>
        <v/>
      </c>
      <c r="S576" s="184" t="str">
        <f t="shared" si="149"/>
        <v/>
      </c>
      <c r="T576" s="185" t="str">
        <f t="shared" si="138"/>
        <v/>
      </c>
      <c r="U576" s="183" t="str">
        <f t="shared" si="150"/>
        <v/>
      </c>
      <c r="V576" s="186" t="str">
        <f t="shared" si="139"/>
        <v/>
      </c>
      <c r="W576" s="186" t="str">
        <f t="shared" si="140"/>
        <v/>
      </c>
      <c r="X576" s="187" t="str">
        <f t="shared" si="141"/>
        <v/>
      </c>
      <c r="Y576" s="182" t="str">
        <f t="shared" si="151"/>
        <v/>
      </c>
      <c r="Z576" s="209" t="str">
        <f t="shared" si="142"/>
        <v/>
      </c>
      <c r="AA576" s="209" t="str">
        <f t="shared" si="143"/>
        <v/>
      </c>
      <c r="AB576" s="200"/>
      <c r="AC576" s="192"/>
    </row>
    <row r="577" spans="1:29" ht="11.4">
      <c r="A577" s="211" t="str">
        <f t="shared" si="144"/>
        <v/>
      </c>
      <c r="B577" s="211"/>
      <c r="C577" s="215"/>
      <c r="D577" s="213" t="str">
        <f t="shared" si="145"/>
        <v/>
      </c>
      <c r="E577" s="213" t="str">
        <f t="shared" si="153"/>
        <v/>
      </c>
      <c r="F577" s="214" t="str">
        <f t="shared" si="146"/>
        <v/>
      </c>
      <c r="G577" s="180"/>
      <c r="H577" s="181" t="str">
        <f t="shared" si="147"/>
        <v/>
      </c>
      <c r="I577" s="227"/>
      <c r="J577" s="227"/>
      <c r="K577" s="227"/>
      <c r="L577" s="227"/>
      <c r="M577" s="210" t="str">
        <f t="shared" si="152"/>
        <v/>
      </c>
      <c r="N577" s="210"/>
      <c r="O577" s="207"/>
      <c r="P577" s="182" t="str">
        <f t="shared" si="137"/>
        <v/>
      </c>
      <c r="Q577" s="183" t="str">
        <f t="shared" si="148"/>
        <v/>
      </c>
      <c r="R577" s="182" t="str">
        <f>IF(M577&lt;&gt;"",IF(#REF!*F577*10=0,"",#REF!*F577*10),"")</f>
        <v/>
      </c>
      <c r="S577" s="184" t="str">
        <f t="shared" si="149"/>
        <v/>
      </c>
      <c r="T577" s="185" t="str">
        <f t="shared" si="138"/>
        <v/>
      </c>
      <c r="U577" s="183" t="str">
        <f t="shared" si="150"/>
        <v/>
      </c>
      <c r="V577" s="186" t="str">
        <f t="shared" si="139"/>
        <v/>
      </c>
      <c r="W577" s="186" t="str">
        <f t="shared" si="140"/>
        <v/>
      </c>
      <c r="X577" s="187" t="str">
        <f t="shared" si="141"/>
        <v/>
      </c>
      <c r="Y577" s="182" t="str">
        <f t="shared" si="151"/>
        <v/>
      </c>
      <c r="Z577" s="209" t="str">
        <f t="shared" si="142"/>
        <v/>
      </c>
      <c r="AA577" s="209" t="str">
        <f t="shared" si="143"/>
        <v/>
      </c>
      <c r="AB577" s="200"/>
      <c r="AC577" s="192"/>
    </row>
    <row r="578" spans="1:29" ht="11.4">
      <c r="A578" s="211" t="str">
        <f t="shared" si="144"/>
        <v/>
      </c>
      <c r="B578" s="211"/>
      <c r="C578" s="215"/>
      <c r="D578" s="213" t="str">
        <f t="shared" si="145"/>
        <v/>
      </c>
      <c r="E578" s="213" t="str">
        <f t="shared" si="153"/>
        <v/>
      </c>
      <c r="F578" s="214" t="str">
        <f t="shared" si="146"/>
        <v/>
      </c>
      <c r="G578" s="180"/>
      <c r="H578" s="181" t="str">
        <f t="shared" si="147"/>
        <v/>
      </c>
      <c r="I578" s="227"/>
      <c r="J578" s="227"/>
      <c r="K578" s="227"/>
      <c r="L578" s="227"/>
      <c r="M578" s="210" t="str">
        <f t="shared" si="152"/>
        <v/>
      </c>
      <c r="N578" s="210"/>
      <c r="O578" s="207"/>
      <c r="P578" s="182" t="str">
        <f t="shared" si="137"/>
        <v/>
      </c>
      <c r="Q578" s="183" t="str">
        <f t="shared" si="148"/>
        <v/>
      </c>
      <c r="R578" s="182" t="str">
        <f>IF(M578&lt;&gt;"",IF(#REF!*F578*10=0,"",#REF!*F578*10),"")</f>
        <v/>
      </c>
      <c r="S578" s="184" t="str">
        <f t="shared" si="149"/>
        <v/>
      </c>
      <c r="T578" s="185" t="str">
        <f t="shared" si="138"/>
        <v/>
      </c>
      <c r="U578" s="183" t="str">
        <f t="shared" si="150"/>
        <v/>
      </c>
      <c r="V578" s="186" t="str">
        <f t="shared" si="139"/>
        <v/>
      </c>
      <c r="W578" s="186" t="str">
        <f t="shared" si="140"/>
        <v/>
      </c>
      <c r="X578" s="187" t="str">
        <f t="shared" si="141"/>
        <v/>
      </c>
      <c r="Y578" s="182" t="str">
        <f t="shared" si="151"/>
        <v/>
      </c>
      <c r="Z578" s="209" t="str">
        <f t="shared" si="142"/>
        <v/>
      </c>
      <c r="AA578" s="209" t="str">
        <f t="shared" si="143"/>
        <v/>
      </c>
      <c r="AB578" s="200"/>
      <c r="AC578" s="192"/>
    </row>
    <row r="579" spans="1:29" ht="11.4">
      <c r="A579" s="211" t="str">
        <f t="shared" si="144"/>
        <v/>
      </c>
      <c r="B579" s="211"/>
      <c r="C579" s="215"/>
      <c r="D579" s="213" t="str">
        <f t="shared" si="145"/>
        <v/>
      </c>
      <c r="E579" s="213" t="str">
        <f t="shared" si="153"/>
        <v/>
      </c>
      <c r="F579" s="214" t="str">
        <f t="shared" si="146"/>
        <v/>
      </c>
      <c r="G579" s="180"/>
      <c r="H579" s="181" t="str">
        <f t="shared" si="147"/>
        <v/>
      </c>
      <c r="I579" s="227"/>
      <c r="J579" s="227"/>
      <c r="K579" s="227"/>
      <c r="L579" s="227"/>
      <c r="M579" s="210" t="str">
        <f t="shared" si="152"/>
        <v/>
      </c>
      <c r="N579" s="210"/>
      <c r="O579" s="207"/>
      <c r="P579" s="182" t="str">
        <f t="shared" si="137"/>
        <v/>
      </c>
      <c r="Q579" s="183" t="str">
        <f t="shared" si="148"/>
        <v/>
      </c>
      <c r="R579" s="182" t="str">
        <f>IF(M579&lt;&gt;"",IF(#REF!*F579*10=0,"",#REF!*F579*10),"")</f>
        <v/>
      </c>
      <c r="S579" s="184" t="str">
        <f t="shared" si="149"/>
        <v/>
      </c>
      <c r="T579" s="185" t="str">
        <f t="shared" si="138"/>
        <v/>
      </c>
      <c r="U579" s="183" t="str">
        <f t="shared" si="150"/>
        <v/>
      </c>
      <c r="V579" s="186" t="str">
        <f t="shared" si="139"/>
        <v/>
      </c>
      <c r="W579" s="186" t="str">
        <f t="shared" si="140"/>
        <v/>
      </c>
      <c r="X579" s="187" t="str">
        <f t="shared" si="141"/>
        <v/>
      </c>
      <c r="Y579" s="182" t="str">
        <f t="shared" si="151"/>
        <v/>
      </c>
      <c r="Z579" s="209" t="str">
        <f t="shared" si="142"/>
        <v/>
      </c>
      <c r="AA579" s="209" t="str">
        <f t="shared" si="143"/>
        <v/>
      </c>
      <c r="AB579" s="200"/>
      <c r="AC579" s="192"/>
    </row>
    <row r="580" spans="1:29" ht="11.4">
      <c r="A580" s="211" t="str">
        <f t="shared" si="144"/>
        <v/>
      </c>
      <c r="B580" s="211"/>
      <c r="C580" s="215"/>
      <c r="D580" s="213" t="str">
        <f t="shared" si="145"/>
        <v/>
      </c>
      <c r="E580" s="213" t="str">
        <f t="shared" si="153"/>
        <v/>
      </c>
      <c r="F580" s="214" t="str">
        <f t="shared" si="146"/>
        <v/>
      </c>
      <c r="G580" s="180"/>
      <c r="H580" s="181" t="str">
        <f t="shared" si="147"/>
        <v/>
      </c>
      <c r="I580" s="227"/>
      <c r="J580" s="227"/>
      <c r="K580" s="227"/>
      <c r="L580" s="227"/>
      <c r="M580" s="210" t="str">
        <f t="shared" si="152"/>
        <v/>
      </c>
      <c r="N580" s="210"/>
      <c r="O580" s="207"/>
      <c r="P580" s="182" t="str">
        <f t="shared" si="137"/>
        <v/>
      </c>
      <c r="Q580" s="183" t="str">
        <f t="shared" si="148"/>
        <v/>
      </c>
      <c r="R580" s="182" t="str">
        <f>IF(M580&lt;&gt;"",IF(#REF!*F580*10=0,"",#REF!*F580*10),"")</f>
        <v/>
      </c>
      <c r="S580" s="184" t="str">
        <f t="shared" si="149"/>
        <v/>
      </c>
      <c r="T580" s="185" t="str">
        <f t="shared" si="138"/>
        <v/>
      </c>
      <c r="U580" s="183" t="str">
        <f t="shared" si="150"/>
        <v/>
      </c>
      <c r="V580" s="186" t="str">
        <f t="shared" si="139"/>
        <v/>
      </c>
      <c r="W580" s="186" t="str">
        <f t="shared" si="140"/>
        <v/>
      </c>
      <c r="X580" s="187" t="str">
        <f t="shared" si="141"/>
        <v/>
      </c>
      <c r="Y580" s="182" t="str">
        <f t="shared" si="151"/>
        <v/>
      </c>
      <c r="Z580" s="209" t="str">
        <f t="shared" si="142"/>
        <v/>
      </c>
      <c r="AA580" s="209" t="str">
        <f t="shared" si="143"/>
        <v/>
      </c>
      <c r="AB580" s="200"/>
      <c r="AC580" s="192"/>
    </row>
    <row r="581" spans="1:29" ht="11.4">
      <c r="A581" s="211" t="str">
        <f t="shared" si="144"/>
        <v/>
      </c>
      <c r="B581" s="211"/>
      <c r="C581" s="215"/>
      <c r="D581" s="213" t="str">
        <f t="shared" si="145"/>
        <v/>
      </c>
      <c r="E581" s="213" t="str">
        <f t="shared" si="153"/>
        <v/>
      </c>
      <c r="F581" s="214" t="str">
        <f t="shared" si="146"/>
        <v/>
      </c>
      <c r="G581" s="180"/>
      <c r="H581" s="181" t="str">
        <f t="shared" si="147"/>
        <v/>
      </c>
      <c r="I581" s="227"/>
      <c r="J581" s="227"/>
      <c r="K581" s="227"/>
      <c r="L581" s="227"/>
      <c r="M581" s="210" t="str">
        <f t="shared" si="152"/>
        <v/>
      </c>
      <c r="N581" s="210"/>
      <c r="O581" s="207"/>
      <c r="P581" s="182" t="str">
        <f t="shared" si="137"/>
        <v/>
      </c>
      <c r="Q581" s="183" t="str">
        <f t="shared" si="148"/>
        <v/>
      </c>
      <c r="R581" s="182" t="str">
        <f>IF(M581&lt;&gt;"",IF(#REF!*F581*10=0,"",#REF!*F581*10),"")</f>
        <v/>
      </c>
      <c r="S581" s="184" t="str">
        <f t="shared" si="149"/>
        <v/>
      </c>
      <c r="T581" s="185" t="str">
        <f t="shared" si="138"/>
        <v/>
      </c>
      <c r="U581" s="183" t="str">
        <f t="shared" si="150"/>
        <v/>
      </c>
      <c r="V581" s="186" t="str">
        <f t="shared" si="139"/>
        <v/>
      </c>
      <c r="W581" s="186" t="str">
        <f t="shared" si="140"/>
        <v/>
      </c>
      <c r="X581" s="187" t="str">
        <f t="shared" si="141"/>
        <v/>
      </c>
      <c r="Y581" s="182" t="str">
        <f t="shared" si="151"/>
        <v/>
      </c>
      <c r="Z581" s="209" t="str">
        <f t="shared" si="142"/>
        <v/>
      </c>
      <c r="AA581" s="209" t="str">
        <f t="shared" si="143"/>
        <v/>
      </c>
      <c r="AB581" s="200"/>
      <c r="AC581" s="192"/>
    </row>
    <row r="582" spans="1:29" ht="11.4">
      <c r="A582" s="211" t="str">
        <f t="shared" si="144"/>
        <v/>
      </c>
      <c r="B582" s="211"/>
      <c r="C582" s="215"/>
      <c r="D582" s="213" t="str">
        <f t="shared" si="145"/>
        <v/>
      </c>
      <c r="E582" s="213" t="str">
        <f t="shared" si="153"/>
        <v/>
      </c>
      <c r="F582" s="214" t="str">
        <f t="shared" si="146"/>
        <v/>
      </c>
      <c r="G582" s="180"/>
      <c r="H582" s="181" t="str">
        <f t="shared" si="147"/>
        <v/>
      </c>
      <c r="I582" s="227"/>
      <c r="J582" s="227"/>
      <c r="K582" s="227"/>
      <c r="L582" s="227"/>
      <c r="M582" s="210" t="str">
        <f t="shared" si="152"/>
        <v/>
      </c>
      <c r="N582" s="210"/>
      <c r="O582" s="207"/>
      <c r="P582" s="182" t="str">
        <f t="shared" si="137"/>
        <v/>
      </c>
      <c r="Q582" s="183" t="str">
        <f t="shared" si="148"/>
        <v/>
      </c>
      <c r="R582" s="182" t="str">
        <f>IF(M582&lt;&gt;"",IF(#REF!*F582*10=0,"",#REF!*F582*10),"")</f>
        <v/>
      </c>
      <c r="S582" s="184" t="str">
        <f t="shared" si="149"/>
        <v/>
      </c>
      <c r="T582" s="185" t="str">
        <f t="shared" si="138"/>
        <v/>
      </c>
      <c r="U582" s="183" t="str">
        <f t="shared" si="150"/>
        <v/>
      </c>
      <c r="V582" s="186" t="str">
        <f t="shared" si="139"/>
        <v/>
      </c>
      <c r="W582" s="186" t="str">
        <f t="shared" si="140"/>
        <v/>
      </c>
      <c r="X582" s="187" t="str">
        <f t="shared" si="141"/>
        <v/>
      </c>
      <c r="Y582" s="182" t="str">
        <f t="shared" si="151"/>
        <v/>
      </c>
      <c r="Z582" s="209" t="str">
        <f t="shared" si="142"/>
        <v/>
      </c>
      <c r="AA582" s="209" t="str">
        <f t="shared" si="143"/>
        <v/>
      </c>
      <c r="AB582" s="200"/>
      <c r="AC582" s="192"/>
    </row>
    <row r="583" spans="1:29" ht="11.4">
      <c r="A583" s="211" t="str">
        <f t="shared" si="144"/>
        <v/>
      </c>
      <c r="B583" s="211"/>
      <c r="C583" s="215"/>
      <c r="D583" s="213" t="str">
        <f t="shared" si="145"/>
        <v/>
      </c>
      <c r="E583" s="213" t="str">
        <f t="shared" si="153"/>
        <v/>
      </c>
      <c r="F583" s="214" t="str">
        <f t="shared" si="146"/>
        <v/>
      </c>
      <c r="G583" s="180"/>
      <c r="H583" s="181" t="str">
        <f t="shared" si="147"/>
        <v/>
      </c>
      <c r="I583" s="227"/>
      <c r="J583" s="227"/>
      <c r="K583" s="227"/>
      <c r="L583" s="227"/>
      <c r="M583" s="210" t="str">
        <f t="shared" si="152"/>
        <v/>
      </c>
      <c r="N583" s="210"/>
      <c r="O583" s="207"/>
      <c r="P583" s="182" t="str">
        <f t="shared" si="137"/>
        <v/>
      </c>
      <c r="Q583" s="183" t="str">
        <f t="shared" si="148"/>
        <v/>
      </c>
      <c r="R583" s="182" t="str">
        <f>IF(M583&lt;&gt;"",IF(#REF!*F583*10=0,"",#REF!*F583*10),"")</f>
        <v/>
      </c>
      <c r="S583" s="184" t="str">
        <f t="shared" si="149"/>
        <v/>
      </c>
      <c r="T583" s="185" t="str">
        <f t="shared" si="138"/>
        <v/>
      </c>
      <c r="U583" s="183" t="str">
        <f t="shared" si="150"/>
        <v/>
      </c>
      <c r="V583" s="186" t="str">
        <f t="shared" si="139"/>
        <v/>
      </c>
      <c r="W583" s="186" t="str">
        <f t="shared" si="140"/>
        <v/>
      </c>
      <c r="X583" s="187" t="str">
        <f t="shared" si="141"/>
        <v/>
      </c>
      <c r="Y583" s="182" t="str">
        <f t="shared" si="151"/>
        <v/>
      </c>
      <c r="Z583" s="209" t="str">
        <f t="shared" si="142"/>
        <v/>
      </c>
      <c r="AA583" s="209" t="str">
        <f t="shared" si="143"/>
        <v/>
      </c>
      <c r="AB583" s="200"/>
      <c r="AC583" s="192"/>
    </row>
    <row r="584" spans="1:29" ht="11.4">
      <c r="A584" s="211" t="str">
        <f t="shared" si="144"/>
        <v/>
      </c>
      <c r="B584" s="211"/>
      <c r="C584" s="215"/>
      <c r="D584" s="213" t="str">
        <f t="shared" si="145"/>
        <v/>
      </c>
      <c r="E584" s="213" t="str">
        <f t="shared" si="153"/>
        <v/>
      </c>
      <c r="F584" s="214" t="str">
        <f t="shared" si="146"/>
        <v/>
      </c>
      <c r="G584" s="180"/>
      <c r="H584" s="181" t="str">
        <f t="shared" si="147"/>
        <v/>
      </c>
      <c r="I584" s="227"/>
      <c r="J584" s="227"/>
      <c r="K584" s="227"/>
      <c r="L584" s="227"/>
      <c r="M584" s="210" t="str">
        <f t="shared" si="152"/>
        <v/>
      </c>
      <c r="N584" s="210"/>
      <c r="O584" s="207"/>
      <c r="P584" s="182" t="str">
        <f t="shared" si="137"/>
        <v/>
      </c>
      <c r="Q584" s="183" t="str">
        <f t="shared" si="148"/>
        <v/>
      </c>
      <c r="R584" s="182" t="str">
        <f>IF(M584&lt;&gt;"",IF(#REF!*F584*10=0,"",#REF!*F584*10),"")</f>
        <v/>
      </c>
      <c r="S584" s="184" t="str">
        <f t="shared" si="149"/>
        <v/>
      </c>
      <c r="T584" s="185" t="str">
        <f t="shared" si="138"/>
        <v/>
      </c>
      <c r="U584" s="183" t="str">
        <f t="shared" si="150"/>
        <v/>
      </c>
      <c r="V584" s="186" t="str">
        <f t="shared" si="139"/>
        <v/>
      </c>
      <c r="W584" s="186" t="str">
        <f t="shared" si="140"/>
        <v/>
      </c>
      <c r="X584" s="187" t="str">
        <f t="shared" si="141"/>
        <v/>
      </c>
      <c r="Y584" s="182" t="str">
        <f t="shared" si="151"/>
        <v/>
      </c>
      <c r="Z584" s="209" t="str">
        <f t="shared" si="142"/>
        <v/>
      </c>
      <c r="AA584" s="209" t="str">
        <f t="shared" si="143"/>
        <v/>
      </c>
      <c r="AB584" s="200"/>
      <c r="AC584" s="192"/>
    </row>
    <row r="585" spans="1:29" ht="11.4">
      <c r="A585" s="211" t="str">
        <f t="shared" si="144"/>
        <v/>
      </c>
      <c r="B585" s="211"/>
      <c r="C585" s="215"/>
      <c r="D585" s="213" t="str">
        <f t="shared" si="145"/>
        <v/>
      </c>
      <c r="E585" s="213" t="str">
        <f t="shared" si="153"/>
        <v/>
      </c>
      <c r="F585" s="214" t="str">
        <f t="shared" si="146"/>
        <v/>
      </c>
      <c r="G585" s="180"/>
      <c r="H585" s="181" t="str">
        <f t="shared" si="147"/>
        <v/>
      </c>
      <c r="I585" s="227"/>
      <c r="J585" s="227"/>
      <c r="K585" s="227"/>
      <c r="L585" s="227"/>
      <c r="M585" s="210" t="str">
        <f t="shared" si="152"/>
        <v/>
      </c>
      <c r="N585" s="210"/>
      <c r="O585" s="207"/>
      <c r="P585" s="182" t="str">
        <f t="shared" si="137"/>
        <v/>
      </c>
      <c r="Q585" s="183" t="str">
        <f t="shared" si="148"/>
        <v/>
      </c>
      <c r="R585" s="182" t="str">
        <f>IF(M585&lt;&gt;"",IF(#REF!*F585*10=0,"",#REF!*F585*10),"")</f>
        <v/>
      </c>
      <c r="S585" s="184" t="str">
        <f t="shared" si="149"/>
        <v/>
      </c>
      <c r="T585" s="185" t="str">
        <f t="shared" si="138"/>
        <v/>
      </c>
      <c r="U585" s="183" t="str">
        <f t="shared" si="150"/>
        <v/>
      </c>
      <c r="V585" s="186" t="str">
        <f t="shared" si="139"/>
        <v/>
      </c>
      <c r="W585" s="186" t="str">
        <f t="shared" si="140"/>
        <v/>
      </c>
      <c r="X585" s="187" t="str">
        <f t="shared" si="141"/>
        <v/>
      </c>
      <c r="Y585" s="182" t="str">
        <f t="shared" si="151"/>
        <v/>
      </c>
      <c r="Z585" s="209" t="str">
        <f t="shared" si="142"/>
        <v/>
      </c>
      <c r="AA585" s="209" t="str">
        <f t="shared" si="143"/>
        <v/>
      </c>
      <c r="AB585" s="200"/>
      <c r="AC585" s="192"/>
    </row>
    <row r="586" spans="1:29" ht="11.4">
      <c r="A586" s="211" t="str">
        <f t="shared" si="144"/>
        <v/>
      </c>
      <c r="B586" s="211"/>
      <c r="C586" s="215"/>
      <c r="D586" s="213" t="str">
        <f t="shared" si="145"/>
        <v/>
      </c>
      <c r="E586" s="213" t="str">
        <f t="shared" si="153"/>
        <v/>
      </c>
      <c r="F586" s="214" t="str">
        <f t="shared" si="146"/>
        <v/>
      </c>
      <c r="G586" s="180"/>
      <c r="H586" s="181" t="str">
        <f t="shared" si="147"/>
        <v/>
      </c>
      <c r="I586" s="227"/>
      <c r="J586" s="227"/>
      <c r="K586" s="227"/>
      <c r="L586" s="227"/>
      <c r="M586" s="210" t="str">
        <f t="shared" si="152"/>
        <v/>
      </c>
      <c r="N586" s="210"/>
      <c r="O586" s="207"/>
      <c r="P586" s="182" t="str">
        <f t="shared" si="137"/>
        <v/>
      </c>
      <c r="Q586" s="183" t="str">
        <f t="shared" si="148"/>
        <v/>
      </c>
      <c r="R586" s="182" t="str">
        <f>IF(M586&lt;&gt;"",IF(#REF!*F586*10=0,"",#REF!*F586*10),"")</f>
        <v/>
      </c>
      <c r="S586" s="184" t="str">
        <f t="shared" si="149"/>
        <v/>
      </c>
      <c r="T586" s="185" t="str">
        <f t="shared" si="138"/>
        <v/>
      </c>
      <c r="U586" s="183" t="str">
        <f t="shared" si="150"/>
        <v/>
      </c>
      <c r="V586" s="186" t="str">
        <f t="shared" si="139"/>
        <v/>
      </c>
      <c r="W586" s="186" t="str">
        <f t="shared" si="140"/>
        <v/>
      </c>
      <c r="X586" s="187" t="str">
        <f t="shared" si="141"/>
        <v/>
      </c>
      <c r="Y586" s="182" t="str">
        <f t="shared" si="151"/>
        <v/>
      </c>
      <c r="Z586" s="209" t="str">
        <f t="shared" si="142"/>
        <v/>
      </c>
      <c r="AA586" s="209" t="str">
        <f t="shared" si="143"/>
        <v/>
      </c>
      <c r="AB586" s="200"/>
      <c r="AC586" s="192"/>
    </row>
    <row r="587" spans="1:29" ht="11.4">
      <c r="A587" s="211" t="str">
        <f t="shared" si="144"/>
        <v/>
      </c>
      <c r="B587" s="211"/>
      <c r="C587" s="215"/>
      <c r="D587" s="213" t="str">
        <f t="shared" si="145"/>
        <v/>
      </c>
      <c r="E587" s="213" t="str">
        <f t="shared" si="153"/>
        <v/>
      </c>
      <c r="F587" s="214" t="str">
        <f t="shared" si="146"/>
        <v/>
      </c>
      <c r="G587" s="180"/>
      <c r="H587" s="181" t="str">
        <f t="shared" si="147"/>
        <v/>
      </c>
      <c r="I587" s="227"/>
      <c r="J587" s="227"/>
      <c r="K587" s="227"/>
      <c r="L587" s="227"/>
      <c r="M587" s="210" t="str">
        <f t="shared" si="152"/>
        <v/>
      </c>
      <c r="N587" s="210"/>
      <c r="O587" s="207"/>
      <c r="P587" s="182" t="str">
        <f t="shared" si="137"/>
        <v/>
      </c>
      <c r="Q587" s="183" t="str">
        <f t="shared" si="148"/>
        <v/>
      </c>
      <c r="R587" s="182" t="str">
        <f>IF(M587&lt;&gt;"",IF(#REF!*F587*10=0,"",#REF!*F587*10),"")</f>
        <v/>
      </c>
      <c r="S587" s="184" t="str">
        <f t="shared" si="149"/>
        <v/>
      </c>
      <c r="T587" s="185" t="str">
        <f t="shared" si="138"/>
        <v/>
      </c>
      <c r="U587" s="183" t="str">
        <f t="shared" si="150"/>
        <v/>
      </c>
      <c r="V587" s="186" t="str">
        <f t="shared" si="139"/>
        <v/>
      </c>
      <c r="W587" s="186" t="str">
        <f t="shared" si="140"/>
        <v/>
      </c>
      <c r="X587" s="187" t="str">
        <f t="shared" si="141"/>
        <v/>
      </c>
      <c r="Y587" s="182" t="str">
        <f t="shared" si="151"/>
        <v/>
      </c>
      <c r="Z587" s="209" t="str">
        <f t="shared" si="142"/>
        <v/>
      </c>
      <c r="AA587" s="209" t="str">
        <f t="shared" si="143"/>
        <v/>
      </c>
      <c r="AB587" s="200"/>
      <c r="AC587" s="192"/>
    </row>
    <row r="588" spans="1:29" ht="11.4">
      <c r="A588" s="211" t="str">
        <f t="shared" si="144"/>
        <v/>
      </c>
      <c r="B588" s="211"/>
      <c r="C588" s="215"/>
      <c r="D588" s="213" t="str">
        <f t="shared" si="145"/>
        <v/>
      </c>
      <c r="E588" s="213" t="str">
        <f t="shared" si="153"/>
        <v/>
      </c>
      <c r="F588" s="214" t="str">
        <f t="shared" si="146"/>
        <v/>
      </c>
      <c r="G588" s="180"/>
      <c r="H588" s="181" t="str">
        <f t="shared" si="147"/>
        <v/>
      </c>
      <c r="I588" s="227"/>
      <c r="J588" s="227"/>
      <c r="K588" s="227"/>
      <c r="L588" s="227"/>
      <c r="M588" s="210" t="str">
        <f t="shared" si="152"/>
        <v/>
      </c>
      <c r="N588" s="210"/>
      <c r="O588" s="207"/>
      <c r="P588" s="182" t="str">
        <f t="shared" ref="P588:P651" si="154">IF(M588="","",IF(L588*F588*$D$3=0,0,L588*F588*$D$3))</f>
        <v/>
      </c>
      <c r="Q588" s="183" t="str">
        <f t="shared" si="148"/>
        <v/>
      </c>
      <c r="R588" s="182" t="str">
        <f>IF(M588&lt;&gt;"",IF(#REF!*F588*10=0,"",#REF!*F588*10),"")</f>
        <v/>
      </c>
      <c r="S588" s="184" t="str">
        <f t="shared" si="149"/>
        <v/>
      </c>
      <c r="T588" s="185" t="str">
        <f t="shared" ref="T588:T651" si="155">IF(X588="","",X588*F588*$D$3)</f>
        <v/>
      </c>
      <c r="U588" s="183" t="str">
        <f t="shared" si="150"/>
        <v/>
      </c>
      <c r="V588" s="186" t="str">
        <f t="shared" ref="V588:V651" si="156">IF(M588="","",IF(AND(M588&gt;I588,H588="L"),1, IF(AND(I588&gt;M588,H588="S"),1,0)))</f>
        <v/>
      </c>
      <c r="W588" s="186" t="str">
        <f t="shared" ref="W588:W651" si="157">IF(M588="","",IF(AND(M588&lt;I588,H588="L"),1, IF(AND(I588&lt;M588,H588="S"),1,0)))</f>
        <v/>
      </c>
      <c r="X588" s="187" t="str">
        <f t="shared" ref="X588:X651" si="158">IF((M588=""),"",IF(H588="Buy",1,-1)*(M588-I588)*IF(LEN(RIGHT(I588,LEN(I588)-FIND(".",I588)))&gt;3,10000,100))</f>
        <v/>
      </c>
      <c r="Y588" s="182" t="str">
        <f t="shared" si="151"/>
        <v/>
      </c>
      <c r="Z588" s="209" t="str">
        <f t="shared" ref="Z588:Z651" si="159">IF(C588="","",MONTH(LEFT(C588,8)))</f>
        <v/>
      </c>
      <c r="AA588" s="209" t="str">
        <f t="shared" ref="AA588:AA651" si="160">IF(C588="","",YEAR(LEFT(C588,8)))</f>
        <v/>
      </c>
      <c r="AB588" s="200"/>
      <c r="AC588" s="192"/>
    </row>
    <row r="589" spans="1:29" ht="11.4">
      <c r="A589" s="211" t="str">
        <f t="shared" ref="A589:A652" si="161">IF(D589="","",1)</f>
        <v/>
      </c>
      <c r="B589" s="211"/>
      <c r="C589" s="215"/>
      <c r="D589" s="213" t="str">
        <f t="shared" ref="D589:D652" si="162">IF(G589="","","SUGAR")</f>
        <v/>
      </c>
      <c r="E589" s="213" t="str">
        <f t="shared" si="153"/>
        <v/>
      </c>
      <c r="F589" s="214" t="str">
        <f t="shared" ref="F589:F652" si="163">IF(G589="","",0.01)</f>
        <v/>
      </c>
      <c r="G589" s="180"/>
      <c r="H589" s="181" t="str">
        <f t="shared" ref="H589:H652" si="164">IF(G589="","",IF(OR(G589="第二类买点",G589="第三类买点"),"Buy","Sell"))</f>
        <v/>
      </c>
      <c r="I589" s="227"/>
      <c r="J589" s="227"/>
      <c r="K589" s="227"/>
      <c r="L589" s="227"/>
      <c r="M589" s="210" t="str">
        <f t="shared" si="152"/>
        <v/>
      </c>
      <c r="N589" s="210"/>
      <c r="O589" s="207"/>
      <c r="P589" s="182" t="str">
        <f t="shared" si="154"/>
        <v/>
      </c>
      <c r="Q589" s="183" t="str">
        <f t="shared" ref="Q589:Q652" si="165">IF(P589="","",IF(P589=0,0,P589/$I$4))</f>
        <v/>
      </c>
      <c r="R589" s="182" t="str">
        <f>IF(M589&lt;&gt;"",IF(#REF!*F589*10=0,"",#REF!*F589*10),"")</f>
        <v/>
      </c>
      <c r="S589" s="184" t="str">
        <f t="shared" ref="S589:S652" si="166">IF(P589="","",IF(P589=0,0,R589/P589))</f>
        <v/>
      </c>
      <c r="T589" s="185" t="str">
        <f t="shared" si="155"/>
        <v/>
      </c>
      <c r="U589" s="183" t="str">
        <f t="shared" ref="U589:U652" si="167">IF(T589="","",IF($I$4="","",T589/$I$4))</f>
        <v/>
      </c>
      <c r="V589" s="186" t="str">
        <f t="shared" si="156"/>
        <v/>
      </c>
      <c r="W589" s="186" t="str">
        <f t="shared" si="157"/>
        <v/>
      </c>
      <c r="X589" s="187" t="str">
        <f t="shared" si="158"/>
        <v/>
      </c>
      <c r="Y589" s="182" t="str">
        <f t="shared" si="151"/>
        <v/>
      </c>
      <c r="Z589" s="209" t="str">
        <f t="shared" si="159"/>
        <v/>
      </c>
      <c r="AA589" s="209" t="str">
        <f t="shared" si="160"/>
        <v/>
      </c>
      <c r="AB589" s="200"/>
      <c r="AC589" s="192"/>
    </row>
    <row r="590" spans="1:29" ht="11.4">
      <c r="A590" s="211" t="str">
        <f t="shared" si="161"/>
        <v/>
      </c>
      <c r="B590" s="211"/>
      <c r="C590" s="215"/>
      <c r="D590" s="213" t="str">
        <f t="shared" si="162"/>
        <v/>
      </c>
      <c r="E590" s="213" t="str">
        <f t="shared" si="153"/>
        <v/>
      </c>
      <c r="F590" s="214" t="str">
        <f t="shared" si="163"/>
        <v/>
      </c>
      <c r="G590" s="180"/>
      <c r="H590" s="181" t="str">
        <f t="shared" si="164"/>
        <v/>
      </c>
      <c r="I590" s="227"/>
      <c r="J590" s="227"/>
      <c r="K590" s="227"/>
      <c r="L590" s="227"/>
      <c r="M590" s="210" t="str">
        <f t="shared" si="152"/>
        <v/>
      </c>
      <c r="N590" s="210"/>
      <c r="O590" s="207"/>
      <c r="P590" s="182" t="str">
        <f t="shared" si="154"/>
        <v/>
      </c>
      <c r="Q590" s="183" t="str">
        <f t="shared" si="165"/>
        <v/>
      </c>
      <c r="R590" s="182" t="str">
        <f>IF(M590&lt;&gt;"",IF(#REF!*F590*10=0,"",#REF!*F590*10),"")</f>
        <v/>
      </c>
      <c r="S590" s="184" t="str">
        <f t="shared" si="166"/>
        <v/>
      </c>
      <c r="T590" s="185" t="str">
        <f t="shared" si="155"/>
        <v/>
      </c>
      <c r="U590" s="183" t="str">
        <f t="shared" si="167"/>
        <v/>
      </c>
      <c r="V590" s="186" t="str">
        <f t="shared" si="156"/>
        <v/>
      </c>
      <c r="W590" s="186" t="str">
        <f t="shared" si="157"/>
        <v/>
      </c>
      <c r="X590" s="187" t="str">
        <f t="shared" si="158"/>
        <v/>
      </c>
      <c r="Y590" s="182" t="str">
        <f t="shared" ref="Y590:Y653" si="168">IF(Y589="","",IF(T590="","",Y589+T590))</f>
        <v/>
      </c>
      <c r="Z590" s="209" t="str">
        <f t="shared" si="159"/>
        <v/>
      </c>
      <c r="AA590" s="209" t="str">
        <f t="shared" si="160"/>
        <v/>
      </c>
      <c r="AB590" s="200"/>
      <c r="AC590" s="192"/>
    </row>
    <row r="591" spans="1:29" ht="11.4">
      <c r="A591" s="211" t="str">
        <f t="shared" si="161"/>
        <v/>
      </c>
      <c r="B591" s="211"/>
      <c r="C591" s="215"/>
      <c r="D591" s="213" t="str">
        <f t="shared" si="162"/>
        <v/>
      </c>
      <c r="E591" s="213" t="str">
        <f t="shared" si="153"/>
        <v/>
      </c>
      <c r="F591" s="214" t="str">
        <f t="shared" si="163"/>
        <v/>
      </c>
      <c r="G591" s="180"/>
      <c r="H591" s="181" t="str">
        <f t="shared" si="164"/>
        <v/>
      </c>
      <c r="I591" s="227"/>
      <c r="J591" s="227"/>
      <c r="K591" s="227"/>
      <c r="L591" s="227"/>
      <c r="M591" s="210" t="str">
        <f t="shared" ref="M591:M654" si="169">IF(J591="","",J591)</f>
        <v/>
      </c>
      <c r="N591" s="210"/>
      <c r="O591" s="207"/>
      <c r="P591" s="182" t="str">
        <f t="shared" si="154"/>
        <v/>
      </c>
      <c r="Q591" s="183" t="str">
        <f t="shared" si="165"/>
        <v/>
      </c>
      <c r="R591" s="182" t="str">
        <f>IF(M591&lt;&gt;"",IF(#REF!*F591*10=0,"",#REF!*F591*10),"")</f>
        <v/>
      </c>
      <c r="S591" s="184" t="str">
        <f t="shared" si="166"/>
        <v/>
      </c>
      <c r="T591" s="185" t="str">
        <f t="shared" si="155"/>
        <v/>
      </c>
      <c r="U591" s="183" t="str">
        <f t="shared" si="167"/>
        <v/>
      </c>
      <c r="V591" s="186" t="str">
        <f t="shared" si="156"/>
        <v/>
      </c>
      <c r="W591" s="186" t="str">
        <f t="shared" si="157"/>
        <v/>
      </c>
      <c r="X591" s="187" t="str">
        <f t="shared" si="158"/>
        <v/>
      </c>
      <c r="Y591" s="182" t="str">
        <f t="shared" si="168"/>
        <v/>
      </c>
      <c r="Z591" s="209" t="str">
        <f t="shared" si="159"/>
        <v/>
      </c>
      <c r="AA591" s="209" t="str">
        <f t="shared" si="160"/>
        <v/>
      </c>
      <c r="AB591" s="200"/>
      <c r="AC591" s="192"/>
    </row>
    <row r="592" spans="1:29" ht="11.4">
      <c r="A592" s="211" t="str">
        <f t="shared" si="161"/>
        <v/>
      </c>
      <c r="B592" s="211"/>
      <c r="C592" s="215"/>
      <c r="D592" s="213" t="str">
        <f t="shared" si="162"/>
        <v/>
      </c>
      <c r="E592" s="213" t="str">
        <f t="shared" ref="E592:E655" si="170">IF(G592="","","M30")</f>
        <v/>
      </c>
      <c r="F592" s="214" t="str">
        <f t="shared" si="163"/>
        <v/>
      </c>
      <c r="G592" s="180"/>
      <c r="H592" s="181" t="str">
        <f t="shared" si="164"/>
        <v/>
      </c>
      <c r="I592" s="227"/>
      <c r="J592" s="227"/>
      <c r="K592" s="227"/>
      <c r="L592" s="227"/>
      <c r="M592" s="210" t="str">
        <f t="shared" si="169"/>
        <v/>
      </c>
      <c r="N592" s="210"/>
      <c r="O592" s="207"/>
      <c r="P592" s="182" t="str">
        <f t="shared" si="154"/>
        <v/>
      </c>
      <c r="Q592" s="183" t="str">
        <f t="shared" si="165"/>
        <v/>
      </c>
      <c r="R592" s="182" t="str">
        <f>IF(M592&lt;&gt;"",IF(#REF!*F592*10=0,"",#REF!*F592*10),"")</f>
        <v/>
      </c>
      <c r="S592" s="184" t="str">
        <f t="shared" si="166"/>
        <v/>
      </c>
      <c r="T592" s="185" t="str">
        <f t="shared" si="155"/>
        <v/>
      </c>
      <c r="U592" s="183" t="str">
        <f t="shared" si="167"/>
        <v/>
      </c>
      <c r="V592" s="186" t="str">
        <f t="shared" si="156"/>
        <v/>
      </c>
      <c r="W592" s="186" t="str">
        <f t="shared" si="157"/>
        <v/>
      </c>
      <c r="X592" s="187" t="str">
        <f t="shared" si="158"/>
        <v/>
      </c>
      <c r="Y592" s="182" t="str">
        <f t="shared" si="168"/>
        <v/>
      </c>
      <c r="Z592" s="209" t="str">
        <f t="shared" si="159"/>
        <v/>
      </c>
      <c r="AA592" s="209" t="str">
        <f t="shared" si="160"/>
        <v/>
      </c>
      <c r="AB592" s="200"/>
      <c r="AC592" s="192"/>
    </row>
    <row r="593" spans="1:29" ht="11.4">
      <c r="A593" s="211" t="str">
        <f t="shared" si="161"/>
        <v/>
      </c>
      <c r="B593" s="211"/>
      <c r="C593" s="215"/>
      <c r="D593" s="213" t="str">
        <f t="shared" si="162"/>
        <v/>
      </c>
      <c r="E593" s="213" t="str">
        <f t="shared" si="170"/>
        <v/>
      </c>
      <c r="F593" s="214" t="str">
        <f t="shared" si="163"/>
        <v/>
      </c>
      <c r="G593" s="180"/>
      <c r="H593" s="181" t="str">
        <f t="shared" si="164"/>
        <v/>
      </c>
      <c r="I593" s="227"/>
      <c r="J593" s="227"/>
      <c r="K593" s="227"/>
      <c r="L593" s="227"/>
      <c r="M593" s="210" t="str">
        <f t="shared" si="169"/>
        <v/>
      </c>
      <c r="N593" s="210"/>
      <c r="O593" s="207"/>
      <c r="P593" s="182" t="str">
        <f t="shared" si="154"/>
        <v/>
      </c>
      <c r="Q593" s="183" t="str">
        <f t="shared" si="165"/>
        <v/>
      </c>
      <c r="R593" s="182" t="str">
        <f>IF(M593&lt;&gt;"",IF(#REF!*F593*10=0,"",#REF!*F593*10),"")</f>
        <v/>
      </c>
      <c r="S593" s="184" t="str">
        <f t="shared" si="166"/>
        <v/>
      </c>
      <c r="T593" s="185" t="str">
        <f t="shared" si="155"/>
        <v/>
      </c>
      <c r="U593" s="183" t="str">
        <f t="shared" si="167"/>
        <v/>
      </c>
      <c r="V593" s="186" t="str">
        <f t="shared" si="156"/>
        <v/>
      </c>
      <c r="W593" s="186" t="str">
        <f t="shared" si="157"/>
        <v/>
      </c>
      <c r="X593" s="187" t="str">
        <f t="shared" si="158"/>
        <v/>
      </c>
      <c r="Y593" s="182" t="str">
        <f t="shared" si="168"/>
        <v/>
      </c>
      <c r="Z593" s="209" t="str">
        <f t="shared" si="159"/>
        <v/>
      </c>
      <c r="AA593" s="209" t="str">
        <f t="shared" si="160"/>
        <v/>
      </c>
      <c r="AB593" s="200"/>
      <c r="AC593" s="192"/>
    </row>
    <row r="594" spans="1:29" ht="11.4">
      <c r="A594" s="211" t="str">
        <f t="shared" si="161"/>
        <v/>
      </c>
      <c r="B594" s="211"/>
      <c r="C594" s="215"/>
      <c r="D594" s="213" t="str">
        <f t="shared" si="162"/>
        <v/>
      </c>
      <c r="E594" s="213" t="str">
        <f t="shared" si="170"/>
        <v/>
      </c>
      <c r="F594" s="214" t="str">
        <f t="shared" si="163"/>
        <v/>
      </c>
      <c r="G594" s="180"/>
      <c r="H594" s="181" t="str">
        <f t="shared" si="164"/>
        <v/>
      </c>
      <c r="I594" s="227"/>
      <c r="J594" s="227"/>
      <c r="K594" s="227"/>
      <c r="L594" s="227"/>
      <c r="M594" s="210" t="str">
        <f t="shared" si="169"/>
        <v/>
      </c>
      <c r="N594" s="210"/>
      <c r="O594" s="207"/>
      <c r="P594" s="182" t="str">
        <f t="shared" si="154"/>
        <v/>
      </c>
      <c r="Q594" s="183" t="str">
        <f t="shared" si="165"/>
        <v/>
      </c>
      <c r="R594" s="182" t="str">
        <f>IF(M594&lt;&gt;"",IF(#REF!*F594*10=0,"",#REF!*F594*10),"")</f>
        <v/>
      </c>
      <c r="S594" s="184" t="str">
        <f t="shared" si="166"/>
        <v/>
      </c>
      <c r="T594" s="185" t="str">
        <f t="shared" si="155"/>
        <v/>
      </c>
      <c r="U594" s="183" t="str">
        <f t="shared" si="167"/>
        <v/>
      </c>
      <c r="V594" s="186" t="str">
        <f t="shared" si="156"/>
        <v/>
      </c>
      <c r="W594" s="186" t="str">
        <f t="shared" si="157"/>
        <v/>
      </c>
      <c r="X594" s="187" t="str">
        <f t="shared" si="158"/>
        <v/>
      </c>
      <c r="Y594" s="182" t="str">
        <f t="shared" si="168"/>
        <v/>
      </c>
      <c r="Z594" s="209" t="str">
        <f t="shared" si="159"/>
        <v/>
      </c>
      <c r="AA594" s="209" t="str">
        <f t="shared" si="160"/>
        <v/>
      </c>
      <c r="AB594" s="200"/>
      <c r="AC594" s="192"/>
    </row>
    <row r="595" spans="1:29" ht="11.4">
      <c r="A595" s="211" t="str">
        <f t="shared" si="161"/>
        <v/>
      </c>
      <c r="B595" s="211"/>
      <c r="C595" s="215"/>
      <c r="D595" s="213" t="str">
        <f t="shared" si="162"/>
        <v/>
      </c>
      <c r="E595" s="213" t="str">
        <f t="shared" si="170"/>
        <v/>
      </c>
      <c r="F595" s="214" t="str">
        <f t="shared" si="163"/>
        <v/>
      </c>
      <c r="G595" s="180"/>
      <c r="H595" s="181" t="str">
        <f t="shared" si="164"/>
        <v/>
      </c>
      <c r="I595" s="227"/>
      <c r="J595" s="227"/>
      <c r="K595" s="227"/>
      <c r="L595" s="227"/>
      <c r="M595" s="210" t="str">
        <f t="shared" si="169"/>
        <v/>
      </c>
      <c r="N595" s="210"/>
      <c r="O595" s="207"/>
      <c r="P595" s="182" t="str">
        <f t="shared" si="154"/>
        <v/>
      </c>
      <c r="Q595" s="183" t="str">
        <f t="shared" si="165"/>
        <v/>
      </c>
      <c r="R595" s="182" t="str">
        <f>IF(M595&lt;&gt;"",IF(#REF!*F595*10=0,"",#REF!*F595*10),"")</f>
        <v/>
      </c>
      <c r="S595" s="184" t="str">
        <f t="shared" si="166"/>
        <v/>
      </c>
      <c r="T595" s="185" t="str">
        <f t="shared" si="155"/>
        <v/>
      </c>
      <c r="U595" s="183" t="str">
        <f t="shared" si="167"/>
        <v/>
      </c>
      <c r="V595" s="186" t="str">
        <f t="shared" si="156"/>
        <v/>
      </c>
      <c r="W595" s="186" t="str">
        <f t="shared" si="157"/>
        <v/>
      </c>
      <c r="X595" s="187" t="str">
        <f t="shared" si="158"/>
        <v/>
      </c>
      <c r="Y595" s="182" t="str">
        <f t="shared" si="168"/>
        <v/>
      </c>
      <c r="Z595" s="209" t="str">
        <f t="shared" si="159"/>
        <v/>
      </c>
      <c r="AA595" s="209" t="str">
        <f t="shared" si="160"/>
        <v/>
      </c>
      <c r="AB595" s="200"/>
      <c r="AC595" s="192"/>
    </row>
    <row r="596" spans="1:29" ht="11.4">
      <c r="A596" s="211" t="str">
        <f t="shared" si="161"/>
        <v/>
      </c>
      <c r="B596" s="211"/>
      <c r="C596" s="215"/>
      <c r="D596" s="213" t="str">
        <f t="shared" si="162"/>
        <v/>
      </c>
      <c r="E596" s="213" t="str">
        <f t="shared" si="170"/>
        <v/>
      </c>
      <c r="F596" s="214" t="str">
        <f t="shared" si="163"/>
        <v/>
      </c>
      <c r="G596" s="180"/>
      <c r="H596" s="181" t="str">
        <f t="shared" si="164"/>
        <v/>
      </c>
      <c r="I596" s="227"/>
      <c r="J596" s="227"/>
      <c r="K596" s="227"/>
      <c r="L596" s="227"/>
      <c r="M596" s="210" t="str">
        <f t="shared" si="169"/>
        <v/>
      </c>
      <c r="N596" s="210"/>
      <c r="O596" s="207"/>
      <c r="P596" s="182" t="str">
        <f t="shared" si="154"/>
        <v/>
      </c>
      <c r="Q596" s="183" t="str">
        <f t="shared" si="165"/>
        <v/>
      </c>
      <c r="R596" s="182" t="str">
        <f>IF(M596&lt;&gt;"",IF(#REF!*F596*10=0,"",#REF!*F596*10),"")</f>
        <v/>
      </c>
      <c r="S596" s="184" t="str">
        <f t="shared" si="166"/>
        <v/>
      </c>
      <c r="T596" s="185" t="str">
        <f t="shared" si="155"/>
        <v/>
      </c>
      <c r="U596" s="183" t="str">
        <f t="shared" si="167"/>
        <v/>
      </c>
      <c r="V596" s="186" t="str">
        <f t="shared" si="156"/>
        <v/>
      </c>
      <c r="W596" s="186" t="str">
        <f t="shared" si="157"/>
        <v/>
      </c>
      <c r="X596" s="187" t="str">
        <f t="shared" si="158"/>
        <v/>
      </c>
      <c r="Y596" s="182" t="str">
        <f t="shared" si="168"/>
        <v/>
      </c>
      <c r="Z596" s="209" t="str">
        <f t="shared" si="159"/>
        <v/>
      </c>
      <c r="AA596" s="209" t="str">
        <f t="shared" si="160"/>
        <v/>
      </c>
      <c r="AB596" s="200"/>
      <c r="AC596" s="192"/>
    </row>
    <row r="597" spans="1:29" ht="11.4">
      <c r="A597" s="211" t="str">
        <f t="shared" si="161"/>
        <v/>
      </c>
      <c r="B597" s="211"/>
      <c r="C597" s="215"/>
      <c r="D597" s="213" t="str">
        <f t="shared" si="162"/>
        <v/>
      </c>
      <c r="E597" s="213" t="str">
        <f t="shared" si="170"/>
        <v/>
      </c>
      <c r="F597" s="214" t="str">
        <f t="shared" si="163"/>
        <v/>
      </c>
      <c r="G597" s="180"/>
      <c r="H597" s="181" t="str">
        <f t="shared" si="164"/>
        <v/>
      </c>
      <c r="I597" s="227"/>
      <c r="J597" s="227"/>
      <c r="K597" s="227"/>
      <c r="L597" s="227"/>
      <c r="M597" s="210" t="str">
        <f t="shared" si="169"/>
        <v/>
      </c>
      <c r="N597" s="210"/>
      <c r="O597" s="207"/>
      <c r="P597" s="182" t="str">
        <f t="shared" si="154"/>
        <v/>
      </c>
      <c r="Q597" s="183" t="str">
        <f t="shared" si="165"/>
        <v/>
      </c>
      <c r="R597" s="182" t="str">
        <f>IF(M597&lt;&gt;"",IF(#REF!*F597*10=0,"",#REF!*F597*10),"")</f>
        <v/>
      </c>
      <c r="S597" s="184" t="str">
        <f t="shared" si="166"/>
        <v/>
      </c>
      <c r="T597" s="185" t="str">
        <f t="shared" si="155"/>
        <v/>
      </c>
      <c r="U597" s="183" t="str">
        <f t="shared" si="167"/>
        <v/>
      </c>
      <c r="V597" s="186" t="str">
        <f t="shared" si="156"/>
        <v/>
      </c>
      <c r="W597" s="186" t="str">
        <f t="shared" si="157"/>
        <v/>
      </c>
      <c r="X597" s="187" t="str">
        <f t="shared" si="158"/>
        <v/>
      </c>
      <c r="Y597" s="182" t="str">
        <f t="shared" si="168"/>
        <v/>
      </c>
      <c r="Z597" s="209" t="str">
        <f t="shared" si="159"/>
        <v/>
      </c>
      <c r="AA597" s="209" t="str">
        <f t="shared" si="160"/>
        <v/>
      </c>
      <c r="AB597" s="200"/>
      <c r="AC597" s="192"/>
    </row>
    <row r="598" spans="1:29" ht="11.4">
      <c r="A598" s="211" t="str">
        <f t="shared" si="161"/>
        <v/>
      </c>
      <c r="B598" s="211"/>
      <c r="C598" s="215"/>
      <c r="D598" s="213" t="str">
        <f t="shared" si="162"/>
        <v/>
      </c>
      <c r="E598" s="213" t="str">
        <f t="shared" si="170"/>
        <v/>
      </c>
      <c r="F598" s="214" t="str">
        <f t="shared" si="163"/>
        <v/>
      </c>
      <c r="G598" s="180"/>
      <c r="H598" s="181" t="str">
        <f t="shared" si="164"/>
        <v/>
      </c>
      <c r="I598" s="227"/>
      <c r="J598" s="227"/>
      <c r="K598" s="227"/>
      <c r="L598" s="227"/>
      <c r="M598" s="210" t="str">
        <f t="shared" si="169"/>
        <v/>
      </c>
      <c r="N598" s="210"/>
      <c r="O598" s="207"/>
      <c r="P598" s="182" t="str">
        <f t="shared" si="154"/>
        <v/>
      </c>
      <c r="Q598" s="183" t="str">
        <f t="shared" si="165"/>
        <v/>
      </c>
      <c r="R598" s="182" t="str">
        <f>IF(M598&lt;&gt;"",IF(#REF!*F598*10=0,"",#REF!*F598*10),"")</f>
        <v/>
      </c>
      <c r="S598" s="184" t="str">
        <f t="shared" si="166"/>
        <v/>
      </c>
      <c r="T598" s="185" t="str">
        <f t="shared" si="155"/>
        <v/>
      </c>
      <c r="U598" s="183" t="str">
        <f t="shared" si="167"/>
        <v/>
      </c>
      <c r="V598" s="186" t="str">
        <f t="shared" si="156"/>
        <v/>
      </c>
      <c r="W598" s="186" t="str">
        <f t="shared" si="157"/>
        <v/>
      </c>
      <c r="X598" s="187" t="str">
        <f t="shared" si="158"/>
        <v/>
      </c>
      <c r="Y598" s="182" t="str">
        <f t="shared" si="168"/>
        <v/>
      </c>
      <c r="Z598" s="209" t="str">
        <f t="shared" si="159"/>
        <v/>
      </c>
      <c r="AA598" s="209" t="str">
        <f t="shared" si="160"/>
        <v/>
      </c>
      <c r="AB598" s="200"/>
      <c r="AC598" s="192"/>
    </row>
    <row r="599" spans="1:29" ht="11.4">
      <c r="A599" s="211" t="str">
        <f t="shared" si="161"/>
        <v/>
      </c>
      <c r="B599" s="211"/>
      <c r="C599" s="215"/>
      <c r="D599" s="213" t="str">
        <f t="shared" si="162"/>
        <v/>
      </c>
      <c r="E599" s="213" t="str">
        <f t="shared" si="170"/>
        <v/>
      </c>
      <c r="F599" s="214" t="str">
        <f t="shared" si="163"/>
        <v/>
      </c>
      <c r="G599" s="180"/>
      <c r="H599" s="181" t="str">
        <f t="shared" si="164"/>
        <v/>
      </c>
      <c r="I599" s="227"/>
      <c r="J599" s="227"/>
      <c r="K599" s="227"/>
      <c r="L599" s="227"/>
      <c r="M599" s="210" t="str">
        <f t="shared" si="169"/>
        <v/>
      </c>
      <c r="N599" s="210"/>
      <c r="O599" s="207"/>
      <c r="P599" s="182" t="str">
        <f t="shared" si="154"/>
        <v/>
      </c>
      <c r="Q599" s="183" t="str">
        <f t="shared" si="165"/>
        <v/>
      </c>
      <c r="R599" s="182" t="str">
        <f>IF(M599&lt;&gt;"",IF(#REF!*F599*10=0,"",#REF!*F599*10),"")</f>
        <v/>
      </c>
      <c r="S599" s="184" t="str">
        <f t="shared" si="166"/>
        <v/>
      </c>
      <c r="T599" s="185" t="str">
        <f t="shared" si="155"/>
        <v/>
      </c>
      <c r="U599" s="183" t="str">
        <f t="shared" si="167"/>
        <v/>
      </c>
      <c r="V599" s="186" t="str">
        <f t="shared" si="156"/>
        <v/>
      </c>
      <c r="W599" s="186" t="str">
        <f t="shared" si="157"/>
        <v/>
      </c>
      <c r="X599" s="187" t="str">
        <f t="shared" si="158"/>
        <v/>
      </c>
      <c r="Y599" s="182" t="str">
        <f t="shared" si="168"/>
        <v/>
      </c>
      <c r="Z599" s="209" t="str">
        <f t="shared" si="159"/>
        <v/>
      </c>
      <c r="AA599" s="209" t="str">
        <f t="shared" si="160"/>
        <v/>
      </c>
      <c r="AB599" s="200"/>
      <c r="AC599" s="192"/>
    </row>
    <row r="600" spans="1:29" ht="11.4">
      <c r="A600" s="211" t="str">
        <f t="shared" si="161"/>
        <v/>
      </c>
      <c r="B600" s="211"/>
      <c r="C600" s="215"/>
      <c r="D600" s="213" t="str">
        <f t="shared" si="162"/>
        <v/>
      </c>
      <c r="E600" s="213" t="str">
        <f t="shared" si="170"/>
        <v/>
      </c>
      <c r="F600" s="214" t="str">
        <f t="shared" si="163"/>
        <v/>
      </c>
      <c r="G600" s="180"/>
      <c r="H600" s="181" t="str">
        <f t="shared" si="164"/>
        <v/>
      </c>
      <c r="I600" s="227"/>
      <c r="J600" s="227"/>
      <c r="K600" s="227"/>
      <c r="L600" s="227"/>
      <c r="M600" s="210" t="str">
        <f t="shared" si="169"/>
        <v/>
      </c>
      <c r="N600" s="210"/>
      <c r="O600" s="207"/>
      <c r="P600" s="182" t="str">
        <f t="shared" si="154"/>
        <v/>
      </c>
      <c r="Q600" s="183" t="str">
        <f t="shared" si="165"/>
        <v/>
      </c>
      <c r="R600" s="182" t="str">
        <f>IF(M600&lt;&gt;"",IF(#REF!*F600*10=0,"",#REF!*F600*10),"")</f>
        <v/>
      </c>
      <c r="S600" s="184" t="str">
        <f t="shared" si="166"/>
        <v/>
      </c>
      <c r="T600" s="185" t="str">
        <f t="shared" si="155"/>
        <v/>
      </c>
      <c r="U600" s="183" t="str">
        <f t="shared" si="167"/>
        <v/>
      </c>
      <c r="V600" s="186" t="str">
        <f t="shared" si="156"/>
        <v/>
      </c>
      <c r="W600" s="186" t="str">
        <f t="shared" si="157"/>
        <v/>
      </c>
      <c r="X600" s="187" t="str">
        <f t="shared" si="158"/>
        <v/>
      </c>
      <c r="Y600" s="182" t="str">
        <f t="shared" si="168"/>
        <v/>
      </c>
      <c r="Z600" s="209" t="str">
        <f t="shared" si="159"/>
        <v/>
      </c>
      <c r="AA600" s="209" t="str">
        <f t="shared" si="160"/>
        <v/>
      </c>
      <c r="AB600" s="200"/>
      <c r="AC600" s="192"/>
    </row>
    <row r="601" spans="1:29" ht="11.4">
      <c r="A601" s="211" t="str">
        <f t="shared" si="161"/>
        <v/>
      </c>
      <c r="B601" s="211"/>
      <c r="C601" s="215"/>
      <c r="D601" s="213" t="str">
        <f t="shared" si="162"/>
        <v/>
      </c>
      <c r="E601" s="213" t="str">
        <f t="shared" si="170"/>
        <v/>
      </c>
      <c r="F601" s="214" t="str">
        <f t="shared" si="163"/>
        <v/>
      </c>
      <c r="G601" s="180"/>
      <c r="H601" s="181" t="str">
        <f t="shared" si="164"/>
        <v/>
      </c>
      <c r="I601" s="227"/>
      <c r="J601" s="227"/>
      <c r="K601" s="227"/>
      <c r="L601" s="227"/>
      <c r="M601" s="210" t="str">
        <f t="shared" si="169"/>
        <v/>
      </c>
      <c r="N601" s="210"/>
      <c r="O601" s="207"/>
      <c r="P601" s="182" t="str">
        <f t="shared" si="154"/>
        <v/>
      </c>
      <c r="Q601" s="183" t="str">
        <f t="shared" si="165"/>
        <v/>
      </c>
      <c r="R601" s="182" t="str">
        <f>IF(M601&lt;&gt;"",IF(#REF!*F601*10=0,"",#REF!*F601*10),"")</f>
        <v/>
      </c>
      <c r="S601" s="184" t="str">
        <f t="shared" si="166"/>
        <v/>
      </c>
      <c r="T601" s="185" t="str">
        <f t="shared" si="155"/>
        <v/>
      </c>
      <c r="U601" s="183" t="str">
        <f t="shared" si="167"/>
        <v/>
      </c>
      <c r="V601" s="186" t="str">
        <f t="shared" si="156"/>
        <v/>
      </c>
      <c r="W601" s="186" t="str">
        <f t="shared" si="157"/>
        <v/>
      </c>
      <c r="X601" s="187" t="str">
        <f t="shared" si="158"/>
        <v/>
      </c>
      <c r="Y601" s="182" t="str">
        <f t="shared" si="168"/>
        <v/>
      </c>
      <c r="Z601" s="209" t="str">
        <f t="shared" si="159"/>
        <v/>
      </c>
      <c r="AA601" s="209" t="str">
        <f t="shared" si="160"/>
        <v/>
      </c>
      <c r="AB601" s="200"/>
      <c r="AC601" s="192"/>
    </row>
    <row r="602" spans="1:29" ht="11.4">
      <c r="A602" s="211" t="str">
        <f t="shared" si="161"/>
        <v/>
      </c>
      <c r="B602" s="211"/>
      <c r="C602" s="215"/>
      <c r="D602" s="213" t="str">
        <f t="shared" si="162"/>
        <v/>
      </c>
      <c r="E602" s="213" t="str">
        <f t="shared" si="170"/>
        <v/>
      </c>
      <c r="F602" s="214" t="str">
        <f t="shared" si="163"/>
        <v/>
      </c>
      <c r="G602" s="180"/>
      <c r="H602" s="181" t="str">
        <f t="shared" si="164"/>
        <v/>
      </c>
      <c r="I602" s="227"/>
      <c r="J602" s="227"/>
      <c r="K602" s="227"/>
      <c r="L602" s="227"/>
      <c r="M602" s="210" t="str">
        <f t="shared" si="169"/>
        <v/>
      </c>
      <c r="N602" s="210"/>
      <c r="O602" s="207"/>
      <c r="P602" s="182" t="str">
        <f t="shared" si="154"/>
        <v/>
      </c>
      <c r="Q602" s="183" t="str">
        <f t="shared" si="165"/>
        <v/>
      </c>
      <c r="R602" s="182" t="str">
        <f>IF(M602&lt;&gt;"",IF(#REF!*F602*10=0,"",#REF!*F602*10),"")</f>
        <v/>
      </c>
      <c r="S602" s="184" t="str">
        <f t="shared" si="166"/>
        <v/>
      </c>
      <c r="T602" s="185" t="str">
        <f t="shared" si="155"/>
        <v/>
      </c>
      <c r="U602" s="183" t="str">
        <f t="shared" si="167"/>
        <v/>
      </c>
      <c r="V602" s="186" t="str">
        <f t="shared" si="156"/>
        <v/>
      </c>
      <c r="W602" s="186" t="str">
        <f t="shared" si="157"/>
        <v/>
      </c>
      <c r="X602" s="187" t="str">
        <f t="shared" si="158"/>
        <v/>
      </c>
      <c r="Y602" s="182" t="str">
        <f t="shared" si="168"/>
        <v/>
      </c>
      <c r="Z602" s="209" t="str">
        <f t="shared" si="159"/>
        <v/>
      </c>
      <c r="AA602" s="209" t="str">
        <f t="shared" si="160"/>
        <v/>
      </c>
      <c r="AB602" s="200"/>
      <c r="AC602" s="192"/>
    </row>
    <row r="603" spans="1:29" ht="11.4">
      <c r="A603" s="211" t="str">
        <f t="shared" si="161"/>
        <v/>
      </c>
      <c r="B603" s="211"/>
      <c r="C603" s="215"/>
      <c r="D603" s="213" t="str">
        <f t="shared" si="162"/>
        <v/>
      </c>
      <c r="E603" s="213" t="str">
        <f t="shared" si="170"/>
        <v/>
      </c>
      <c r="F603" s="214" t="str">
        <f t="shared" si="163"/>
        <v/>
      </c>
      <c r="G603" s="180"/>
      <c r="H603" s="181" t="str">
        <f t="shared" si="164"/>
        <v/>
      </c>
      <c r="I603" s="227"/>
      <c r="J603" s="227"/>
      <c r="K603" s="227"/>
      <c r="L603" s="227"/>
      <c r="M603" s="210" t="str">
        <f t="shared" si="169"/>
        <v/>
      </c>
      <c r="N603" s="210"/>
      <c r="O603" s="207"/>
      <c r="P603" s="182" t="str">
        <f t="shared" si="154"/>
        <v/>
      </c>
      <c r="Q603" s="183" t="str">
        <f t="shared" si="165"/>
        <v/>
      </c>
      <c r="R603" s="182" t="str">
        <f>IF(M603&lt;&gt;"",IF(#REF!*F603*10=0,"",#REF!*F603*10),"")</f>
        <v/>
      </c>
      <c r="S603" s="184" t="str">
        <f t="shared" si="166"/>
        <v/>
      </c>
      <c r="T603" s="185" t="str">
        <f t="shared" si="155"/>
        <v/>
      </c>
      <c r="U603" s="183" t="str">
        <f t="shared" si="167"/>
        <v/>
      </c>
      <c r="V603" s="186" t="str">
        <f t="shared" si="156"/>
        <v/>
      </c>
      <c r="W603" s="186" t="str">
        <f t="shared" si="157"/>
        <v/>
      </c>
      <c r="X603" s="187" t="str">
        <f t="shared" si="158"/>
        <v/>
      </c>
      <c r="Y603" s="182" t="str">
        <f t="shared" si="168"/>
        <v/>
      </c>
      <c r="Z603" s="209" t="str">
        <f t="shared" si="159"/>
        <v/>
      </c>
      <c r="AA603" s="209" t="str">
        <f t="shared" si="160"/>
        <v/>
      </c>
      <c r="AB603" s="200"/>
      <c r="AC603" s="192"/>
    </row>
    <row r="604" spans="1:29" ht="11.4">
      <c r="A604" s="211" t="str">
        <f t="shared" si="161"/>
        <v/>
      </c>
      <c r="B604" s="211"/>
      <c r="C604" s="215"/>
      <c r="D604" s="213" t="str">
        <f t="shared" si="162"/>
        <v/>
      </c>
      <c r="E604" s="213" t="str">
        <f t="shared" si="170"/>
        <v/>
      </c>
      <c r="F604" s="214" t="str">
        <f t="shared" si="163"/>
        <v/>
      </c>
      <c r="G604" s="180"/>
      <c r="H604" s="181" t="str">
        <f t="shared" si="164"/>
        <v/>
      </c>
      <c r="I604" s="227"/>
      <c r="J604" s="227"/>
      <c r="K604" s="227"/>
      <c r="L604" s="227"/>
      <c r="M604" s="210" t="str">
        <f t="shared" si="169"/>
        <v/>
      </c>
      <c r="N604" s="210"/>
      <c r="O604" s="207"/>
      <c r="P604" s="182" t="str">
        <f t="shared" si="154"/>
        <v/>
      </c>
      <c r="Q604" s="183" t="str">
        <f t="shared" si="165"/>
        <v/>
      </c>
      <c r="R604" s="182" t="str">
        <f>IF(M604&lt;&gt;"",IF(#REF!*F604*10=0,"",#REF!*F604*10),"")</f>
        <v/>
      </c>
      <c r="S604" s="184" t="str">
        <f t="shared" si="166"/>
        <v/>
      </c>
      <c r="T604" s="185" t="str">
        <f t="shared" si="155"/>
        <v/>
      </c>
      <c r="U604" s="183" t="str">
        <f t="shared" si="167"/>
        <v/>
      </c>
      <c r="V604" s="186" t="str">
        <f t="shared" si="156"/>
        <v/>
      </c>
      <c r="W604" s="186" t="str">
        <f t="shared" si="157"/>
        <v/>
      </c>
      <c r="X604" s="187" t="str">
        <f t="shared" si="158"/>
        <v/>
      </c>
      <c r="Y604" s="182" t="str">
        <f t="shared" si="168"/>
        <v/>
      </c>
      <c r="Z604" s="209" t="str">
        <f t="shared" si="159"/>
        <v/>
      </c>
      <c r="AA604" s="209" t="str">
        <f t="shared" si="160"/>
        <v/>
      </c>
      <c r="AB604" s="200"/>
      <c r="AC604" s="192"/>
    </row>
    <row r="605" spans="1:29" ht="11.4">
      <c r="A605" s="211" t="str">
        <f t="shared" si="161"/>
        <v/>
      </c>
      <c r="B605" s="211"/>
      <c r="C605" s="215"/>
      <c r="D605" s="213" t="str">
        <f t="shared" si="162"/>
        <v/>
      </c>
      <c r="E605" s="213" t="str">
        <f t="shared" si="170"/>
        <v/>
      </c>
      <c r="F605" s="214" t="str">
        <f t="shared" si="163"/>
        <v/>
      </c>
      <c r="G605" s="180"/>
      <c r="H605" s="181" t="str">
        <f t="shared" si="164"/>
        <v/>
      </c>
      <c r="I605" s="227"/>
      <c r="J605" s="227"/>
      <c r="K605" s="227"/>
      <c r="L605" s="227"/>
      <c r="M605" s="210" t="str">
        <f t="shared" si="169"/>
        <v/>
      </c>
      <c r="N605" s="210"/>
      <c r="O605" s="207"/>
      <c r="P605" s="182" t="str">
        <f t="shared" si="154"/>
        <v/>
      </c>
      <c r="Q605" s="183" t="str">
        <f t="shared" si="165"/>
        <v/>
      </c>
      <c r="R605" s="182" t="str">
        <f>IF(M605&lt;&gt;"",IF(#REF!*F605*10=0,"",#REF!*F605*10),"")</f>
        <v/>
      </c>
      <c r="S605" s="184" t="str">
        <f t="shared" si="166"/>
        <v/>
      </c>
      <c r="T605" s="185" t="str">
        <f t="shared" si="155"/>
        <v/>
      </c>
      <c r="U605" s="183" t="str">
        <f t="shared" si="167"/>
        <v/>
      </c>
      <c r="V605" s="186" t="str">
        <f t="shared" si="156"/>
        <v/>
      </c>
      <c r="W605" s="186" t="str">
        <f t="shared" si="157"/>
        <v/>
      </c>
      <c r="X605" s="187" t="str">
        <f t="shared" si="158"/>
        <v/>
      </c>
      <c r="Y605" s="182" t="str">
        <f t="shared" si="168"/>
        <v/>
      </c>
      <c r="Z605" s="209" t="str">
        <f t="shared" si="159"/>
        <v/>
      </c>
      <c r="AA605" s="209" t="str">
        <f t="shared" si="160"/>
        <v/>
      </c>
      <c r="AB605" s="200"/>
      <c r="AC605" s="192"/>
    </row>
    <row r="606" spans="1:29" ht="11.4">
      <c r="A606" s="211" t="str">
        <f t="shared" si="161"/>
        <v/>
      </c>
      <c r="B606" s="211"/>
      <c r="C606" s="215"/>
      <c r="D606" s="213" t="str">
        <f t="shared" si="162"/>
        <v/>
      </c>
      <c r="E606" s="213" t="str">
        <f t="shared" si="170"/>
        <v/>
      </c>
      <c r="F606" s="214" t="str">
        <f t="shared" si="163"/>
        <v/>
      </c>
      <c r="G606" s="180"/>
      <c r="H606" s="181" t="str">
        <f t="shared" si="164"/>
        <v/>
      </c>
      <c r="I606" s="227"/>
      <c r="J606" s="227"/>
      <c r="K606" s="227"/>
      <c r="L606" s="227"/>
      <c r="M606" s="210" t="str">
        <f t="shared" si="169"/>
        <v/>
      </c>
      <c r="N606" s="210"/>
      <c r="O606" s="207"/>
      <c r="P606" s="182" t="str">
        <f t="shared" si="154"/>
        <v/>
      </c>
      <c r="Q606" s="183" t="str">
        <f t="shared" si="165"/>
        <v/>
      </c>
      <c r="R606" s="182" t="str">
        <f>IF(M606&lt;&gt;"",IF(#REF!*F606*10=0,"",#REF!*F606*10),"")</f>
        <v/>
      </c>
      <c r="S606" s="184" t="str">
        <f t="shared" si="166"/>
        <v/>
      </c>
      <c r="T606" s="185" t="str">
        <f t="shared" si="155"/>
        <v/>
      </c>
      <c r="U606" s="183" t="str">
        <f t="shared" si="167"/>
        <v/>
      </c>
      <c r="V606" s="186" t="str">
        <f t="shared" si="156"/>
        <v/>
      </c>
      <c r="W606" s="186" t="str">
        <f t="shared" si="157"/>
        <v/>
      </c>
      <c r="X606" s="187" t="str">
        <f t="shared" si="158"/>
        <v/>
      </c>
      <c r="Y606" s="182" t="str">
        <f t="shared" si="168"/>
        <v/>
      </c>
      <c r="Z606" s="209" t="str">
        <f t="shared" si="159"/>
        <v/>
      </c>
      <c r="AA606" s="209" t="str">
        <f t="shared" si="160"/>
        <v/>
      </c>
      <c r="AB606" s="200"/>
      <c r="AC606" s="192"/>
    </row>
    <row r="607" spans="1:29" ht="11.4">
      <c r="A607" s="211" t="str">
        <f t="shared" si="161"/>
        <v/>
      </c>
      <c r="B607" s="211"/>
      <c r="C607" s="215"/>
      <c r="D607" s="213" t="str">
        <f t="shared" si="162"/>
        <v/>
      </c>
      <c r="E607" s="213" t="str">
        <f t="shared" si="170"/>
        <v/>
      </c>
      <c r="F607" s="214" t="str">
        <f t="shared" si="163"/>
        <v/>
      </c>
      <c r="G607" s="180"/>
      <c r="H607" s="181" t="str">
        <f t="shared" si="164"/>
        <v/>
      </c>
      <c r="I607" s="227"/>
      <c r="J607" s="227"/>
      <c r="K607" s="227"/>
      <c r="L607" s="227"/>
      <c r="M607" s="210" t="str">
        <f t="shared" si="169"/>
        <v/>
      </c>
      <c r="N607" s="210"/>
      <c r="O607" s="207"/>
      <c r="P607" s="182" t="str">
        <f t="shared" si="154"/>
        <v/>
      </c>
      <c r="Q607" s="183" t="str">
        <f t="shared" si="165"/>
        <v/>
      </c>
      <c r="R607" s="182" t="str">
        <f>IF(M607&lt;&gt;"",IF(#REF!*F607*10=0,"",#REF!*F607*10),"")</f>
        <v/>
      </c>
      <c r="S607" s="184" t="str">
        <f t="shared" si="166"/>
        <v/>
      </c>
      <c r="T607" s="185" t="str">
        <f t="shared" si="155"/>
        <v/>
      </c>
      <c r="U607" s="183" t="str">
        <f t="shared" si="167"/>
        <v/>
      </c>
      <c r="V607" s="186" t="str">
        <f t="shared" si="156"/>
        <v/>
      </c>
      <c r="W607" s="186" t="str">
        <f t="shared" si="157"/>
        <v/>
      </c>
      <c r="X607" s="187" t="str">
        <f t="shared" si="158"/>
        <v/>
      </c>
      <c r="Y607" s="182" t="str">
        <f t="shared" si="168"/>
        <v/>
      </c>
      <c r="Z607" s="209" t="str">
        <f t="shared" si="159"/>
        <v/>
      </c>
      <c r="AA607" s="209" t="str">
        <f t="shared" si="160"/>
        <v/>
      </c>
      <c r="AB607" s="200"/>
      <c r="AC607" s="192"/>
    </row>
    <row r="608" spans="1:29" ht="11.4">
      <c r="A608" s="211" t="str">
        <f t="shared" si="161"/>
        <v/>
      </c>
      <c r="B608" s="211"/>
      <c r="C608" s="215"/>
      <c r="D608" s="213" t="str">
        <f t="shared" si="162"/>
        <v/>
      </c>
      <c r="E608" s="213" t="str">
        <f t="shared" si="170"/>
        <v/>
      </c>
      <c r="F608" s="214" t="str">
        <f t="shared" si="163"/>
        <v/>
      </c>
      <c r="G608" s="180"/>
      <c r="H608" s="181" t="str">
        <f t="shared" si="164"/>
        <v/>
      </c>
      <c r="I608" s="227"/>
      <c r="J608" s="227"/>
      <c r="K608" s="227"/>
      <c r="L608" s="227"/>
      <c r="M608" s="210" t="str">
        <f t="shared" si="169"/>
        <v/>
      </c>
      <c r="N608" s="210"/>
      <c r="O608" s="207"/>
      <c r="P608" s="182" t="str">
        <f t="shared" si="154"/>
        <v/>
      </c>
      <c r="Q608" s="183" t="str">
        <f t="shared" si="165"/>
        <v/>
      </c>
      <c r="R608" s="182" t="str">
        <f>IF(M608&lt;&gt;"",IF(#REF!*F608*10=0,"",#REF!*F608*10),"")</f>
        <v/>
      </c>
      <c r="S608" s="184" t="str">
        <f t="shared" si="166"/>
        <v/>
      </c>
      <c r="T608" s="185" t="str">
        <f t="shared" si="155"/>
        <v/>
      </c>
      <c r="U608" s="183" t="str">
        <f t="shared" si="167"/>
        <v/>
      </c>
      <c r="V608" s="186" t="str">
        <f t="shared" si="156"/>
        <v/>
      </c>
      <c r="W608" s="186" t="str">
        <f t="shared" si="157"/>
        <v/>
      </c>
      <c r="X608" s="187" t="str">
        <f t="shared" si="158"/>
        <v/>
      </c>
      <c r="Y608" s="182" t="str">
        <f t="shared" si="168"/>
        <v/>
      </c>
      <c r="Z608" s="209" t="str">
        <f t="shared" si="159"/>
        <v/>
      </c>
      <c r="AA608" s="209" t="str">
        <f t="shared" si="160"/>
        <v/>
      </c>
      <c r="AB608" s="200"/>
      <c r="AC608" s="192"/>
    </row>
    <row r="609" spans="1:29" ht="11.4">
      <c r="A609" s="211" t="str">
        <f t="shared" si="161"/>
        <v/>
      </c>
      <c r="B609" s="211"/>
      <c r="C609" s="215"/>
      <c r="D609" s="213" t="str">
        <f t="shared" si="162"/>
        <v/>
      </c>
      <c r="E609" s="213" t="str">
        <f t="shared" si="170"/>
        <v/>
      </c>
      <c r="F609" s="214" t="str">
        <f t="shared" si="163"/>
        <v/>
      </c>
      <c r="G609" s="180"/>
      <c r="H609" s="181" t="str">
        <f t="shared" si="164"/>
        <v/>
      </c>
      <c r="I609" s="227"/>
      <c r="J609" s="227"/>
      <c r="K609" s="227"/>
      <c r="L609" s="227"/>
      <c r="M609" s="210" t="str">
        <f t="shared" si="169"/>
        <v/>
      </c>
      <c r="N609" s="210"/>
      <c r="O609" s="207"/>
      <c r="P609" s="182" t="str">
        <f t="shared" si="154"/>
        <v/>
      </c>
      <c r="Q609" s="183" t="str">
        <f t="shared" si="165"/>
        <v/>
      </c>
      <c r="R609" s="182" t="str">
        <f>IF(M609&lt;&gt;"",IF(#REF!*F609*10=0,"",#REF!*F609*10),"")</f>
        <v/>
      </c>
      <c r="S609" s="184" t="str">
        <f t="shared" si="166"/>
        <v/>
      </c>
      <c r="T609" s="185" t="str">
        <f t="shared" si="155"/>
        <v/>
      </c>
      <c r="U609" s="183" t="str">
        <f t="shared" si="167"/>
        <v/>
      </c>
      <c r="V609" s="186" t="str">
        <f t="shared" si="156"/>
        <v/>
      </c>
      <c r="W609" s="186" t="str">
        <f t="shared" si="157"/>
        <v/>
      </c>
      <c r="X609" s="187" t="str">
        <f t="shared" si="158"/>
        <v/>
      </c>
      <c r="Y609" s="182" t="str">
        <f t="shared" si="168"/>
        <v/>
      </c>
      <c r="Z609" s="209" t="str">
        <f t="shared" si="159"/>
        <v/>
      </c>
      <c r="AA609" s="209" t="str">
        <f t="shared" si="160"/>
        <v/>
      </c>
      <c r="AB609" s="200"/>
      <c r="AC609" s="192"/>
    </row>
    <row r="610" spans="1:29" ht="11.4">
      <c r="A610" s="211" t="str">
        <f t="shared" si="161"/>
        <v/>
      </c>
      <c r="B610" s="211"/>
      <c r="C610" s="215"/>
      <c r="D610" s="213" t="str">
        <f t="shared" si="162"/>
        <v/>
      </c>
      <c r="E610" s="213" t="str">
        <f t="shared" si="170"/>
        <v/>
      </c>
      <c r="F610" s="214" t="str">
        <f t="shared" si="163"/>
        <v/>
      </c>
      <c r="G610" s="180"/>
      <c r="H610" s="181" t="str">
        <f t="shared" si="164"/>
        <v/>
      </c>
      <c r="I610" s="227"/>
      <c r="J610" s="227"/>
      <c r="K610" s="227"/>
      <c r="L610" s="227"/>
      <c r="M610" s="210" t="str">
        <f t="shared" si="169"/>
        <v/>
      </c>
      <c r="N610" s="210"/>
      <c r="O610" s="207"/>
      <c r="P610" s="182" t="str">
        <f t="shared" si="154"/>
        <v/>
      </c>
      <c r="Q610" s="183" t="str">
        <f t="shared" si="165"/>
        <v/>
      </c>
      <c r="R610" s="182" t="str">
        <f>IF(M610&lt;&gt;"",IF(#REF!*F610*10=0,"",#REF!*F610*10),"")</f>
        <v/>
      </c>
      <c r="S610" s="184" t="str">
        <f t="shared" si="166"/>
        <v/>
      </c>
      <c r="T610" s="185" t="str">
        <f t="shared" si="155"/>
        <v/>
      </c>
      <c r="U610" s="183" t="str">
        <f t="shared" si="167"/>
        <v/>
      </c>
      <c r="V610" s="186" t="str">
        <f t="shared" si="156"/>
        <v/>
      </c>
      <c r="W610" s="186" t="str">
        <f t="shared" si="157"/>
        <v/>
      </c>
      <c r="X610" s="187" t="str">
        <f t="shared" si="158"/>
        <v/>
      </c>
      <c r="Y610" s="182" t="str">
        <f t="shared" si="168"/>
        <v/>
      </c>
      <c r="Z610" s="209" t="str">
        <f t="shared" si="159"/>
        <v/>
      </c>
      <c r="AA610" s="209" t="str">
        <f t="shared" si="160"/>
        <v/>
      </c>
      <c r="AB610" s="200"/>
      <c r="AC610" s="192"/>
    </row>
    <row r="611" spans="1:29" ht="11.4">
      <c r="A611" s="211" t="str">
        <f t="shared" si="161"/>
        <v/>
      </c>
      <c r="B611" s="211"/>
      <c r="C611" s="215"/>
      <c r="D611" s="213" t="str">
        <f t="shared" si="162"/>
        <v/>
      </c>
      <c r="E611" s="213" t="str">
        <f t="shared" si="170"/>
        <v/>
      </c>
      <c r="F611" s="214" t="str">
        <f t="shared" si="163"/>
        <v/>
      </c>
      <c r="G611" s="180"/>
      <c r="H611" s="181" t="str">
        <f t="shared" si="164"/>
        <v/>
      </c>
      <c r="I611" s="227"/>
      <c r="J611" s="227"/>
      <c r="K611" s="227"/>
      <c r="L611" s="227"/>
      <c r="M611" s="210" t="str">
        <f t="shared" si="169"/>
        <v/>
      </c>
      <c r="N611" s="210"/>
      <c r="O611" s="207"/>
      <c r="P611" s="182" t="str">
        <f t="shared" si="154"/>
        <v/>
      </c>
      <c r="Q611" s="183" t="str">
        <f t="shared" si="165"/>
        <v/>
      </c>
      <c r="R611" s="182" t="str">
        <f>IF(M611&lt;&gt;"",IF(#REF!*F611*10=0,"",#REF!*F611*10),"")</f>
        <v/>
      </c>
      <c r="S611" s="184" t="str">
        <f t="shared" si="166"/>
        <v/>
      </c>
      <c r="T611" s="185" t="str">
        <f t="shared" si="155"/>
        <v/>
      </c>
      <c r="U611" s="183" t="str">
        <f t="shared" si="167"/>
        <v/>
      </c>
      <c r="V611" s="186" t="str">
        <f t="shared" si="156"/>
        <v/>
      </c>
      <c r="W611" s="186" t="str">
        <f t="shared" si="157"/>
        <v/>
      </c>
      <c r="X611" s="187" t="str">
        <f t="shared" si="158"/>
        <v/>
      </c>
      <c r="Y611" s="182" t="str">
        <f t="shared" si="168"/>
        <v/>
      </c>
      <c r="Z611" s="209" t="str">
        <f t="shared" si="159"/>
        <v/>
      </c>
      <c r="AA611" s="209" t="str">
        <f t="shared" si="160"/>
        <v/>
      </c>
      <c r="AB611" s="200"/>
      <c r="AC611" s="192"/>
    </row>
    <row r="612" spans="1:29" ht="11.4">
      <c r="A612" s="211" t="str">
        <f t="shared" si="161"/>
        <v/>
      </c>
      <c r="B612" s="211"/>
      <c r="C612" s="215"/>
      <c r="D612" s="213" t="str">
        <f t="shared" si="162"/>
        <v/>
      </c>
      <c r="E612" s="213" t="str">
        <f t="shared" si="170"/>
        <v/>
      </c>
      <c r="F612" s="214" t="str">
        <f t="shared" si="163"/>
        <v/>
      </c>
      <c r="G612" s="180"/>
      <c r="H612" s="181" t="str">
        <f t="shared" si="164"/>
        <v/>
      </c>
      <c r="I612" s="227"/>
      <c r="J612" s="227"/>
      <c r="K612" s="227"/>
      <c r="L612" s="227"/>
      <c r="M612" s="210" t="str">
        <f t="shared" si="169"/>
        <v/>
      </c>
      <c r="N612" s="210"/>
      <c r="O612" s="207"/>
      <c r="P612" s="182" t="str">
        <f t="shared" si="154"/>
        <v/>
      </c>
      <c r="Q612" s="183" t="str">
        <f t="shared" si="165"/>
        <v/>
      </c>
      <c r="R612" s="182" t="str">
        <f>IF(M612&lt;&gt;"",IF(#REF!*F612*10=0,"",#REF!*F612*10),"")</f>
        <v/>
      </c>
      <c r="S612" s="184" t="str">
        <f t="shared" si="166"/>
        <v/>
      </c>
      <c r="T612" s="185" t="str">
        <f t="shared" si="155"/>
        <v/>
      </c>
      <c r="U612" s="183" t="str">
        <f t="shared" si="167"/>
        <v/>
      </c>
      <c r="V612" s="186" t="str">
        <f t="shared" si="156"/>
        <v/>
      </c>
      <c r="W612" s="186" t="str">
        <f t="shared" si="157"/>
        <v/>
      </c>
      <c r="X612" s="187" t="str">
        <f t="shared" si="158"/>
        <v/>
      </c>
      <c r="Y612" s="182" t="str">
        <f t="shared" si="168"/>
        <v/>
      </c>
      <c r="Z612" s="209" t="str">
        <f t="shared" si="159"/>
        <v/>
      </c>
      <c r="AA612" s="209" t="str">
        <f t="shared" si="160"/>
        <v/>
      </c>
      <c r="AB612" s="200"/>
      <c r="AC612" s="192"/>
    </row>
    <row r="613" spans="1:29" ht="11.4">
      <c r="A613" s="211" t="str">
        <f t="shared" si="161"/>
        <v/>
      </c>
      <c r="B613" s="211"/>
      <c r="C613" s="215"/>
      <c r="D613" s="213" t="str">
        <f t="shared" si="162"/>
        <v/>
      </c>
      <c r="E613" s="213" t="str">
        <f t="shared" si="170"/>
        <v/>
      </c>
      <c r="F613" s="214" t="str">
        <f t="shared" si="163"/>
        <v/>
      </c>
      <c r="G613" s="180"/>
      <c r="H613" s="181" t="str">
        <f t="shared" si="164"/>
        <v/>
      </c>
      <c r="I613" s="227"/>
      <c r="J613" s="227"/>
      <c r="K613" s="227"/>
      <c r="L613" s="227"/>
      <c r="M613" s="210" t="str">
        <f t="shared" si="169"/>
        <v/>
      </c>
      <c r="N613" s="210"/>
      <c r="O613" s="207"/>
      <c r="P613" s="182" t="str">
        <f t="shared" si="154"/>
        <v/>
      </c>
      <c r="Q613" s="183" t="str">
        <f t="shared" si="165"/>
        <v/>
      </c>
      <c r="R613" s="182" t="str">
        <f>IF(M613&lt;&gt;"",IF(#REF!*F613*10=0,"",#REF!*F613*10),"")</f>
        <v/>
      </c>
      <c r="S613" s="184" t="str">
        <f t="shared" si="166"/>
        <v/>
      </c>
      <c r="T613" s="185" t="str">
        <f t="shared" si="155"/>
        <v/>
      </c>
      <c r="U613" s="183" t="str">
        <f t="shared" si="167"/>
        <v/>
      </c>
      <c r="V613" s="186" t="str">
        <f t="shared" si="156"/>
        <v/>
      </c>
      <c r="W613" s="186" t="str">
        <f t="shared" si="157"/>
        <v/>
      </c>
      <c r="X613" s="187" t="str">
        <f t="shared" si="158"/>
        <v/>
      </c>
      <c r="Y613" s="182" t="str">
        <f t="shared" si="168"/>
        <v/>
      </c>
      <c r="Z613" s="209" t="str">
        <f t="shared" si="159"/>
        <v/>
      </c>
      <c r="AA613" s="209" t="str">
        <f t="shared" si="160"/>
        <v/>
      </c>
      <c r="AB613" s="200"/>
      <c r="AC613" s="192"/>
    </row>
    <row r="614" spans="1:29" ht="11.4">
      <c r="A614" s="211" t="str">
        <f t="shared" si="161"/>
        <v/>
      </c>
      <c r="B614" s="211"/>
      <c r="C614" s="215"/>
      <c r="D614" s="213" t="str">
        <f t="shared" si="162"/>
        <v/>
      </c>
      <c r="E614" s="213" t="str">
        <f t="shared" si="170"/>
        <v/>
      </c>
      <c r="F614" s="214" t="str">
        <f t="shared" si="163"/>
        <v/>
      </c>
      <c r="G614" s="180"/>
      <c r="H614" s="181" t="str">
        <f t="shared" si="164"/>
        <v/>
      </c>
      <c r="I614" s="227"/>
      <c r="J614" s="227"/>
      <c r="K614" s="227"/>
      <c r="L614" s="227"/>
      <c r="M614" s="210" t="str">
        <f t="shared" si="169"/>
        <v/>
      </c>
      <c r="N614" s="210"/>
      <c r="O614" s="207"/>
      <c r="P614" s="182" t="str">
        <f t="shared" si="154"/>
        <v/>
      </c>
      <c r="Q614" s="183" t="str">
        <f t="shared" si="165"/>
        <v/>
      </c>
      <c r="R614" s="182" t="str">
        <f>IF(M614&lt;&gt;"",IF(#REF!*F614*10=0,"",#REF!*F614*10),"")</f>
        <v/>
      </c>
      <c r="S614" s="184" t="str">
        <f t="shared" si="166"/>
        <v/>
      </c>
      <c r="T614" s="185" t="str">
        <f t="shared" si="155"/>
        <v/>
      </c>
      <c r="U614" s="183" t="str">
        <f t="shared" si="167"/>
        <v/>
      </c>
      <c r="V614" s="186" t="str">
        <f t="shared" si="156"/>
        <v/>
      </c>
      <c r="W614" s="186" t="str">
        <f t="shared" si="157"/>
        <v/>
      </c>
      <c r="X614" s="187" t="str">
        <f t="shared" si="158"/>
        <v/>
      </c>
      <c r="Y614" s="182" t="str">
        <f t="shared" si="168"/>
        <v/>
      </c>
      <c r="Z614" s="209" t="str">
        <f t="shared" si="159"/>
        <v/>
      </c>
      <c r="AA614" s="209" t="str">
        <f t="shared" si="160"/>
        <v/>
      </c>
      <c r="AB614" s="200"/>
      <c r="AC614" s="192"/>
    </row>
    <row r="615" spans="1:29" ht="11.4">
      <c r="A615" s="211" t="str">
        <f t="shared" si="161"/>
        <v/>
      </c>
      <c r="B615" s="211"/>
      <c r="C615" s="215"/>
      <c r="D615" s="213" t="str">
        <f t="shared" si="162"/>
        <v/>
      </c>
      <c r="E615" s="213" t="str">
        <f t="shared" si="170"/>
        <v/>
      </c>
      <c r="F615" s="214" t="str">
        <f t="shared" si="163"/>
        <v/>
      </c>
      <c r="G615" s="180"/>
      <c r="H615" s="181" t="str">
        <f t="shared" si="164"/>
        <v/>
      </c>
      <c r="I615" s="227"/>
      <c r="J615" s="227"/>
      <c r="K615" s="227"/>
      <c r="L615" s="227"/>
      <c r="M615" s="210" t="str">
        <f t="shared" si="169"/>
        <v/>
      </c>
      <c r="N615" s="210"/>
      <c r="O615" s="207"/>
      <c r="P615" s="182" t="str">
        <f t="shared" si="154"/>
        <v/>
      </c>
      <c r="Q615" s="183" t="str">
        <f t="shared" si="165"/>
        <v/>
      </c>
      <c r="R615" s="182" t="str">
        <f>IF(M615&lt;&gt;"",IF(#REF!*F615*10=0,"",#REF!*F615*10),"")</f>
        <v/>
      </c>
      <c r="S615" s="184" t="str">
        <f t="shared" si="166"/>
        <v/>
      </c>
      <c r="T615" s="185" t="str">
        <f t="shared" si="155"/>
        <v/>
      </c>
      <c r="U615" s="183" t="str">
        <f t="shared" si="167"/>
        <v/>
      </c>
      <c r="V615" s="186" t="str">
        <f t="shared" si="156"/>
        <v/>
      </c>
      <c r="W615" s="186" t="str">
        <f t="shared" si="157"/>
        <v/>
      </c>
      <c r="X615" s="187" t="str">
        <f t="shared" si="158"/>
        <v/>
      </c>
      <c r="Y615" s="182" t="str">
        <f t="shared" si="168"/>
        <v/>
      </c>
      <c r="Z615" s="209" t="str">
        <f t="shared" si="159"/>
        <v/>
      </c>
      <c r="AA615" s="209" t="str">
        <f t="shared" si="160"/>
        <v/>
      </c>
      <c r="AB615" s="200"/>
      <c r="AC615" s="192"/>
    </row>
    <row r="616" spans="1:29" ht="11.4">
      <c r="A616" s="211" t="str">
        <f t="shared" si="161"/>
        <v/>
      </c>
      <c r="B616" s="211"/>
      <c r="C616" s="215"/>
      <c r="D616" s="213" t="str">
        <f t="shared" si="162"/>
        <v/>
      </c>
      <c r="E616" s="213" t="str">
        <f t="shared" si="170"/>
        <v/>
      </c>
      <c r="F616" s="214" t="str">
        <f t="shared" si="163"/>
        <v/>
      </c>
      <c r="G616" s="180"/>
      <c r="H616" s="181" t="str">
        <f t="shared" si="164"/>
        <v/>
      </c>
      <c r="I616" s="227"/>
      <c r="J616" s="227"/>
      <c r="K616" s="227"/>
      <c r="L616" s="227"/>
      <c r="M616" s="210" t="str">
        <f t="shared" si="169"/>
        <v/>
      </c>
      <c r="N616" s="210"/>
      <c r="O616" s="207"/>
      <c r="P616" s="182" t="str">
        <f t="shared" si="154"/>
        <v/>
      </c>
      <c r="Q616" s="183" t="str">
        <f t="shared" si="165"/>
        <v/>
      </c>
      <c r="R616" s="182" t="str">
        <f>IF(M616&lt;&gt;"",IF(#REF!*F616*10=0,"",#REF!*F616*10),"")</f>
        <v/>
      </c>
      <c r="S616" s="184" t="str">
        <f t="shared" si="166"/>
        <v/>
      </c>
      <c r="T616" s="185" t="str">
        <f t="shared" si="155"/>
        <v/>
      </c>
      <c r="U616" s="183" t="str">
        <f t="shared" si="167"/>
        <v/>
      </c>
      <c r="V616" s="186" t="str">
        <f t="shared" si="156"/>
        <v/>
      </c>
      <c r="W616" s="186" t="str">
        <f t="shared" si="157"/>
        <v/>
      </c>
      <c r="X616" s="187" t="str">
        <f t="shared" si="158"/>
        <v/>
      </c>
      <c r="Y616" s="182" t="str">
        <f t="shared" si="168"/>
        <v/>
      </c>
      <c r="Z616" s="209" t="str">
        <f t="shared" si="159"/>
        <v/>
      </c>
      <c r="AA616" s="209" t="str">
        <f t="shared" si="160"/>
        <v/>
      </c>
      <c r="AB616" s="200"/>
      <c r="AC616" s="192"/>
    </row>
    <row r="617" spans="1:29" ht="11.4">
      <c r="A617" s="211" t="str">
        <f t="shared" si="161"/>
        <v/>
      </c>
      <c r="B617" s="211"/>
      <c r="C617" s="215"/>
      <c r="D617" s="213" t="str">
        <f t="shared" si="162"/>
        <v/>
      </c>
      <c r="E617" s="213" t="str">
        <f t="shared" si="170"/>
        <v/>
      </c>
      <c r="F617" s="214" t="str">
        <f t="shared" si="163"/>
        <v/>
      </c>
      <c r="G617" s="180"/>
      <c r="H617" s="181" t="str">
        <f t="shared" si="164"/>
        <v/>
      </c>
      <c r="I617" s="227"/>
      <c r="J617" s="227"/>
      <c r="K617" s="227"/>
      <c r="L617" s="227"/>
      <c r="M617" s="210" t="str">
        <f t="shared" si="169"/>
        <v/>
      </c>
      <c r="N617" s="210"/>
      <c r="O617" s="207"/>
      <c r="P617" s="182" t="str">
        <f t="shared" si="154"/>
        <v/>
      </c>
      <c r="Q617" s="183" t="str">
        <f t="shared" si="165"/>
        <v/>
      </c>
      <c r="R617" s="182" t="str">
        <f>IF(M617&lt;&gt;"",IF(#REF!*F617*10=0,"",#REF!*F617*10),"")</f>
        <v/>
      </c>
      <c r="S617" s="184" t="str">
        <f t="shared" si="166"/>
        <v/>
      </c>
      <c r="T617" s="185" t="str">
        <f t="shared" si="155"/>
        <v/>
      </c>
      <c r="U617" s="183" t="str">
        <f t="shared" si="167"/>
        <v/>
      </c>
      <c r="V617" s="186" t="str">
        <f t="shared" si="156"/>
        <v/>
      </c>
      <c r="W617" s="186" t="str">
        <f t="shared" si="157"/>
        <v/>
      </c>
      <c r="X617" s="187" t="str">
        <f t="shared" si="158"/>
        <v/>
      </c>
      <c r="Y617" s="182" t="str">
        <f t="shared" si="168"/>
        <v/>
      </c>
      <c r="Z617" s="209" t="str">
        <f t="shared" si="159"/>
        <v/>
      </c>
      <c r="AA617" s="209" t="str">
        <f t="shared" si="160"/>
        <v/>
      </c>
      <c r="AB617" s="200"/>
      <c r="AC617" s="192"/>
    </row>
    <row r="618" spans="1:29" ht="11.4">
      <c r="A618" s="211" t="str">
        <f t="shared" si="161"/>
        <v/>
      </c>
      <c r="B618" s="211"/>
      <c r="C618" s="215"/>
      <c r="D618" s="213" t="str">
        <f t="shared" si="162"/>
        <v/>
      </c>
      <c r="E618" s="213" t="str">
        <f t="shared" si="170"/>
        <v/>
      </c>
      <c r="F618" s="214" t="str">
        <f t="shared" si="163"/>
        <v/>
      </c>
      <c r="G618" s="180"/>
      <c r="H618" s="181" t="str">
        <f t="shared" si="164"/>
        <v/>
      </c>
      <c r="I618" s="227"/>
      <c r="J618" s="227"/>
      <c r="K618" s="227"/>
      <c r="L618" s="227"/>
      <c r="M618" s="210" t="str">
        <f t="shared" si="169"/>
        <v/>
      </c>
      <c r="N618" s="210"/>
      <c r="O618" s="207"/>
      <c r="P618" s="182" t="str">
        <f t="shared" si="154"/>
        <v/>
      </c>
      <c r="Q618" s="183" t="str">
        <f t="shared" si="165"/>
        <v/>
      </c>
      <c r="R618" s="182" t="str">
        <f>IF(M618&lt;&gt;"",IF(#REF!*F618*10=0,"",#REF!*F618*10),"")</f>
        <v/>
      </c>
      <c r="S618" s="184" t="str">
        <f t="shared" si="166"/>
        <v/>
      </c>
      <c r="T618" s="185" t="str">
        <f t="shared" si="155"/>
        <v/>
      </c>
      <c r="U618" s="183" t="str">
        <f t="shared" si="167"/>
        <v/>
      </c>
      <c r="V618" s="186" t="str">
        <f t="shared" si="156"/>
        <v/>
      </c>
      <c r="W618" s="186" t="str">
        <f t="shared" si="157"/>
        <v/>
      </c>
      <c r="X618" s="187" t="str">
        <f t="shared" si="158"/>
        <v/>
      </c>
      <c r="Y618" s="182" t="str">
        <f t="shared" si="168"/>
        <v/>
      </c>
      <c r="Z618" s="209" t="str">
        <f t="shared" si="159"/>
        <v/>
      </c>
      <c r="AA618" s="209" t="str">
        <f t="shared" si="160"/>
        <v/>
      </c>
      <c r="AB618" s="200"/>
      <c r="AC618" s="192"/>
    </row>
    <row r="619" spans="1:29" ht="11.4">
      <c r="A619" s="211" t="str">
        <f t="shared" si="161"/>
        <v/>
      </c>
      <c r="B619" s="211"/>
      <c r="C619" s="215"/>
      <c r="D619" s="213" t="str">
        <f t="shared" si="162"/>
        <v/>
      </c>
      <c r="E619" s="213" t="str">
        <f t="shared" si="170"/>
        <v/>
      </c>
      <c r="F619" s="214" t="str">
        <f t="shared" si="163"/>
        <v/>
      </c>
      <c r="G619" s="180"/>
      <c r="H619" s="181" t="str">
        <f t="shared" si="164"/>
        <v/>
      </c>
      <c r="I619" s="227"/>
      <c r="J619" s="227"/>
      <c r="K619" s="227"/>
      <c r="L619" s="227"/>
      <c r="M619" s="210" t="str">
        <f t="shared" si="169"/>
        <v/>
      </c>
      <c r="N619" s="210"/>
      <c r="O619" s="207"/>
      <c r="P619" s="182" t="str">
        <f t="shared" si="154"/>
        <v/>
      </c>
      <c r="Q619" s="183" t="str">
        <f t="shared" si="165"/>
        <v/>
      </c>
      <c r="R619" s="182" t="str">
        <f>IF(M619&lt;&gt;"",IF(#REF!*F619*10=0,"",#REF!*F619*10),"")</f>
        <v/>
      </c>
      <c r="S619" s="184" t="str">
        <f t="shared" si="166"/>
        <v/>
      </c>
      <c r="T619" s="185" t="str">
        <f t="shared" si="155"/>
        <v/>
      </c>
      <c r="U619" s="183" t="str">
        <f t="shared" si="167"/>
        <v/>
      </c>
      <c r="V619" s="186" t="str">
        <f t="shared" si="156"/>
        <v/>
      </c>
      <c r="W619" s="186" t="str">
        <f t="shared" si="157"/>
        <v/>
      </c>
      <c r="X619" s="187" t="str">
        <f t="shared" si="158"/>
        <v/>
      </c>
      <c r="Y619" s="182" t="str">
        <f t="shared" si="168"/>
        <v/>
      </c>
      <c r="Z619" s="209" t="str">
        <f t="shared" si="159"/>
        <v/>
      </c>
      <c r="AA619" s="209" t="str">
        <f t="shared" si="160"/>
        <v/>
      </c>
      <c r="AB619" s="200"/>
      <c r="AC619" s="192"/>
    </row>
    <row r="620" spans="1:29" ht="11.4">
      <c r="A620" s="211" t="str">
        <f t="shared" si="161"/>
        <v/>
      </c>
      <c r="B620" s="211"/>
      <c r="C620" s="215"/>
      <c r="D620" s="213" t="str">
        <f t="shared" si="162"/>
        <v/>
      </c>
      <c r="E620" s="213" t="str">
        <f t="shared" si="170"/>
        <v/>
      </c>
      <c r="F620" s="214" t="str">
        <f t="shared" si="163"/>
        <v/>
      </c>
      <c r="G620" s="180"/>
      <c r="H620" s="181" t="str">
        <f t="shared" si="164"/>
        <v/>
      </c>
      <c r="I620" s="227"/>
      <c r="J620" s="227"/>
      <c r="K620" s="227"/>
      <c r="L620" s="227"/>
      <c r="M620" s="210" t="str">
        <f t="shared" si="169"/>
        <v/>
      </c>
      <c r="N620" s="210"/>
      <c r="O620" s="207"/>
      <c r="P620" s="182" t="str">
        <f t="shared" si="154"/>
        <v/>
      </c>
      <c r="Q620" s="183" t="str">
        <f t="shared" si="165"/>
        <v/>
      </c>
      <c r="R620" s="182" t="str">
        <f>IF(M620&lt;&gt;"",IF(#REF!*F620*10=0,"",#REF!*F620*10),"")</f>
        <v/>
      </c>
      <c r="S620" s="184" t="str">
        <f t="shared" si="166"/>
        <v/>
      </c>
      <c r="T620" s="185" t="str">
        <f t="shared" si="155"/>
        <v/>
      </c>
      <c r="U620" s="183" t="str">
        <f t="shared" si="167"/>
        <v/>
      </c>
      <c r="V620" s="186" t="str">
        <f t="shared" si="156"/>
        <v/>
      </c>
      <c r="W620" s="186" t="str">
        <f t="shared" si="157"/>
        <v/>
      </c>
      <c r="X620" s="187" t="str">
        <f t="shared" si="158"/>
        <v/>
      </c>
      <c r="Y620" s="182" t="str">
        <f t="shared" si="168"/>
        <v/>
      </c>
      <c r="Z620" s="209" t="str">
        <f t="shared" si="159"/>
        <v/>
      </c>
      <c r="AA620" s="209" t="str">
        <f t="shared" si="160"/>
        <v/>
      </c>
      <c r="AB620" s="200"/>
      <c r="AC620" s="192"/>
    </row>
    <row r="621" spans="1:29" ht="11.4">
      <c r="A621" s="211" t="str">
        <f t="shared" si="161"/>
        <v/>
      </c>
      <c r="B621" s="211"/>
      <c r="C621" s="215"/>
      <c r="D621" s="213" t="str">
        <f t="shared" si="162"/>
        <v/>
      </c>
      <c r="E621" s="213" t="str">
        <f t="shared" si="170"/>
        <v/>
      </c>
      <c r="F621" s="214" t="str">
        <f t="shared" si="163"/>
        <v/>
      </c>
      <c r="G621" s="180"/>
      <c r="H621" s="181" t="str">
        <f t="shared" si="164"/>
        <v/>
      </c>
      <c r="I621" s="227"/>
      <c r="J621" s="227"/>
      <c r="K621" s="227"/>
      <c r="L621" s="227"/>
      <c r="M621" s="210" t="str">
        <f t="shared" si="169"/>
        <v/>
      </c>
      <c r="N621" s="210"/>
      <c r="O621" s="207"/>
      <c r="P621" s="182" t="str">
        <f t="shared" si="154"/>
        <v/>
      </c>
      <c r="Q621" s="183" t="str">
        <f t="shared" si="165"/>
        <v/>
      </c>
      <c r="R621" s="182" t="str">
        <f>IF(M621&lt;&gt;"",IF(#REF!*F621*10=0,"",#REF!*F621*10),"")</f>
        <v/>
      </c>
      <c r="S621" s="184" t="str">
        <f t="shared" si="166"/>
        <v/>
      </c>
      <c r="T621" s="185" t="str">
        <f t="shared" si="155"/>
        <v/>
      </c>
      <c r="U621" s="183" t="str">
        <f t="shared" si="167"/>
        <v/>
      </c>
      <c r="V621" s="186" t="str">
        <f t="shared" si="156"/>
        <v/>
      </c>
      <c r="W621" s="186" t="str">
        <f t="shared" si="157"/>
        <v/>
      </c>
      <c r="X621" s="187" t="str">
        <f t="shared" si="158"/>
        <v/>
      </c>
      <c r="Y621" s="182" t="str">
        <f t="shared" si="168"/>
        <v/>
      </c>
      <c r="Z621" s="209" t="str">
        <f t="shared" si="159"/>
        <v/>
      </c>
      <c r="AA621" s="209" t="str">
        <f t="shared" si="160"/>
        <v/>
      </c>
      <c r="AB621" s="200"/>
      <c r="AC621" s="192"/>
    </row>
    <row r="622" spans="1:29" ht="11.4">
      <c r="A622" s="211" t="str">
        <f t="shared" si="161"/>
        <v/>
      </c>
      <c r="B622" s="211"/>
      <c r="C622" s="215"/>
      <c r="D622" s="213" t="str">
        <f t="shared" si="162"/>
        <v/>
      </c>
      <c r="E622" s="213" t="str">
        <f t="shared" si="170"/>
        <v/>
      </c>
      <c r="F622" s="214" t="str">
        <f t="shared" si="163"/>
        <v/>
      </c>
      <c r="G622" s="180"/>
      <c r="H622" s="181" t="str">
        <f t="shared" si="164"/>
        <v/>
      </c>
      <c r="I622" s="227"/>
      <c r="J622" s="227"/>
      <c r="K622" s="227"/>
      <c r="L622" s="227"/>
      <c r="M622" s="210" t="str">
        <f t="shared" si="169"/>
        <v/>
      </c>
      <c r="N622" s="210"/>
      <c r="O622" s="207"/>
      <c r="P622" s="182" t="str">
        <f t="shared" si="154"/>
        <v/>
      </c>
      <c r="Q622" s="183" t="str">
        <f t="shared" si="165"/>
        <v/>
      </c>
      <c r="R622" s="182" t="str">
        <f>IF(M622&lt;&gt;"",IF(#REF!*F622*10=0,"",#REF!*F622*10),"")</f>
        <v/>
      </c>
      <c r="S622" s="184" t="str">
        <f t="shared" si="166"/>
        <v/>
      </c>
      <c r="T622" s="185" t="str">
        <f t="shared" si="155"/>
        <v/>
      </c>
      <c r="U622" s="183" t="str">
        <f t="shared" si="167"/>
        <v/>
      </c>
      <c r="V622" s="186" t="str">
        <f t="shared" si="156"/>
        <v/>
      </c>
      <c r="W622" s="186" t="str">
        <f t="shared" si="157"/>
        <v/>
      </c>
      <c r="X622" s="187" t="str">
        <f t="shared" si="158"/>
        <v/>
      </c>
      <c r="Y622" s="182" t="str">
        <f t="shared" si="168"/>
        <v/>
      </c>
      <c r="Z622" s="209" t="str">
        <f t="shared" si="159"/>
        <v/>
      </c>
      <c r="AA622" s="209" t="str">
        <f t="shared" si="160"/>
        <v/>
      </c>
      <c r="AB622" s="200"/>
      <c r="AC622" s="192"/>
    </row>
    <row r="623" spans="1:29" ht="11.4">
      <c r="A623" s="211" t="str">
        <f t="shared" si="161"/>
        <v/>
      </c>
      <c r="B623" s="211"/>
      <c r="C623" s="215"/>
      <c r="D623" s="213" t="str">
        <f t="shared" si="162"/>
        <v/>
      </c>
      <c r="E623" s="213" t="str">
        <f t="shared" si="170"/>
        <v/>
      </c>
      <c r="F623" s="214" t="str">
        <f t="shared" si="163"/>
        <v/>
      </c>
      <c r="G623" s="180"/>
      <c r="H623" s="181" t="str">
        <f t="shared" si="164"/>
        <v/>
      </c>
      <c r="I623" s="227"/>
      <c r="J623" s="227"/>
      <c r="K623" s="227"/>
      <c r="L623" s="227"/>
      <c r="M623" s="210" t="str">
        <f t="shared" si="169"/>
        <v/>
      </c>
      <c r="N623" s="210"/>
      <c r="O623" s="207"/>
      <c r="P623" s="182" t="str">
        <f t="shared" si="154"/>
        <v/>
      </c>
      <c r="Q623" s="183" t="str">
        <f t="shared" si="165"/>
        <v/>
      </c>
      <c r="R623" s="182" t="str">
        <f>IF(M623&lt;&gt;"",IF(#REF!*F623*10=0,"",#REF!*F623*10),"")</f>
        <v/>
      </c>
      <c r="S623" s="184" t="str">
        <f t="shared" si="166"/>
        <v/>
      </c>
      <c r="T623" s="185" t="str">
        <f t="shared" si="155"/>
        <v/>
      </c>
      <c r="U623" s="183" t="str">
        <f t="shared" si="167"/>
        <v/>
      </c>
      <c r="V623" s="186" t="str">
        <f t="shared" si="156"/>
        <v/>
      </c>
      <c r="W623" s="186" t="str">
        <f t="shared" si="157"/>
        <v/>
      </c>
      <c r="X623" s="187" t="str">
        <f t="shared" si="158"/>
        <v/>
      </c>
      <c r="Y623" s="182" t="str">
        <f t="shared" si="168"/>
        <v/>
      </c>
      <c r="Z623" s="209" t="str">
        <f t="shared" si="159"/>
        <v/>
      </c>
      <c r="AA623" s="209" t="str">
        <f t="shared" si="160"/>
        <v/>
      </c>
      <c r="AB623" s="200"/>
      <c r="AC623" s="192"/>
    </row>
    <row r="624" spans="1:29" ht="11.4">
      <c r="A624" s="211" t="str">
        <f t="shared" si="161"/>
        <v/>
      </c>
      <c r="B624" s="211"/>
      <c r="C624" s="215"/>
      <c r="D624" s="213" t="str">
        <f t="shared" si="162"/>
        <v/>
      </c>
      <c r="E624" s="213" t="str">
        <f t="shared" si="170"/>
        <v/>
      </c>
      <c r="F624" s="214" t="str">
        <f t="shared" si="163"/>
        <v/>
      </c>
      <c r="G624" s="180"/>
      <c r="H624" s="181" t="str">
        <f t="shared" si="164"/>
        <v/>
      </c>
      <c r="I624" s="227"/>
      <c r="J624" s="227"/>
      <c r="K624" s="227"/>
      <c r="L624" s="227"/>
      <c r="M624" s="210" t="str">
        <f t="shared" si="169"/>
        <v/>
      </c>
      <c r="N624" s="210"/>
      <c r="O624" s="207"/>
      <c r="P624" s="182" t="str">
        <f t="shared" si="154"/>
        <v/>
      </c>
      <c r="Q624" s="183" t="str">
        <f t="shared" si="165"/>
        <v/>
      </c>
      <c r="R624" s="182" t="str">
        <f>IF(M624&lt;&gt;"",IF(#REF!*F624*10=0,"",#REF!*F624*10),"")</f>
        <v/>
      </c>
      <c r="S624" s="184" t="str">
        <f t="shared" si="166"/>
        <v/>
      </c>
      <c r="T624" s="185" t="str">
        <f t="shared" si="155"/>
        <v/>
      </c>
      <c r="U624" s="183" t="str">
        <f t="shared" si="167"/>
        <v/>
      </c>
      <c r="V624" s="186" t="str">
        <f t="shared" si="156"/>
        <v/>
      </c>
      <c r="W624" s="186" t="str">
        <f t="shared" si="157"/>
        <v/>
      </c>
      <c r="X624" s="187" t="str">
        <f t="shared" si="158"/>
        <v/>
      </c>
      <c r="Y624" s="182" t="str">
        <f t="shared" si="168"/>
        <v/>
      </c>
      <c r="Z624" s="209" t="str">
        <f t="shared" si="159"/>
        <v/>
      </c>
      <c r="AA624" s="209" t="str">
        <f t="shared" si="160"/>
        <v/>
      </c>
      <c r="AB624" s="200"/>
      <c r="AC624" s="192"/>
    </row>
    <row r="625" spans="1:29" ht="11.4">
      <c r="A625" s="211" t="str">
        <f t="shared" si="161"/>
        <v/>
      </c>
      <c r="B625" s="211"/>
      <c r="C625" s="215"/>
      <c r="D625" s="213" t="str">
        <f t="shared" si="162"/>
        <v/>
      </c>
      <c r="E625" s="213" t="str">
        <f t="shared" si="170"/>
        <v/>
      </c>
      <c r="F625" s="214" t="str">
        <f t="shared" si="163"/>
        <v/>
      </c>
      <c r="G625" s="180"/>
      <c r="H625" s="181" t="str">
        <f t="shared" si="164"/>
        <v/>
      </c>
      <c r="I625" s="227"/>
      <c r="J625" s="227"/>
      <c r="K625" s="227"/>
      <c r="L625" s="227"/>
      <c r="M625" s="210" t="str">
        <f t="shared" si="169"/>
        <v/>
      </c>
      <c r="N625" s="210"/>
      <c r="O625" s="207"/>
      <c r="P625" s="182" t="str">
        <f t="shared" si="154"/>
        <v/>
      </c>
      <c r="Q625" s="183" t="str">
        <f t="shared" si="165"/>
        <v/>
      </c>
      <c r="R625" s="182" t="str">
        <f>IF(M625&lt;&gt;"",IF(#REF!*F625*10=0,"",#REF!*F625*10),"")</f>
        <v/>
      </c>
      <c r="S625" s="184" t="str">
        <f t="shared" si="166"/>
        <v/>
      </c>
      <c r="T625" s="185" t="str">
        <f t="shared" si="155"/>
        <v/>
      </c>
      <c r="U625" s="183" t="str">
        <f t="shared" si="167"/>
        <v/>
      </c>
      <c r="V625" s="186" t="str">
        <f t="shared" si="156"/>
        <v/>
      </c>
      <c r="W625" s="186" t="str">
        <f t="shared" si="157"/>
        <v/>
      </c>
      <c r="X625" s="187" t="str">
        <f t="shared" si="158"/>
        <v/>
      </c>
      <c r="Y625" s="182" t="str">
        <f t="shared" si="168"/>
        <v/>
      </c>
      <c r="Z625" s="209" t="str">
        <f t="shared" si="159"/>
        <v/>
      </c>
      <c r="AA625" s="209" t="str">
        <f t="shared" si="160"/>
        <v/>
      </c>
      <c r="AB625" s="200"/>
      <c r="AC625" s="192"/>
    </row>
    <row r="626" spans="1:29" ht="11.4">
      <c r="A626" s="211" t="str">
        <f t="shared" si="161"/>
        <v/>
      </c>
      <c r="B626" s="211"/>
      <c r="C626" s="215"/>
      <c r="D626" s="213" t="str">
        <f t="shared" si="162"/>
        <v/>
      </c>
      <c r="E626" s="213" t="str">
        <f t="shared" si="170"/>
        <v/>
      </c>
      <c r="F626" s="214" t="str">
        <f t="shared" si="163"/>
        <v/>
      </c>
      <c r="G626" s="180"/>
      <c r="H626" s="181" t="str">
        <f t="shared" si="164"/>
        <v/>
      </c>
      <c r="I626" s="227"/>
      <c r="J626" s="227"/>
      <c r="K626" s="227"/>
      <c r="L626" s="227"/>
      <c r="M626" s="210" t="str">
        <f t="shared" si="169"/>
        <v/>
      </c>
      <c r="N626" s="210"/>
      <c r="O626" s="207"/>
      <c r="P626" s="182" t="str">
        <f t="shared" si="154"/>
        <v/>
      </c>
      <c r="Q626" s="183" t="str">
        <f t="shared" si="165"/>
        <v/>
      </c>
      <c r="R626" s="182" t="str">
        <f>IF(M626&lt;&gt;"",IF(#REF!*F626*10=0,"",#REF!*F626*10),"")</f>
        <v/>
      </c>
      <c r="S626" s="184" t="str">
        <f t="shared" si="166"/>
        <v/>
      </c>
      <c r="T626" s="185" t="str">
        <f t="shared" si="155"/>
        <v/>
      </c>
      <c r="U626" s="183" t="str">
        <f t="shared" si="167"/>
        <v/>
      </c>
      <c r="V626" s="186" t="str">
        <f t="shared" si="156"/>
        <v/>
      </c>
      <c r="W626" s="186" t="str">
        <f t="shared" si="157"/>
        <v/>
      </c>
      <c r="X626" s="187" t="str">
        <f t="shared" si="158"/>
        <v/>
      </c>
      <c r="Y626" s="182" t="str">
        <f t="shared" si="168"/>
        <v/>
      </c>
      <c r="Z626" s="209" t="str">
        <f t="shared" si="159"/>
        <v/>
      </c>
      <c r="AA626" s="209" t="str">
        <f t="shared" si="160"/>
        <v/>
      </c>
      <c r="AB626" s="200"/>
      <c r="AC626" s="192"/>
    </row>
    <row r="627" spans="1:29" ht="11.4">
      <c r="A627" s="211" t="str">
        <f t="shared" si="161"/>
        <v/>
      </c>
      <c r="B627" s="211"/>
      <c r="C627" s="215"/>
      <c r="D627" s="213" t="str">
        <f t="shared" si="162"/>
        <v/>
      </c>
      <c r="E627" s="213" t="str">
        <f t="shared" si="170"/>
        <v/>
      </c>
      <c r="F627" s="214" t="str">
        <f t="shared" si="163"/>
        <v/>
      </c>
      <c r="G627" s="180"/>
      <c r="H627" s="181" t="str">
        <f t="shared" si="164"/>
        <v/>
      </c>
      <c r="I627" s="227"/>
      <c r="J627" s="227"/>
      <c r="K627" s="227"/>
      <c r="L627" s="227"/>
      <c r="M627" s="210" t="str">
        <f t="shared" si="169"/>
        <v/>
      </c>
      <c r="N627" s="210"/>
      <c r="O627" s="207"/>
      <c r="P627" s="182" t="str">
        <f t="shared" si="154"/>
        <v/>
      </c>
      <c r="Q627" s="183" t="str">
        <f t="shared" si="165"/>
        <v/>
      </c>
      <c r="R627" s="182" t="str">
        <f>IF(M627&lt;&gt;"",IF(#REF!*F627*10=0,"",#REF!*F627*10),"")</f>
        <v/>
      </c>
      <c r="S627" s="184" t="str">
        <f t="shared" si="166"/>
        <v/>
      </c>
      <c r="T627" s="185" t="str">
        <f t="shared" si="155"/>
        <v/>
      </c>
      <c r="U627" s="183" t="str">
        <f t="shared" si="167"/>
        <v/>
      </c>
      <c r="V627" s="186" t="str">
        <f t="shared" si="156"/>
        <v/>
      </c>
      <c r="W627" s="186" t="str">
        <f t="shared" si="157"/>
        <v/>
      </c>
      <c r="X627" s="187" t="str">
        <f t="shared" si="158"/>
        <v/>
      </c>
      <c r="Y627" s="182" t="str">
        <f t="shared" si="168"/>
        <v/>
      </c>
      <c r="Z627" s="209" t="str">
        <f t="shared" si="159"/>
        <v/>
      </c>
      <c r="AA627" s="209" t="str">
        <f t="shared" si="160"/>
        <v/>
      </c>
      <c r="AB627" s="200"/>
      <c r="AC627" s="192"/>
    </row>
    <row r="628" spans="1:29" ht="11.4">
      <c r="A628" s="211" t="str">
        <f t="shared" si="161"/>
        <v/>
      </c>
      <c r="B628" s="211"/>
      <c r="C628" s="215"/>
      <c r="D628" s="213" t="str">
        <f t="shared" si="162"/>
        <v/>
      </c>
      <c r="E628" s="213" t="str">
        <f t="shared" si="170"/>
        <v/>
      </c>
      <c r="F628" s="214" t="str">
        <f t="shared" si="163"/>
        <v/>
      </c>
      <c r="G628" s="180"/>
      <c r="H628" s="181" t="str">
        <f t="shared" si="164"/>
        <v/>
      </c>
      <c r="I628" s="227"/>
      <c r="J628" s="227"/>
      <c r="K628" s="227"/>
      <c r="L628" s="227"/>
      <c r="M628" s="210" t="str">
        <f t="shared" si="169"/>
        <v/>
      </c>
      <c r="N628" s="210"/>
      <c r="O628" s="207"/>
      <c r="P628" s="182" t="str">
        <f t="shared" si="154"/>
        <v/>
      </c>
      <c r="Q628" s="183" t="str">
        <f t="shared" si="165"/>
        <v/>
      </c>
      <c r="R628" s="182" t="str">
        <f>IF(M628&lt;&gt;"",IF(#REF!*F628*10=0,"",#REF!*F628*10),"")</f>
        <v/>
      </c>
      <c r="S628" s="184" t="str">
        <f t="shared" si="166"/>
        <v/>
      </c>
      <c r="T628" s="185" t="str">
        <f t="shared" si="155"/>
        <v/>
      </c>
      <c r="U628" s="183" t="str">
        <f t="shared" si="167"/>
        <v/>
      </c>
      <c r="V628" s="186" t="str">
        <f t="shared" si="156"/>
        <v/>
      </c>
      <c r="W628" s="186" t="str">
        <f t="shared" si="157"/>
        <v/>
      </c>
      <c r="X628" s="187" t="str">
        <f t="shared" si="158"/>
        <v/>
      </c>
      <c r="Y628" s="182" t="str">
        <f t="shared" si="168"/>
        <v/>
      </c>
      <c r="Z628" s="209" t="str">
        <f t="shared" si="159"/>
        <v/>
      </c>
      <c r="AA628" s="209" t="str">
        <f t="shared" si="160"/>
        <v/>
      </c>
      <c r="AB628" s="200"/>
      <c r="AC628" s="192"/>
    </row>
    <row r="629" spans="1:29" ht="11.4">
      <c r="A629" s="211" t="str">
        <f t="shared" si="161"/>
        <v/>
      </c>
      <c r="B629" s="211"/>
      <c r="C629" s="215"/>
      <c r="D629" s="213" t="str">
        <f t="shared" si="162"/>
        <v/>
      </c>
      <c r="E629" s="213" t="str">
        <f t="shared" si="170"/>
        <v/>
      </c>
      <c r="F629" s="214" t="str">
        <f t="shared" si="163"/>
        <v/>
      </c>
      <c r="G629" s="180"/>
      <c r="H629" s="181" t="str">
        <f t="shared" si="164"/>
        <v/>
      </c>
      <c r="I629" s="227"/>
      <c r="J629" s="227"/>
      <c r="K629" s="227"/>
      <c r="L629" s="227"/>
      <c r="M629" s="210" t="str">
        <f t="shared" si="169"/>
        <v/>
      </c>
      <c r="N629" s="210"/>
      <c r="O629" s="207"/>
      <c r="P629" s="182" t="str">
        <f t="shared" si="154"/>
        <v/>
      </c>
      <c r="Q629" s="183" t="str">
        <f t="shared" si="165"/>
        <v/>
      </c>
      <c r="R629" s="182" t="str">
        <f>IF(M629&lt;&gt;"",IF(#REF!*F629*10=0,"",#REF!*F629*10),"")</f>
        <v/>
      </c>
      <c r="S629" s="184" t="str">
        <f t="shared" si="166"/>
        <v/>
      </c>
      <c r="T629" s="185" t="str">
        <f t="shared" si="155"/>
        <v/>
      </c>
      <c r="U629" s="183" t="str">
        <f t="shared" si="167"/>
        <v/>
      </c>
      <c r="V629" s="186" t="str">
        <f t="shared" si="156"/>
        <v/>
      </c>
      <c r="W629" s="186" t="str">
        <f t="shared" si="157"/>
        <v/>
      </c>
      <c r="X629" s="187" t="str">
        <f t="shared" si="158"/>
        <v/>
      </c>
      <c r="Y629" s="182" t="str">
        <f t="shared" si="168"/>
        <v/>
      </c>
      <c r="Z629" s="209" t="str">
        <f t="shared" si="159"/>
        <v/>
      </c>
      <c r="AA629" s="209" t="str">
        <f t="shared" si="160"/>
        <v/>
      </c>
      <c r="AB629" s="200"/>
      <c r="AC629" s="192"/>
    </row>
    <row r="630" spans="1:29" ht="11.4">
      <c r="A630" s="211" t="str">
        <f t="shared" si="161"/>
        <v/>
      </c>
      <c r="B630" s="211"/>
      <c r="C630" s="215"/>
      <c r="D630" s="213" t="str">
        <f t="shared" si="162"/>
        <v/>
      </c>
      <c r="E630" s="213" t="str">
        <f t="shared" si="170"/>
        <v/>
      </c>
      <c r="F630" s="214" t="str">
        <f t="shared" si="163"/>
        <v/>
      </c>
      <c r="G630" s="180"/>
      <c r="H630" s="181" t="str">
        <f t="shared" si="164"/>
        <v/>
      </c>
      <c r="I630" s="227"/>
      <c r="J630" s="227"/>
      <c r="K630" s="227"/>
      <c r="L630" s="227"/>
      <c r="M630" s="210" t="str">
        <f t="shared" si="169"/>
        <v/>
      </c>
      <c r="N630" s="210"/>
      <c r="O630" s="207"/>
      <c r="P630" s="182" t="str">
        <f t="shared" si="154"/>
        <v/>
      </c>
      <c r="Q630" s="183" t="str">
        <f t="shared" si="165"/>
        <v/>
      </c>
      <c r="R630" s="182" t="str">
        <f>IF(M630&lt;&gt;"",IF(#REF!*F630*10=0,"",#REF!*F630*10),"")</f>
        <v/>
      </c>
      <c r="S630" s="184" t="str">
        <f t="shared" si="166"/>
        <v/>
      </c>
      <c r="T630" s="185" t="str">
        <f t="shared" si="155"/>
        <v/>
      </c>
      <c r="U630" s="183" t="str">
        <f t="shared" si="167"/>
        <v/>
      </c>
      <c r="V630" s="186" t="str">
        <f t="shared" si="156"/>
        <v/>
      </c>
      <c r="W630" s="186" t="str">
        <f t="shared" si="157"/>
        <v/>
      </c>
      <c r="X630" s="187" t="str">
        <f t="shared" si="158"/>
        <v/>
      </c>
      <c r="Y630" s="182" t="str">
        <f t="shared" si="168"/>
        <v/>
      </c>
      <c r="Z630" s="209" t="str">
        <f t="shared" si="159"/>
        <v/>
      </c>
      <c r="AA630" s="209" t="str">
        <f t="shared" si="160"/>
        <v/>
      </c>
      <c r="AB630" s="200"/>
      <c r="AC630" s="192"/>
    </row>
    <row r="631" spans="1:29" ht="11.4">
      <c r="A631" s="211" t="str">
        <f t="shared" si="161"/>
        <v/>
      </c>
      <c r="B631" s="211"/>
      <c r="C631" s="215"/>
      <c r="D631" s="213" t="str">
        <f t="shared" si="162"/>
        <v/>
      </c>
      <c r="E631" s="213" t="str">
        <f t="shared" si="170"/>
        <v/>
      </c>
      <c r="F631" s="214" t="str">
        <f t="shared" si="163"/>
        <v/>
      </c>
      <c r="G631" s="180"/>
      <c r="H631" s="181" t="str">
        <f t="shared" si="164"/>
        <v/>
      </c>
      <c r="I631" s="227"/>
      <c r="J631" s="227"/>
      <c r="K631" s="227"/>
      <c r="L631" s="227"/>
      <c r="M631" s="210" t="str">
        <f t="shared" si="169"/>
        <v/>
      </c>
      <c r="N631" s="210"/>
      <c r="O631" s="207"/>
      <c r="P631" s="182" t="str">
        <f t="shared" si="154"/>
        <v/>
      </c>
      <c r="Q631" s="183" t="str">
        <f t="shared" si="165"/>
        <v/>
      </c>
      <c r="R631" s="182" t="str">
        <f>IF(M631&lt;&gt;"",IF(#REF!*F631*10=0,"",#REF!*F631*10),"")</f>
        <v/>
      </c>
      <c r="S631" s="184" t="str">
        <f t="shared" si="166"/>
        <v/>
      </c>
      <c r="T631" s="185" t="str">
        <f t="shared" si="155"/>
        <v/>
      </c>
      <c r="U631" s="183" t="str">
        <f t="shared" si="167"/>
        <v/>
      </c>
      <c r="V631" s="186" t="str">
        <f t="shared" si="156"/>
        <v/>
      </c>
      <c r="W631" s="186" t="str">
        <f t="shared" si="157"/>
        <v/>
      </c>
      <c r="X631" s="187" t="str">
        <f t="shared" si="158"/>
        <v/>
      </c>
      <c r="Y631" s="182" t="str">
        <f t="shared" si="168"/>
        <v/>
      </c>
      <c r="Z631" s="209" t="str">
        <f t="shared" si="159"/>
        <v/>
      </c>
      <c r="AA631" s="209" t="str">
        <f t="shared" si="160"/>
        <v/>
      </c>
      <c r="AB631" s="200"/>
      <c r="AC631" s="192"/>
    </row>
    <row r="632" spans="1:29" ht="11.4">
      <c r="A632" s="211" t="str">
        <f t="shared" si="161"/>
        <v/>
      </c>
      <c r="B632" s="211"/>
      <c r="C632" s="215"/>
      <c r="D632" s="213" t="str">
        <f t="shared" si="162"/>
        <v/>
      </c>
      <c r="E632" s="213" t="str">
        <f t="shared" si="170"/>
        <v/>
      </c>
      <c r="F632" s="214" t="str">
        <f t="shared" si="163"/>
        <v/>
      </c>
      <c r="G632" s="180"/>
      <c r="H632" s="181" t="str">
        <f t="shared" si="164"/>
        <v/>
      </c>
      <c r="I632" s="227"/>
      <c r="J632" s="227"/>
      <c r="K632" s="227"/>
      <c r="L632" s="227"/>
      <c r="M632" s="210" t="str">
        <f t="shared" si="169"/>
        <v/>
      </c>
      <c r="N632" s="210"/>
      <c r="O632" s="207"/>
      <c r="P632" s="182" t="str">
        <f t="shared" si="154"/>
        <v/>
      </c>
      <c r="Q632" s="183" t="str">
        <f t="shared" si="165"/>
        <v/>
      </c>
      <c r="R632" s="182" t="str">
        <f>IF(M632&lt;&gt;"",IF(#REF!*F632*10=0,"",#REF!*F632*10),"")</f>
        <v/>
      </c>
      <c r="S632" s="184" t="str">
        <f t="shared" si="166"/>
        <v/>
      </c>
      <c r="T632" s="185" t="str">
        <f t="shared" si="155"/>
        <v/>
      </c>
      <c r="U632" s="183" t="str">
        <f t="shared" si="167"/>
        <v/>
      </c>
      <c r="V632" s="186" t="str">
        <f t="shared" si="156"/>
        <v/>
      </c>
      <c r="W632" s="186" t="str">
        <f t="shared" si="157"/>
        <v/>
      </c>
      <c r="X632" s="187" t="str">
        <f t="shared" si="158"/>
        <v/>
      </c>
      <c r="Y632" s="182" t="str">
        <f t="shared" si="168"/>
        <v/>
      </c>
      <c r="Z632" s="209" t="str">
        <f t="shared" si="159"/>
        <v/>
      </c>
      <c r="AA632" s="209" t="str">
        <f t="shared" si="160"/>
        <v/>
      </c>
      <c r="AB632" s="200"/>
      <c r="AC632" s="192"/>
    </row>
    <row r="633" spans="1:29" ht="11.4">
      <c r="A633" s="211" t="str">
        <f t="shared" si="161"/>
        <v/>
      </c>
      <c r="B633" s="211"/>
      <c r="C633" s="215"/>
      <c r="D633" s="213" t="str">
        <f t="shared" si="162"/>
        <v/>
      </c>
      <c r="E633" s="213" t="str">
        <f t="shared" si="170"/>
        <v/>
      </c>
      <c r="F633" s="214" t="str">
        <f t="shared" si="163"/>
        <v/>
      </c>
      <c r="G633" s="180"/>
      <c r="H633" s="181" t="str">
        <f t="shared" si="164"/>
        <v/>
      </c>
      <c r="I633" s="227"/>
      <c r="J633" s="227"/>
      <c r="K633" s="227"/>
      <c r="L633" s="227"/>
      <c r="M633" s="210" t="str">
        <f t="shared" si="169"/>
        <v/>
      </c>
      <c r="N633" s="210"/>
      <c r="O633" s="207"/>
      <c r="P633" s="182" t="str">
        <f t="shared" si="154"/>
        <v/>
      </c>
      <c r="Q633" s="183" t="str">
        <f t="shared" si="165"/>
        <v/>
      </c>
      <c r="R633" s="182" t="str">
        <f>IF(M633&lt;&gt;"",IF(#REF!*F633*10=0,"",#REF!*F633*10),"")</f>
        <v/>
      </c>
      <c r="S633" s="184" t="str">
        <f t="shared" si="166"/>
        <v/>
      </c>
      <c r="T633" s="185" t="str">
        <f t="shared" si="155"/>
        <v/>
      </c>
      <c r="U633" s="183" t="str">
        <f t="shared" si="167"/>
        <v/>
      </c>
      <c r="V633" s="186" t="str">
        <f t="shared" si="156"/>
        <v/>
      </c>
      <c r="W633" s="186" t="str">
        <f t="shared" si="157"/>
        <v/>
      </c>
      <c r="X633" s="187" t="str">
        <f t="shared" si="158"/>
        <v/>
      </c>
      <c r="Y633" s="182" t="str">
        <f t="shared" si="168"/>
        <v/>
      </c>
      <c r="Z633" s="209" t="str">
        <f t="shared" si="159"/>
        <v/>
      </c>
      <c r="AA633" s="209" t="str">
        <f t="shared" si="160"/>
        <v/>
      </c>
      <c r="AB633" s="200"/>
      <c r="AC633" s="192"/>
    </row>
    <row r="634" spans="1:29" ht="11.4">
      <c r="A634" s="211" t="str">
        <f t="shared" si="161"/>
        <v/>
      </c>
      <c r="B634" s="211"/>
      <c r="C634" s="215"/>
      <c r="D634" s="213" t="str">
        <f t="shared" si="162"/>
        <v/>
      </c>
      <c r="E634" s="213" t="str">
        <f t="shared" si="170"/>
        <v/>
      </c>
      <c r="F634" s="214" t="str">
        <f t="shared" si="163"/>
        <v/>
      </c>
      <c r="G634" s="180"/>
      <c r="H634" s="181" t="str">
        <f t="shared" si="164"/>
        <v/>
      </c>
      <c r="I634" s="227"/>
      <c r="J634" s="227"/>
      <c r="K634" s="227"/>
      <c r="L634" s="227"/>
      <c r="M634" s="210" t="str">
        <f t="shared" si="169"/>
        <v/>
      </c>
      <c r="N634" s="210"/>
      <c r="O634" s="207"/>
      <c r="P634" s="182" t="str">
        <f t="shared" si="154"/>
        <v/>
      </c>
      <c r="Q634" s="183" t="str">
        <f t="shared" si="165"/>
        <v/>
      </c>
      <c r="R634" s="182" t="str">
        <f>IF(M634&lt;&gt;"",IF(#REF!*F634*10=0,"",#REF!*F634*10),"")</f>
        <v/>
      </c>
      <c r="S634" s="184" t="str">
        <f t="shared" si="166"/>
        <v/>
      </c>
      <c r="T634" s="185" t="str">
        <f t="shared" si="155"/>
        <v/>
      </c>
      <c r="U634" s="183" t="str">
        <f t="shared" si="167"/>
        <v/>
      </c>
      <c r="V634" s="186" t="str">
        <f t="shared" si="156"/>
        <v/>
      </c>
      <c r="W634" s="186" t="str">
        <f t="shared" si="157"/>
        <v/>
      </c>
      <c r="X634" s="187" t="str">
        <f t="shared" si="158"/>
        <v/>
      </c>
      <c r="Y634" s="182" t="str">
        <f t="shared" si="168"/>
        <v/>
      </c>
      <c r="Z634" s="209" t="str">
        <f t="shared" si="159"/>
        <v/>
      </c>
      <c r="AA634" s="209" t="str">
        <f t="shared" si="160"/>
        <v/>
      </c>
      <c r="AB634" s="200"/>
      <c r="AC634" s="192"/>
    </row>
    <row r="635" spans="1:29" ht="11.4">
      <c r="A635" s="211" t="str">
        <f t="shared" si="161"/>
        <v/>
      </c>
      <c r="B635" s="211"/>
      <c r="C635" s="215"/>
      <c r="D635" s="213" t="str">
        <f t="shared" si="162"/>
        <v/>
      </c>
      <c r="E635" s="213" t="str">
        <f t="shared" si="170"/>
        <v/>
      </c>
      <c r="F635" s="214" t="str">
        <f t="shared" si="163"/>
        <v/>
      </c>
      <c r="G635" s="180"/>
      <c r="H635" s="181" t="str">
        <f t="shared" si="164"/>
        <v/>
      </c>
      <c r="I635" s="227"/>
      <c r="J635" s="227"/>
      <c r="K635" s="227"/>
      <c r="L635" s="227"/>
      <c r="M635" s="210" t="str">
        <f t="shared" si="169"/>
        <v/>
      </c>
      <c r="N635" s="210"/>
      <c r="O635" s="207"/>
      <c r="P635" s="182" t="str">
        <f t="shared" si="154"/>
        <v/>
      </c>
      <c r="Q635" s="183" t="str">
        <f t="shared" si="165"/>
        <v/>
      </c>
      <c r="R635" s="182" t="str">
        <f>IF(M635&lt;&gt;"",IF(#REF!*F635*10=0,"",#REF!*F635*10),"")</f>
        <v/>
      </c>
      <c r="S635" s="184" t="str">
        <f t="shared" si="166"/>
        <v/>
      </c>
      <c r="T635" s="185" t="str">
        <f t="shared" si="155"/>
        <v/>
      </c>
      <c r="U635" s="183" t="str">
        <f t="shared" si="167"/>
        <v/>
      </c>
      <c r="V635" s="186" t="str">
        <f t="shared" si="156"/>
        <v/>
      </c>
      <c r="W635" s="186" t="str">
        <f t="shared" si="157"/>
        <v/>
      </c>
      <c r="X635" s="187" t="str">
        <f t="shared" si="158"/>
        <v/>
      </c>
      <c r="Y635" s="182" t="str">
        <f t="shared" si="168"/>
        <v/>
      </c>
      <c r="Z635" s="209" t="str">
        <f t="shared" si="159"/>
        <v/>
      </c>
      <c r="AA635" s="209" t="str">
        <f t="shared" si="160"/>
        <v/>
      </c>
      <c r="AB635" s="200"/>
      <c r="AC635" s="192"/>
    </row>
    <row r="636" spans="1:29" ht="11.4">
      <c r="A636" s="211" t="str">
        <f t="shared" si="161"/>
        <v/>
      </c>
      <c r="B636" s="211"/>
      <c r="C636" s="215"/>
      <c r="D636" s="213" t="str">
        <f t="shared" si="162"/>
        <v/>
      </c>
      <c r="E636" s="213" t="str">
        <f t="shared" si="170"/>
        <v/>
      </c>
      <c r="F636" s="214" t="str">
        <f t="shared" si="163"/>
        <v/>
      </c>
      <c r="G636" s="180"/>
      <c r="H636" s="181" t="str">
        <f t="shared" si="164"/>
        <v/>
      </c>
      <c r="I636" s="227"/>
      <c r="J636" s="227"/>
      <c r="K636" s="227"/>
      <c r="L636" s="227"/>
      <c r="M636" s="210" t="str">
        <f t="shared" si="169"/>
        <v/>
      </c>
      <c r="N636" s="210"/>
      <c r="O636" s="207"/>
      <c r="P636" s="182" t="str">
        <f t="shared" si="154"/>
        <v/>
      </c>
      <c r="Q636" s="183" t="str">
        <f t="shared" si="165"/>
        <v/>
      </c>
      <c r="R636" s="182" t="str">
        <f>IF(M636&lt;&gt;"",IF(#REF!*F636*10=0,"",#REF!*F636*10),"")</f>
        <v/>
      </c>
      <c r="S636" s="184" t="str">
        <f t="shared" si="166"/>
        <v/>
      </c>
      <c r="T636" s="185" t="str">
        <f t="shared" si="155"/>
        <v/>
      </c>
      <c r="U636" s="183" t="str">
        <f t="shared" si="167"/>
        <v/>
      </c>
      <c r="V636" s="186" t="str">
        <f t="shared" si="156"/>
        <v/>
      </c>
      <c r="W636" s="186" t="str">
        <f t="shared" si="157"/>
        <v/>
      </c>
      <c r="X636" s="187" t="str">
        <f t="shared" si="158"/>
        <v/>
      </c>
      <c r="Y636" s="182" t="str">
        <f t="shared" si="168"/>
        <v/>
      </c>
      <c r="Z636" s="209" t="str">
        <f t="shared" si="159"/>
        <v/>
      </c>
      <c r="AA636" s="209" t="str">
        <f t="shared" si="160"/>
        <v/>
      </c>
      <c r="AB636" s="200"/>
      <c r="AC636" s="192"/>
    </row>
    <row r="637" spans="1:29" ht="11.4">
      <c r="A637" s="211" t="str">
        <f t="shared" si="161"/>
        <v/>
      </c>
      <c r="B637" s="211"/>
      <c r="C637" s="215"/>
      <c r="D637" s="213" t="str">
        <f t="shared" si="162"/>
        <v/>
      </c>
      <c r="E637" s="213" t="str">
        <f t="shared" si="170"/>
        <v/>
      </c>
      <c r="F637" s="214" t="str">
        <f t="shared" si="163"/>
        <v/>
      </c>
      <c r="G637" s="180"/>
      <c r="H637" s="181" t="str">
        <f t="shared" si="164"/>
        <v/>
      </c>
      <c r="I637" s="227"/>
      <c r="J637" s="227"/>
      <c r="K637" s="227"/>
      <c r="L637" s="227"/>
      <c r="M637" s="210" t="str">
        <f t="shared" si="169"/>
        <v/>
      </c>
      <c r="N637" s="210"/>
      <c r="O637" s="207"/>
      <c r="P637" s="182" t="str">
        <f t="shared" si="154"/>
        <v/>
      </c>
      <c r="Q637" s="183" t="str">
        <f t="shared" si="165"/>
        <v/>
      </c>
      <c r="R637" s="182" t="str">
        <f>IF(M637&lt;&gt;"",IF(#REF!*F637*10=0,"",#REF!*F637*10),"")</f>
        <v/>
      </c>
      <c r="S637" s="184" t="str">
        <f t="shared" si="166"/>
        <v/>
      </c>
      <c r="T637" s="185" t="str">
        <f t="shared" si="155"/>
        <v/>
      </c>
      <c r="U637" s="183" t="str">
        <f t="shared" si="167"/>
        <v/>
      </c>
      <c r="V637" s="186" t="str">
        <f t="shared" si="156"/>
        <v/>
      </c>
      <c r="W637" s="186" t="str">
        <f t="shared" si="157"/>
        <v/>
      </c>
      <c r="X637" s="187" t="str">
        <f t="shared" si="158"/>
        <v/>
      </c>
      <c r="Y637" s="182" t="str">
        <f t="shared" si="168"/>
        <v/>
      </c>
      <c r="Z637" s="209" t="str">
        <f t="shared" si="159"/>
        <v/>
      </c>
      <c r="AA637" s="209" t="str">
        <f t="shared" si="160"/>
        <v/>
      </c>
      <c r="AB637" s="200"/>
      <c r="AC637" s="192"/>
    </row>
    <row r="638" spans="1:29" ht="11.4">
      <c r="A638" s="211" t="str">
        <f t="shared" si="161"/>
        <v/>
      </c>
      <c r="B638" s="211"/>
      <c r="C638" s="215"/>
      <c r="D638" s="213" t="str">
        <f t="shared" si="162"/>
        <v/>
      </c>
      <c r="E638" s="213" t="str">
        <f t="shared" si="170"/>
        <v/>
      </c>
      <c r="F638" s="214" t="str">
        <f t="shared" si="163"/>
        <v/>
      </c>
      <c r="G638" s="180"/>
      <c r="H638" s="181" t="str">
        <f t="shared" si="164"/>
        <v/>
      </c>
      <c r="I638" s="227"/>
      <c r="J638" s="227"/>
      <c r="K638" s="227"/>
      <c r="L638" s="227"/>
      <c r="M638" s="210" t="str">
        <f t="shared" si="169"/>
        <v/>
      </c>
      <c r="N638" s="210"/>
      <c r="O638" s="207"/>
      <c r="P638" s="182" t="str">
        <f t="shared" si="154"/>
        <v/>
      </c>
      <c r="Q638" s="183" t="str">
        <f t="shared" si="165"/>
        <v/>
      </c>
      <c r="R638" s="182" t="str">
        <f>IF(M638&lt;&gt;"",IF(#REF!*F638*10=0,"",#REF!*F638*10),"")</f>
        <v/>
      </c>
      <c r="S638" s="184" t="str">
        <f t="shared" si="166"/>
        <v/>
      </c>
      <c r="T638" s="185" t="str">
        <f t="shared" si="155"/>
        <v/>
      </c>
      <c r="U638" s="183" t="str">
        <f t="shared" si="167"/>
        <v/>
      </c>
      <c r="V638" s="186" t="str">
        <f t="shared" si="156"/>
        <v/>
      </c>
      <c r="W638" s="186" t="str">
        <f t="shared" si="157"/>
        <v/>
      </c>
      <c r="X638" s="187" t="str">
        <f t="shared" si="158"/>
        <v/>
      </c>
      <c r="Y638" s="182" t="str">
        <f t="shared" si="168"/>
        <v/>
      </c>
      <c r="Z638" s="209" t="str">
        <f t="shared" si="159"/>
        <v/>
      </c>
      <c r="AA638" s="209" t="str">
        <f t="shared" si="160"/>
        <v/>
      </c>
      <c r="AB638" s="200"/>
      <c r="AC638" s="192"/>
    </row>
    <row r="639" spans="1:29" ht="11.4">
      <c r="A639" s="211" t="str">
        <f t="shared" si="161"/>
        <v/>
      </c>
      <c r="B639" s="211"/>
      <c r="C639" s="215"/>
      <c r="D639" s="213" t="str">
        <f t="shared" si="162"/>
        <v/>
      </c>
      <c r="E639" s="213" t="str">
        <f t="shared" si="170"/>
        <v/>
      </c>
      <c r="F639" s="214" t="str">
        <f t="shared" si="163"/>
        <v/>
      </c>
      <c r="G639" s="180"/>
      <c r="H639" s="181" t="str">
        <f t="shared" si="164"/>
        <v/>
      </c>
      <c r="I639" s="227"/>
      <c r="J639" s="227"/>
      <c r="K639" s="227"/>
      <c r="L639" s="227"/>
      <c r="M639" s="210" t="str">
        <f t="shared" si="169"/>
        <v/>
      </c>
      <c r="N639" s="210"/>
      <c r="O639" s="207"/>
      <c r="P639" s="182" t="str">
        <f t="shared" si="154"/>
        <v/>
      </c>
      <c r="Q639" s="183" t="str">
        <f t="shared" si="165"/>
        <v/>
      </c>
      <c r="R639" s="182" t="str">
        <f>IF(M639&lt;&gt;"",IF(#REF!*F639*10=0,"",#REF!*F639*10),"")</f>
        <v/>
      </c>
      <c r="S639" s="184" t="str">
        <f t="shared" si="166"/>
        <v/>
      </c>
      <c r="T639" s="185" t="str">
        <f t="shared" si="155"/>
        <v/>
      </c>
      <c r="U639" s="183" t="str">
        <f t="shared" si="167"/>
        <v/>
      </c>
      <c r="V639" s="186" t="str">
        <f t="shared" si="156"/>
        <v/>
      </c>
      <c r="W639" s="186" t="str">
        <f t="shared" si="157"/>
        <v/>
      </c>
      <c r="X639" s="187" t="str">
        <f t="shared" si="158"/>
        <v/>
      </c>
      <c r="Y639" s="182" t="str">
        <f t="shared" si="168"/>
        <v/>
      </c>
      <c r="Z639" s="209" t="str">
        <f t="shared" si="159"/>
        <v/>
      </c>
      <c r="AA639" s="209" t="str">
        <f t="shared" si="160"/>
        <v/>
      </c>
      <c r="AB639" s="200"/>
      <c r="AC639" s="192"/>
    </row>
    <row r="640" spans="1:29" ht="11.4">
      <c r="A640" s="211" t="str">
        <f t="shared" si="161"/>
        <v/>
      </c>
      <c r="B640" s="211"/>
      <c r="C640" s="215"/>
      <c r="D640" s="213" t="str">
        <f t="shared" si="162"/>
        <v/>
      </c>
      <c r="E640" s="213" t="str">
        <f t="shared" si="170"/>
        <v/>
      </c>
      <c r="F640" s="214" t="str">
        <f t="shared" si="163"/>
        <v/>
      </c>
      <c r="G640" s="180"/>
      <c r="H640" s="181" t="str">
        <f t="shared" si="164"/>
        <v/>
      </c>
      <c r="I640" s="227"/>
      <c r="J640" s="227"/>
      <c r="K640" s="227"/>
      <c r="L640" s="227"/>
      <c r="M640" s="210" t="str">
        <f t="shared" si="169"/>
        <v/>
      </c>
      <c r="N640" s="210"/>
      <c r="O640" s="207"/>
      <c r="P640" s="182" t="str">
        <f t="shared" si="154"/>
        <v/>
      </c>
      <c r="Q640" s="183" t="str">
        <f t="shared" si="165"/>
        <v/>
      </c>
      <c r="R640" s="182" t="str">
        <f>IF(M640&lt;&gt;"",IF(#REF!*F640*10=0,"",#REF!*F640*10),"")</f>
        <v/>
      </c>
      <c r="S640" s="184" t="str">
        <f t="shared" si="166"/>
        <v/>
      </c>
      <c r="T640" s="185" t="str">
        <f t="shared" si="155"/>
        <v/>
      </c>
      <c r="U640" s="183" t="str">
        <f t="shared" si="167"/>
        <v/>
      </c>
      <c r="V640" s="186" t="str">
        <f t="shared" si="156"/>
        <v/>
      </c>
      <c r="W640" s="186" t="str">
        <f t="shared" si="157"/>
        <v/>
      </c>
      <c r="X640" s="187" t="str">
        <f t="shared" si="158"/>
        <v/>
      </c>
      <c r="Y640" s="182" t="str">
        <f t="shared" si="168"/>
        <v/>
      </c>
      <c r="Z640" s="209" t="str">
        <f t="shared" si="159"/>
        <v/>
      </c>
      <c r="AA640" s="209" t="str">
        <f t="shared" si="160"/>
        <v/>
      </c>
      <c r="AB640" s="200"/>
      <c r="AC640" s="192"/>
    </row>
    <row r="641" spans="1:29" ht="11.4">
      <c r="A641" s="211" t="str">
        <f t="shared" si="161"/>
        <v/>
      </c>
      <c r="B641" s="211"/>
      <c r="C641" s="215"/>
      <c r="D641" s="213" t="str">
        <f t="shared" si="162"/>
        <v/>
      </c>
      <c r="E641" s="213" t="str">
        <f t="shared" si="170"/>
        <v/>
      </c>
      <c r="F641" s="214" t="str">
        <f t="shared" si="163"/>
        <v/>
      </c>
      <c r="G641" s="180"/>
      <c r="H641" s="181" t="str">
        <f t="shared" si="164"/>
        <v/>
      </c>
      <c r="I641" s="227"/>
      <c r="J641" s="227"/>
      <c r="K641" s="227"/>
      <c r="L641" s="227"/>
      <c r="M641" s="210" t="str">
        <f t="shared" si="169"/>
        <v/>
      </c>
      <c r="N641" s="210"/>
      <c r="O641" s="207"/>
      <c r="P641" s="182" t="str">
        <f t="shared" si="154"/>
        <v/>
      </c>
      <c r="Q641" s="183" t="str">
        <f t="shared" si="165"/>
        <v/>
      </c>
      <c r="R641" s="182" t="str">
        <f>IF(M641&lt;&gt;"",IF(#REF!*F641*10=0,"",#REF!*F641*10),"")</f>
        <v/>
      </c>
      <c r="S641" s="184" t="str">
        <f t="shared" si="166"/>
        <v/>
      </c>
      <c r="T641" s="185" t="str">
        <f t="shared" si="155"/>
        <v/>
      </c>
      <c r="U641" s="183" t="str">
        <f t="shared" si="167"/>
        <v/>
      </c>
      <c r="V641" s="186" t="str">
        <f t="shared" si="156"/>
        <v/>
      </c>
      <c r="W641" s="186" t="str">
        <f t="shared" si="157"/>
        <v/>
      </c>
      <c r="X641" s="187" t="str">
        <f t="shared" si="158"/>
        <v/>
      </c>
      <c r="Y641" s="182" t="str">
        <f t="shared" si="168"/>
        <v/>
      </c>
      <c r="Z641" s="209" t="str">
        <f t="shared" si="159"/>
        <v/>
      </c>
      <c r="AA641" s="209" t="str">
        <f t="shared" si="160"/>
        <v/>
      </c>
      <c r="AB641" s="200"/>
      <c r="AC641" s="192"/>
    </row>
    <row r="642" spans="1:29" ht="11.4">
      <c r="A642" s="211" t="str">
        <f t="shared" si="161"/>
        <v/>
      </c>
      <c r="B642" s="211"/>
      <c r="C642" s="215"/>
      <c r="D642" s="213" t="str">
        <f t="shared" si="162"/>
        <v/>
      </c>
      <c r="E642" s="213" t="str">
        <f t="shared" si="170"/>
        <v/>
      </c>
      <c r="F642" s="214" t="str">
        <f t="shared" si="163"/>
        <v/>
      </c>
      <c r="G642" s="180"/>
      <c r="H642" s="181" t="str">
        <f t="shared" si="164"/>
        <v/>
      </c>
      <c r="I642" s="227"/>
      <c r="J642" s="227"/>
      <c r="K642" s="227"/>
      <c r="L642" s="227"/>
      <c r="M642" s="210" t="str">
        <f t="shared" si="169"/>
        <v/>
      </c>
      <c r="N642" s="210"/>
      <c r="O642" s="207"/>
      <c r="P642" s="182" t="str">
        <f t="shared" si="154"/>
        <v/>
      </c>
      <c r="Q642" s="183" t="str">
        <f t="shared" si="165"/>
        <v/>
      </c>
      <c r="R642" s="182" t="str">
        <f>IF(M642&lt;&gt;"",IF(#REF!*F642*10=0,"",#REF!*F642*10),"")</f>
        <v/>
      </c>
      <c r="S642" s="184" t="str">
        <f t="shared" si="166"/>
        <v/>
      </c>
      <c r="T642" s="185" t="str">
        <f t="shared" si="155"/>
        <v/>
      </c>
      <c r="U642" s="183" t="str">
        <f t="shared" si="167"/>
        <v/>
      </c>
      <c r="V642" s="186" t="str">
        <f t="shared" si="156"/>
        <v/>
      </c>
      <c r="W642" s="186" t="str">
        <f t="shared" si="157"/>
        <v/>
      </c>
      <c r="X642" s="187" t="str">
        <f t="shared" si="158"/>
        <v/>
      </c>
      <c r="Y642" s="182" t="str">
        <f t="shared" si="168"/>
        <v/>
      </c>
      <c r="Z642" s="209" t="str">
        <f t="shared" si="159"/>
        <v/>
      </c>
      <c r="AA642" s="209" t="str">
        <f t="shared" si="160"/>
        <v/>
      </c>
      <c r="AB642" s="200"/>
      <c r="AC642" s="192"/>
    </row>
    <row r="643" spans="1:29" ht="11.4">
      <c r="A643" s="211" t="str">
        <f t="shared" si="161"/>
        <v/>
      </c>
      <c r="B643" s="211"/>
      <c r="C643" s="215"/>
      <c r="D643" s="213" t="str">
        <f t="shared" si="162"/>
        <v/>
      </c>
      <c r="E643" s="213" t="str">
        <f t="shared" si="170"/>
        <v/>
      </c>
      <c r="F643" s="214" t="str">
        <f t="shared" si="163"/>
        <v/>
      </c>
      <c r="G643" s="180"/>
      <c r="H643" s="181" t="str">
        <f t="shared" si="164"/>
        <v/>
      </c>
      <c r="I643" s="227"/>
      <c r="J643" s="227"/>
      <c r="K643" s="227"/>
      <c r="L643" s="227"/>
      <c r="M643" s="210" t="str">
        <f t="shared" si="169"/>
        <v/>
      </c>
      <c r="N643" s="210"/>
      <c r="O643" s="207"/>
      <c r="P643" s="182" t="str">
        <f t="shared" si="154"/>
        <v/>
      </c>
      <c r="Q643" s="183" t="str">
        <f t="shared" si="165"/>
        <v/>
      </c>
      <c r="R643" s="182" t="str">
        <f>IF(M643&lt;&gt;"",IF(#REF!*F643*10=0,"",#REF!*F643*10),"")</f>
        <v/>
      </c>
      <c r="S643" s="184" t="str">
        <f t="shared" si="166"/>
        <v/>
      </c>
      <c r="T643" s="185" t="str">
        <f t="shared" si="155"/>
        <v/>
      </c>
      <c r="U643" s="183" t="str">
        <f t="shared" si="167"/>
        <v/>
      </c>
      <c r="V643" s="186" t="str">
        <f t="shared" si="156"/>
        <v/>
      </c>
      <c r="W643" s="186" t="str">
        <f t="shared" si="157"/>
        <v/>
      </c>
      <c r="X643" s="187" t="str">
        <f t="shared" si="158"/>
        <v/>
      </c>
      <c r="Y643" s="182" t="str">
        <f t="shared" si="168"/>
        <v/>
      </c>
      <c r="Z643" s="209" t="str">
        <f t="shared" si="159"/>
        <v/>
      </c>
      <c r="AA643" s="209" t="str">
        <f t="shared" si="160"/>
        <v/>
      </c>
      <c r="AB643" s="200"/>
      <c r="AC643" s="192"/>
    </row>
    <row r="644" spans="1:29" ht="11.4">
      <c r="A644" s="211" t="str">
        <f t="shared" si="161"/>
        <v/>
      </c>
      <c r="B644" s="211"/>
      <c r="C644" s="215"/>
      <c r="D644" s="213" t="str">
        <f t="shared" si="162"/>
        <v/>
      </c>
      <c r="E644" s="213" t="str">
        <f t="shared" si="170"/>
        <v/>
      </c>
      <c r="F644" s="214" t="str">
        <f t="shared" si="163"/>
        <v/>
      </c>
      <c r="G644" s="180"/>
      <c r="H644" s="181" t="str">
        <f t="shared" si="164"/>
        <v/>
      </c>
      <c r="I644" s="227"/>
      <c r="J644" s="227"/>
      <c r="K644" s="227"/>
      <c r="L644" s="227"/>
      <c r="M644" s="210" t="str">
        <f t="shared" si="169"/>
        <v/>
      </c>
      <c r="N644" s="210"/>
      <c r="O644" s="207"/>
      <c r="P644" s="182" t="str">
        <f t="shared" si="154"/>
        <v/>
      </c>
      <c r="Q644" s="183" t="str">
        <f t="shared" si="165"/>
        <v/>
      </c>
      <c r="R644" s="182" t="str">
        <f>IF(M644&lt;&gt;"",IF(#REF!*F644*10=0,"",#REF!*F644*10),"")</f>
        <v/>
      </c>
      <c r="S644" s="184" t="str">
        <f t="shared" si="166"/>
        <v/>
      </c>
      <c r="T644" s="185" t="str">
        <f t="shared" si="155"/>
        <v/>
      </c>
      <c r="U644" s="183" t="str">
        <f t="shared" si="167"/>
        <v/>
      </c>
      <c r="V644" s="186" t="str">
        <f t="shared" si="156"/>
        <v/>
      </c>
      <c r="W644" s="186" t="str">
        <f t="shared" si="157"/>
        <v/>
      </c>
      <c r="X644" s="187" t="str">
        <f t="shared" si="158"/>
        <v/>
      </c>
      <c r="Y644" s="182" t="str">
        <f t="shared" si="168"/>
        <v/>
      </c>
      <c r="Z644" s="209" t="str">
        <f t="shared" si="159"/>
        <v/>
      </c>
      <c r="AA644" s="209" t="str">
        <f t="shared" si="160"/>
        <v/>
      </c>
      <c r="AB644" s="200"/>
      <c r="AC644" s="192"/>
    </row>
    <row r="645" spans="1:29" ht="11.4">
      <c r="A645" s="211" t="str">
        <f t="shared" si="161"/>
        <v/>
      </c>
      <c r="B645" s="211"/>
      <c r="C645" s="215"/>
      <c r="D645" s="213" t="str">
        <f t="shared" si="162"/>
        <v/>
      </c>
      <c r="E645" s="213" t="str">
        <f t="shared" si="170"/>
        <v/>
      </c>
      <c r="F645" s="214" t="str">
        <f t="shared" si="163"/>
        <v/>
      </c>
      <c r="G645" s="180"/>
      <c r="H645" s="181" t="str">
        <f t="shared" si="164"/>
        <v/>
      </c>
      <c r="I645" s="227"/>
      <c r="J645" s="227"/>
      <c r="K645" s="227"/>
      <c r="L645" s="227"/>
      <c r="M645" s="210" t="str">
        <f t="shared" si="169"/>
        <v/>
      </c>
      <c r="N645" s="210"/>
      <c r="O645" s="207"/>
      <c r="P645" s="182" t="str">
        <f t="shared" si="154"/>
        <v/>
      </c>
      <c r="Q645" s="183" t="str">
        <f t="shared" si="165"/>
        <v/>
      </c>
      <c r="R645" s="182" t="str">
        <f>IF(M645&lt;&gt;"",IF(#REF!*F645*10=0,"",#REF!*F645*10),"")</f>
        <v/>
      </c>
      <c r="S645" s="184" t="str">
        <f t="shared" si="166"/>
        <v/>
      </c>
      <c r="T645" s="185" t="str">
        <f t="shared" si="155"/>
        <v/>
      </c>
      <c r="U645" s="183" t="str">
        <f t="shared" si="167"/>
        <v/>
      </c>
      <c r="V645" s="186" t="str">
        <f t="shared" si="156"/>
        <v/>
      </c>
      <c r="W645" s="186" t="str">
        <f t="shared" si="157"/>
        <v/>
      </c>
      <c r="X645" s="187" t="str">
        <f t="shared" si="158"/>
        <v/>
      </c>
      <c r="Y645" s="182" t="str">
        <f t="shared" si="168"/>
        <v/>
      </c>
      <c r="Z645" s="209" t="str">
        <f t="shared" si="159"/>
        <v/>
      </c>
      <c r="AA645" s="209" t="str">
        <f t="shared" si="160"/>
        <v/>
      </c>
      <c r="AB645" s="200"/>
      <c r="AC645" s="192"/>
    </row>
    <row r="646" spans="1:29" ht="11.4">
      <c r="A646" s="211" t="str">
        <f t="shared" si="161"/>
        <v/>
      </c>
      <c r="B646" s="211"/>
      <c r="C646" s="215"/>
      <c r="D646" s="213" t="str">
        <f t="shared" si="162"/>
        <v/>
      </c>
      <c r="E646" s="213" t="str">
        <f t="shared" si="170"/>
        <v/>
      </c>
      <c r="F646" s="214" t="str">
        <f t="shared" si="163"/>
        <v/>
      </c>
      <c r="G646" s="180"/>
      <c r="H646" s="181" t="str">
        <f t="shared" si="164"/>
        <v/>
      </c>
      <c r="I646" s="227"/>
      <c r="J646" s="227"/>
      <c r="K646" s="227"/>
      <c r="L646" s="227"/>
      <c r="M646" s="210" t="str">
        <f t="shared" si="169"/>
        <v/>
      </c>
      <c r="N646" s="210"/>
      <c r="O646" s="207"/>
      <c r="P646" s="182" t="str">
        <f t="shared" si="154"/>
        <v/>
      </c>
      <c r="Q646" s="183" t="str">
        <f t="shared" si="165"/>
        <v/>
      </c>
      <c r="R646" s="182" t="str">
        <f>IF(M646&lt;&gt;"",IF(#REF!*F646*10=0,"",#REF!*F646*10),"")</f>
        <v/>
      </c>
      <c r="S646" s="184" t="str">
        <f t="shared" si="166"/>
        <v/>
      </c>
      <c r="T646" s="185" t="str">
        <f t="shared" si="155"/>
        <v/>
      </c>
      <c r="U646" s="183" t="str">
        <f t="shared" si="167"/>
        <v/>
      </c>
      <c r="V646" s="186" t="str">
        <f t="shared" si="156"/>
        <v/>
      </c>
      <c r="W646" s="186" t="str">
        <f t="shared" si="157"/>
        <v/>
      </c>
      <c r="X646" s="187" t="str">
        <f t="shared" si="158"/>
        <v/>
      </c>
      <c r="Y646" s="182" t="str">
        <f t="shared" si="168"/>
        <v/>
      </c>
      <c r="Z646" s="209" t="str">
        <f t="shared" si="159"/>
        <v/>
      </c>
      <c r="AA646" s="209" t="str">
        <f t="shared" si="160"/>
        <v/>
      </c>
      <c r="AB646" s="200"/>
      <c r="AC646" s="192"/>
    </row>
    <row r="647" spans="1:29" ht="11.4">
      <c r="A647" s="211" t="str">
        <f t="shared" si="161"/>
        <v/>
      </c>
      <c r="B647" s="211"/>
      <c r="C647" s="215"/>
      <c r="D647" s="213" t="str">
        <f t="shared" si="162"/>
        <v/>
      </c>
      <c r="E647" s="213" t="str">
        <f t="shared" si="170"/>
        <v/>
      </c>
      <c r="F647" s="214" t="str">
        <f t="shared" si="163"/>
        <v/>
      </c>
      <c r="G647" s="180"/>
      <c r="H647" s="181" t="str">
        <f t="shared" si="164"/>
        <v/>
      </c>
      <c r="I647" s="227"/>
      <c r="J647" s="227"/>
      <c r="K647" s="227"/>
      <c r="L647" s="227"/>
      <c r="M647" s="210" t="str">
        <f t="shared" si="169"/>
        <v/>
      </c>
      <c r="N647" s="210"/>
      <c r="O647" s="207"/>
      <c r="P647" s="182" t="str">
        <f t="shared" si="154"/>
        <v/>
      </c>
      <c r="Q647" s="183" t="str">
        <f t="shared" si="165"/>
        <v/>
      </c>
      <c r="R647" s="182" t="str">
        <f>IF(M647&lt;&gt;"",IF(#REF!*F647*10=0,"",#REF!*F647*10),"")</f>
        <v/>
      </c>
      <c r="S647" s="184" t="str">
        <f t="shared" si="166"/>
        <v/>
      </c>
      <c r="T647" s="185" t="str">
        <f t="shared" si="155"/>
        <v/>
      </c>
      <c r="U647" s="183" t="str">
        <f t="shared" si="167"/>
        <v/>
      </c>
      <c r="V647" s="186" t="str">
        <f t="shared" si="156"/>
        <v/>
      </c>
      <c r="W647" s="186" t="str">
        <f t="shared" si="157"/>
        <v/>
      </c>
      <c r="X647" s="187" t="str">
        <f t="shared" si="158"/>
        <v/>
      </c>
      <c r="Y647" s="182" t="str">
        <f t="shared" si="168"/>
        <v/>
      </c>
      <c r="Z647" s="209" t="str">
        <f t="shared" si="159"/>
        <v/>
      </c>
      <c r="AA647" s="209" t="str">
        <f t="shared" si="160"/>
        <v/>
      </c>
      <c r="AB647" s="200"/>
      <c r="AC647" s="192"/>
    </row>
    <row r="648" spans="1:29" ht="11.4">
      <c r="A648" s="211" t="str">
        <f t="shared" si="161"/>
        <v/>
      </c>
      <c r="B648" s="211"/>
      <c r="C648" s="215"/>
      <c r="D648" s="213" t="str">
        <f t="shared" si="162"/>
        <v/>
      </c>
      <c r="E648" s="213" t="str">
        <f t="shared" si="170"/>
        <v/>
      </c>
      <c r="F648" s="214" t="str">
        <f t="shared" si="163"/>
        <v/>
      </c>
      <c r="G648" s="180"/>
      <c r="H648" s="181" t="str">
        <f t="shared" si="164"/>
        <v/>
      </c>
      <c r="I648" s="227"/>
      <c r="J648" s="227"/>
      <c r="K648" s="227"/>
      <c r="L648" s="227"/>
      <c r="M648" s="210" t="str">
        <f t="shared" si="169"/>
        <v/>
      </c>
      <c r="N648" s="210"/>
      <c r="O648" s="207"/>
      <c r="P648" s="182" t="str">
        <f t="shared" si="154"/>
        <v/>
      </c>
      <c r="Q648" s="183" t="str">
        <f t="shared" si="165"/>
        <v/>
      </c>
      <c r="R648" s="182" t="str">
        <f>IF(M648&lt;&gt;"",IF(#REF!*F648*10=0,"",#REF!*F648*10),"")</f>
        <v/>
      </c>
      <c r="S648" s="184" t="str">
        <f t="shared" si="166"/>
        <v/>
      </c>
      <c r="T648" s="185" t="str">
        <f t="shared" si="155"/>
        <v/>
      </c>
      <c r="U648" s="183" t="str">
        <f t="shared" si="167"/>
        <v/>
      </c>
      <c r="V648" s="186" t="str">
        <f t="shared" si="156"/>
        <v/>
      </c>
      <c r="W648" s="186" t="str">
        <f t="shared" si="157"/>
        <v/>
      </c>
      <c r="X648" s="187" t="str">
        <f t="shared" si="158"/>
        <v/>
      </c>
      <c r="Y648" s="182" t="str">
        <f t="shared" si="168"/>
        <v/>
      </c>
      <c r="Z648" s="209" t="str">
        <f t="shared" si="159"/>
        <v/>
      </c>
      <c r="AA648" s="209" t="str">
        <f t="shared" si="160"/>
        <v/>
      </c>
      <c r="AB648" s="200"/>
      <c r="AC648" s="192"/>
    </row>
    <row r="649" spans="1:29" ht="11.4">
      <c r="A649" s="211" t="str">
        <f t="shared" si="161"/>
        <v/>
      </c>
      <c r="B649" s="211"/>
      <c r="C649" s="215"/>
      <c r="D649" s="213" t="str">
        <f t="shared" si="162"/>
        <v/>
      </c>
      <c r="E649" s="213" t="str">
        <f t="shared" si="170"/>
        <v/>
      </c>
      <c r="F649" s="214" t="str">
        <f t="shared" si="163"/>
        <v/>
      </c>
      <c r="G649" s="180"/>
      <c r="H649" s="181" t="str">
        <f t="shared" si="164"/>
        <v/>
      </c>
      <c r="I649" s="227"/>
      <c r="J649" s="227"/>
      <c r="K649" s="227"/>
      <c r="L649" s="227"/>
      <c r="M649" s="210" t="str">
        <f t="shared" si="169"/>
        <v/>
      </c>
      <c r="N649" s="210"/>
      <c r="O649" s="207"/>
      <c r="P649" s="182" t="str">
        <f t="shared" si="154"/>
        <v/>
      </c>
      <c r="Q649" s="183" t="str">
        <f t="shared" si="165"/>
        <v/>
      </c>
      <c r="R649" s="182" t="str">
        <f>IF(M649&lt;&gt;"",IF(#REF!*F649*10=0,"",#REF!*F649*10),"")</f>
        <v/>
      </c>
      <c r="S649" s="184" t="str">
        <f t="shared" si="166"/>
        <v/>
      </c>
      <c r="T649" s="185" t="str">
        <f t="shared" si="155"/>
        <v/>
      </c>
      <c r="U649" s="183" t="str">
        <f t="shared" si="167"/>
        <v/>
      </c>
      <c r="V649" s="186" t="str">
        <f t="shared" si="156"/>
        <v/>
      </c>
      <c r="W649" s="186" t="str">
        <f t="shared" si="157"/>
        <v/>
      </c>
      <c r="X649" s="187" t="str">
        <f t="shared" si="158"/>
        <v/>
      </c>
      <c r="Y649" s="182" t="str">
        <f t="shared" si="168"/>
        <v/>
      </c>
      <c r="Z649" s="209" t="str">
        <f t="shared" si="159"/>
        <v/>
      </c>
      <c r="AA649" s="209" t="str">
        <f t="shared" si="160"/>
        <v/>
      </c>
      <c r="AB649" s="200"/>
      <c r="AC649" s="192"/>
    </row>
    <row r="650" spans="1:29" ht="11.4">
      <c r="A650" s="211" t="str">
        <f t="shared" si="161"/>
        <v/>
      </c>
      <c r="B650" s="211"/>
      <c r="C650" s="215"/>
      <c r="D650" s="213" t="str">
        <f t="shared" si="162"/>
        <v/>
      </c>
      <c r="E650" s="213" t="str">
        <f t="shared" si="170"/>
        <v/>
      </c>
      <c r="F650" s="214" t="str">
        <f t="shared" si="163"/>
        <v/>
      </c>
      <c r="G650" s="180"/>
      <c r="H650" s="181" t="str">
        <f t="shared" si="164"/>
        <v/>
      </c>
      <c r="I650" s="227"/>
      <c r="J650" s="227"/>
      <c r="K650" s="227"/>
      <c r="L650" s="227"/>
      <c r="M650" s="210" t="str">
        <f t="shared" si="169"/>
        <v/>
      </c>
      <c r="N650" s="210"/>
      <c r="O650" s="207"/>
      <c r="P650" s="182" t="str">
        <f t="shared" si="154"/>
        <v/>
      </c>
      <c r="Q650" s="183" t="str">
        <f t="shared" si="165"/>
        <v/>
      </c>
      <c r="R650" s="182" t="str">
        <f>IF(M650&lt;&gt;"",IF(#REF!*F650*10=0,"",#REF!*F650*10),"")</f>
        <v/>
      </c>
      <c r="S650" s="184" t="str">
        <f t="shared" si="166"/>
        <v/>
      </c>
      <c r="T650" s="185" t="str">
        <f t="shared" si="155"/>
        <v/>
      </c>
      <c r="U650" s="183" t="str">
        <f t="shared" si="167"/>
        <v/>
      </c>
      <c r="V650" s="186" t="str">
        <f t="shared" si="156"/>
        <v/>
      </c>
      <c r="W650" s="186" t="str">
        <f t="shared" si="157"/>
        <v/>
      </c>
      <c r="X650" s="187" t="str">
        <f t="shared" si="158"/>
        <v/>
      </c>
      <c r="Y650" s="182" t="str">
        <f t="shared" si="168"/>
        <v/>
      </c>
      <c r="Z650" s="209" t="str">
        <f t="shared" si="159"/>
        <v/>
      </c>
      <c r="AA650" s="209" t="str">
        <f t="shared" si="160"/>
        <v/>
      </c>
      <c r="AB650" s="200"/>
      <c r="AC650" s="192"/>
    </row>
    <row r="651" spans="1:29" ht="11.4">
      <c r="A651" s="211" t="str">
        <f t="shared" si="161"/>
        <v/>
      </c>
      <c r="B651" s="211"/>
      <c r="C651" s="215"/>
      <c r="D651" s="213" t="str">
        <f t="shared" si="162"/>
        <v/>
      </c>
      <c r="E651" s="213" t="str">
        <f t="shared" si="170"/>
        <v/>
      </c>
      <c r="F651" s="214" t="str">
        <f t="shared" si="163"/>
        <v/>
      </c>
      <c r="G651" s="180"/>
      <c r="H651" s="181" t="str">
        <f t="shared" si="164"/>
        <v/>
      </c>
      <c r="I651" s="227"/>
      <c r="J651" s="227"/>
      <c r="K651" s="227"/>
      <c r="L651" s="227"/>
      <c r="M651" s="210" t="str">
        <f t="shared" si="169"/>
        <v/>
      </c>
      <c r="N651" s="210"/>
      <c r="O651" s="207"/>
      <c r="P651" s="182" t="str">
        <f t="shared" si="154"/>
        <v/>
      </c>
      <c r="Q651" s="183" t="str">
        <f t="shared" si="165"/>
        <v/>
      </c>
      <c r="R651" s="182" t="str">
        <f>IF(M651&lt;&gt;"",IF(#REF!*F651*10=0,"",#REF!*F651*10),"")</f>
        <v/>
      </c>
      <c r="S651" s="184" t="str">
        <f t="shared" si="166"/>
        <v/>
      </c>
      <c r="T651" s="185" t="str">
        <f t="shared" si="155"/>
        <v/>
      </c>
      <c r="U651" s="183" t="str">
        <f t="shared" si="167"/>
        <v/>
      </c>
      <c r="V651" s="186" t="str">
        <f t="shared" si="156"/>
        <v/>
      </c>
      <c r="W651" s="186" t="str">
        <f t="shared" si="157"/>
        <v/>
      </c>
      <c r="X651" s="187" t="str">
        <f t="shared" si="158"/>
        <v/>
      </c>
      <c r="Y651" s="182" t="str">
        <f t="shared" si="168"/>
        <v/>
      </c>
      <c r="Z651" s="209" t="str">
        <f t="shared" si="159"/>
        <v/>
      </c>
      <c r="AA651" s="209" t="str">
        <f t="shared" si="160"/>
        <v/>
      </c>
      <c r="AB651" s="200"/>
      <c r="AC651" s="192"/>
    </row>
    <row r="652" spans="1:29" ht="11.4">
      <c r="A652" s="211" t="str">
        <f t="shared" si="161"/>
        <v/>
      </c>
      <c r="B652" s="211"/>
      <c r="C652" s="215"/>
      <c r="D652" s="213" t="str">
        <f t="shared" si="162"/>
        <v/>
      </c>
      <c r="E652" s="213" t="str">
        <f t="shared" si="170"/>
        <v/>
      </c>
      <c r="F652" s="214" t="str">
        <f t="shared" si="163"/>
        <v/>
      </c>
      <c r="G652" s="180"/>
      <c r="H652" s="181" t="str">
        <f t="shared" si="164"/>
        <v/>
      </c>
      <c r="I652" s="227"/>
      <c r="J652" s="227"/>
      <c r="K652" s="227"/>
      <c r="L652" s="227"/>
      <c r="M652" s="210" t="str">
        <f t="shared" si="169"/>
        <v/>
      </c>
      <c r="N652" s="210"/>
      <c r="O652" s="207"/>
      <c r="P652" s="182" t="str">
        <f t="shared" ref="P652:P715" si="171">IF(M652="","",IF(L652*F652*$D$3=0,0,L652*F652*$D$3))</f>
        <v/>
      </c>
      <c r="Q652" s="183" t="str">
        <f t="shared" si="165"/>
        <v/>
      </c>
      <c r="R652" s="182" t="str">
        <f>IF(M652&lt;&gt;"",IF(#REF!*F652*10=0,"",#REF!*F652*10),"")</f>
        <v/>
      </c>
      <c r="S652" s="184" t="str">
        <f t="shared" si="166"/>
        <v/>
      </c>
      <c r="T652" s="185" t="str">
        <f t="shared" ref="T652:T715" si="172">IF(X652="","",X652*F652*$D$3)</f>
        <v/>
      </c>
      <c r="U652" s="183" t="str">
        <f t="shared" si="167"/>
        <v/>
      </c>
      <c r="V652" s="186" t="str">
        <f t="shared" ref="V652:V715" si="173">IF(M652="","",IF(AND(M652&gt;I652,H652="L"),1, IF(AND(I652&gt;M652,H652="S"),1,0)))</f>
        <v/>
      </c>
      <c r="W652" s="186" t="str">
        <f t="shared" ref="W652:W715" si="174">IF(M652="","",IF(AND(M652&lt;I652,H652="L"),1, IF(AND(I652&lt;M652,H652="S"),1,0)))</f>
        <v/>
      </c>
      <c r="X652" s="187" t="str">
        <f t="shared" ref="X652:X715" si="175">IF((M652=""),"",IF(H652="Buy",1,-1)*(M652-I652)*IF(LEN(RIGHT(I652,LEN(I652)-FIND(".",I652)))&gt;3,10000,100))</f>
        <v/>
      </c>
      <c r="Y652" s="182" t="str">
        <f t="shared" si="168"/>
        <v/>
      </c>
      <c r="Z652" s="209" t="str">
        <f t="shared" ref="Z652:Z715" si="176">IF(C652="","",MONTH(LEFT(C652,8)))</f>
        <v/>
      </c>
      <c r="AA652" s="209" t="str">
        <f t="shared" ref="AA652:AA715" si="177">IF(C652="","",YEAR(LEFT(C652,8)))</f>
        <v/>
      </c>
      <c r="AB652" s="200"/>
      <c r="AC652" s="192"/>
    </row>
    <row r="653" spans="1:29" ht="11.4">
      <c r="A653" s="211" t="str">
        <f t="shared" ref="A653:A716" si="178">IF(D653="","",1)</f>
        <v/>
      </c>
      <c r="B653" s="211"/>
      <c r="C653" s="215"/>
      <c r="D653" s="213" t="str">
        <f t="shared" ref="D653:D716" si="179">IF(G653="","","SUGAR")</f>
        <v/>
      </c>
      <c r="E653" s="213" t="str">
        <f t="shared" si="170"/>
        <v/>
      </c>
      <c r="F653" s="214" t="str">
        <f t="shared" ref="F653:F716" si="180">IF(G653="","",0.01)</f>
        <v/>
      </c>
      <c r="G653" s="180"/>
      <c r="H653" s="181" t="str">
        <f t="shared" ref="H653:H716" si="181">IF(G653="","",IF(OR(G653="第二类买点",G653="第三类买点"),"Buy","Sell"))</f>
        <v/>
      </c>
      <c r="I653" s="227"/>
      <c r="J653" s="227"/>
      <c r="K653" s="227"/>
      <c r="L653" s="227"/>
      <c r="M653" s="210" t="str">
        <f t="shared" si="169"/>
        <v/>
      </c>
      <c r="N653" s="210"/>
      <c r="O653" s="207"/>
      <c r="P653" s="182" t="str">
        <f t="shared" si="171"/>
        <v/>
      </c>
      <c r="Q653" s="183" t="str">
        <f t="shared" ref="Q653:Q716" si="182">IF(P653="","",IF(P653=0,0,P653/$I$4))</f>
        <v/>
      </c>
      <c r="R653" s="182" t="str">
        <f>IF(M653&lt;&gt;"",IF(#REF!*F653*10=0,"",#REF!*F653*10),"")</f>
        <v/>
      </c>
      <c r="S653" s="184" t="str">
        <f t="shared" ref="S653:S716" si="183">IF(P653="","",IF(P653=0,0,R653/P653))</f>
        <v/>
      </c>
      <c r="T653" s="185" t="str">
        <f t="shared" si="172"/>
        <v/>
      </c>
      <c r="U653" s="183" t="str">
        <f t="shared" ref="U653:U716" si="184">IF(T653="","",IF($I$4="","",T653/$I$4))</f>
        <v/>
      </c>
      <c r="V653" s="186" t="str">
        <f t="shared" si="173"/>
        <v/>
      </c>
      <c r="W653" s="186" t="str">
        <f t="shared" si="174"/>
        <v/>
      </c>
      <c r="X653" s="187" t="str">
        <f t="shared" si="175"/>
        <v/>
      </c>
      <c r="Y653" s="182" t="str">
        <f t="shared" si="168"/>
        <v/>
      </c>
      <c r="Z653" s="209" t="str">
        <f t="shared" si="176"/>
        <v/>
      </c>
      <c r="AA653" s="209" t="str">
        <f t="shared" si="177"/>
        <v/>
      </c>
      <c r="AB653" s="200"/>
      <c r="AC653" s="192"/>
    </row>
    <row r="654" spans="1:29" ht="11.4">
      <c r="A654" s="211" t="str">
        <f t="shared" si="178"/>
        <v/>
      </c>
      <c r="B654" s="211"/>
      <c r="C654" s="215"/>
      <c r="D654" s="213" t="str">
        <f t="shared" si="179"/>
        <v/>
      </c>
      <c r="E654" s="213" t="str">
        <f t="shared" si="170"/>
        <v/>
      </c>
      <c r="F654" s="214" t="str">
        <f t="shared" si="180"/>
        <v/>
      </c>
      <c r="G654" s="180"/>
      <c r="H654" s="181" t="str">
        <f t="shared" si="181"/>
        <v/>
      </c>
      <c r="I654" s="227"/>
      <c r="J654" s="227"/>
      <c r="K654" s="227"/>
      <c r="L654" s="227"/>
      <c r="M654" s="210" t="str">
        <f t="shared" si="169"/>
        <v/>
      </c>
      <c r="N654" s="210"/>
      <c r="O654" s="207"/>
      <c r="P654" s="182" t="str">
        <f t="shared" si="171"/>
        <v/>
      </c>
      <c r="Q654" s="183" t="str">
        <f t="shared" si="182"/>
        <v/>
      </c>
      <c r="R654" s="182" t="str">
        <f>IF(M654&lt;&gt;"",IF(#REF!*F654*10=0,"",#REF!*F654*10),"")</f>
        <v/>
      </c>
      <c r="S654" s="184" t="str">
        <f t="shared" si="183"/>
        <v/>
      </c>
      <c r="T654" s="185" t="str">
        <f t="shared" si="172"/>
        <v/>
      </c>
      <c r="U654" s="183" t="str">
        <f t="shared" si="184"/>
        <v/>
      </c>
      <c r="V654" s="186" t="str">
        <f t="shared" si="173"/>
        <v/>
      </c>
      <c r="W654" s="186" t="str">
        <f t="shared" si="174"/>
        <v/>
      </c>
      <c r="X654" s="187" t="str">
        <f t="shared" si="175"/>
        <v/>
      </c>
      <c r="Y654" s="182" t="str">
        <f t="shared" ref="Y654:Y717" si="185">IF(Y653="","",IF(T654="","",Y653+T654))</f>
        <v/>
      </c>
      <c r="Z654" s="209" t="str">
        <f t="shared" si="176"/>
        <v/>
      </c>
      <c r="AA654" s="209" t="str">
        <f t="shared" si="177"/>
        <v/>
      </c>
      <c r="AB654" s="200"/>
      <c r="AC654" s="192"/>
    </row>
    <row r="655" spans="1:29" ht="11.4">
      <c r="A655" s="211" t="str">
        <f t="shared" si="178"/>
        <v/>
      </c>
      <c r="B655" s="211"/>
      <c r="C655" s="215"/>
      <c r="D655" s="213" t="str">
        <f t="shared" si="179"/>
        <v/>
      </c>
      <c r="E655" s="213" t="str">
        <f t="shared" si="170"/>
        <v/>
      </c>
      <c r="F655" s="214" t="str">
        <f t="shared" si="180"/>
        <v/>
      </c>
      <c r="G655" s="180"/>
      <c r="H655" s="181" t="str">
        <f t="shared" si="181"/>
        <v/>
      </c>
      <c r="I655" s="227"/>
      <c r="J655" s="227"/>
      <c r="K655" s="227"/>
      <c r="L655" s="227"/>
      <c r="M655" s="210" t="str">
        <f t="shared" ref="M655:M718" si="186">IF(J655="","",J655)</f>
        <v/>
      </c>
      <c r="N655" s="210"/>
      <c r="O655" s="207"/>
      <c r="P655" s="182" t="str">
        <f t="shared" si="171"/>
        <v/>
      </c>
      <c r="Q655" s="183" t="str">
        <f t="shared" si="182"/>
        <v/>
      </c>
      <c r="R655" s="182" t="str">
        <f>IF(M655&lt;&gt;"",IF(#REF!*F655*10=0,"",#REF!*F655*10),"")</f>
        <v/>
      </c>
      <c r="S655" s="184" t="str">
        <f t="shared" si="183"/>
        <v/>
      </c>
      <c r="T655" s="185" t="str">
        <f t="shared" si="172"/>
        <v/>
      </c>
      <c r="U655" s="183" t="str">
        <f t="shared" si="184"/>
        <v/>
      </c>
      <c r="V655" s="186" t="str">
        <f t="shared" si="173"/>
        <v/>
      </c>
      <c r="W655" s="186" t="str">
        <f t="shared" si="174"/>
        <v/>
      </c>
      <c r="X655" s="187" t="str">
        <f t="shared" si="175"/>
        <v/>
      </c>
      <c r="Y655" s="182" t="str">
        <f t="shared" si="185"/>
        <v/>
      </c>
      <c r="Z655" s="209" t="str">
        <f t="shared" si="176"/>
        <v/>
      </c>
      <c r="AA655" s="209" t="str">
        <f t="shared" si="177"/>
        <v/>
      </c>
      <c r="AB655" s="200"/>
      <c r="AC655" s="192"/>
    </row>
    <row r="656" spans="1:29" ht="11.4">
      <c r="A656" s="211" t="str">
        <f t="shared" si="178"/>
        <v/>
      </c>
      <c r="B656" s="211"/>
      <c r="C656" s="215"/>
      <c r="D656" s="213" t="str">
        <f t="shared" si="179"/>
        <v/>
      </c>
      <c r="E656" s="213" t="str">
        <f t="shared" ref="E656:E719" si="187">IF(G656="","","M30")</f>
        <v/>
      </c>
      <c r="F656" s="214" t="str">
        <f t="shared" si="180"/>
        <v/>
      </c>
      <c r="G656" s="180"/>
      <c r="H656" s="181" t="str">
        <f t="shared" si="181"/>
        <v/>
      </c>
      <c r="I656" s="227"/>
      <c r="J656" s="227"/>
      <c r="K656" s="227"/>
      <c r="L656" s="227"/>
      <c r="M656" s="210" t="str">
        <f t="shared" si="186"/>
        <v/>
      </c>
      <c r="N656" s="210"/>
      <c r="O656" s="207"/>
      <c r="P656" s="182" t="str">
        <f t="shared" si="171"/>
        <v/>
      </c>
      <c r="Q656" s="183" t="str">
        <f t="shared" si="182"/>
        <v/>
      </c>
      <c r="R656" s="182" t="str">
        <f>IF(M656&lt;&gt;"",IF(#REF!*F656*10=0,"",#REF!*F656*10),"")</f>
        <v/>
      </c>
      <c r="S656" s="184" t="str">
        <f t="shared" si="183"/>
        <v/>
      </c>
      <c r="T656" s="185" t="str">
        <f t="shared" si="172"/>
        <v/>
      </c>
      <c r="U656" s="183" t="str">
        <f t="shared" si="184"/>
        <v/>
      </c>
      <c r="V656" s="186" t="str">
        <f t="shared" si="173"/>
        <v/>
      </c>
      <c r="W656" s="186" t="str">
        <f t="shared" si="174"/>
        <v/>
      </c>
      <c r="X656" s="187" t="str">
        <f t="shared" si="175"/>
        <v/>
      </c>
      <c r="Y656" s="182" t="str">
        <f t="shared" si="185"/>
        <v/>
      </c>
      <c r="Z656" s="209" t="str">
        <f t="shared" si="176"/>
        <v/>
      </c>
      <c r="AA656" s="209" t="str">
        <f t="shared" si="177"/>
        <v/>
      </c>
      <c r="AB656" s="200"/>
      <c r="AC656" s="192"/>
    </row>
    <row r="657" spans="1:29" ht="11.4">
      <c r="A657" s="211" t="str">
        <f t="shared" si="178"/>
        <v/>
      </c>
      <c r="B657" s="211"/>
      <c r="C657" s="215"/>
      <c r="D657" s="213" t="str">
        <f t="shared" si="179"/>
        <v/>
      </c>
      <c r="E657" s="213" t="str">
        <f t="shared" si="187"/>
        <v/>
      </c>
      <c r="F657" s="214" t="str">
        <f t="shared" si="180"/>
        <v/>
      </c>
      <c r="G657" s="180"/>
      <c r="H657" s="181" t="str">
        <f t="shared" si="181"/>
        <v/>
      </c>
      <c r="I657" s="227"/>
      <c r="J657" s="227"/>
      <c r="K657" s="227"/>
      <c r="L657" s="227"/>
      <c r="M657" s="210" t="str">
        <f t="shared" si="186"/>
        <v/>
      </c>
      <c r="N657" s="210"/>
      <c r="O657" s="207"/>
      <c r="P657" s="182" t="str">
        <f t="shared" si="171"/>
        <v/>
      </c>
      <c r="Q657" s="183" t="str">
        <f t="shared" si="182"/>
        <v/>
      </c>
      <c r="R657" s="182" t="str">
        <f>IF(M657&lt;&gt;"",IF(#REF!*F657*10=0,"",#REF!*F657*10),"")</f>
        <v/>
      </c>
      <c r="S657" s="184" t="str">
        <f t="shared" si="183"/>
        <v/>
      </c>
      <c r="T657" s="185" t="str">
        <f t="shared" si="172"/>
        <v/>
      </c>
      <c r="U657" s="183" t="str">
        <f t="shared" si="184"/>
        <v/>
      </c>
      <c r="V657" s="186" t="str">
        <f t="shared" si="173"/>
        <v/>
      </c>
      <c r="W657" s="186" t="str">
        <f t="shared" si="174"/>
        <v/>
      </c>
      <c r="X657" s="187" t="str">
        <f t="shared" si="175"/>
        <v/>
      </c>
      <c r="Y657" s="182" t="str">
        <f t="shared" si="185"/>
        <v/>
      </c>
      <c r="Z657" s="209" t="str">
        <f t="shared" si="176"/>
        <v/>
      </c>
      <c r="AA657" s="209" t="str">
        <f t="shared" si="177"/>
        <v/>
      </c>
      <c r="AB657" s="200"/>
      <c r="AC657" s="192"/>
    </row>
    <row r="658" spans="1:29" ht="11.4">
      <c r="A658" s="211" t="str">
        <f t="shared" si="178"/>
        <v/>
      </c>
      <c r="B658" s="211"/>
      <c r="C658" s="215"/>
      <c r="D658" s="213" t="str">
        <f t="shared" si="179"/>
        <v/>
      </c>
      <c r="E658" s="213" t="str">
        <f t="shared" si="187"/>
        <v/>
      </c>
      <c r="F658" s="214" t="str">
        <f t="shared" si="180"/>
        <v/>
      </c>
      <c r="G658" s="180"/>
      <c r="H658" s="181" t="str">
        <f t="shared" si="181"/>
        <v/>
      </c>
      <c r="I658" s="227"/>
      <c r="J658" s="227"/>
      <c r="K658" s="227"/>
      <c r="L658" s="227"/>
      <c r="M658" s="210" t="str">
        <f t="shared" si="186"/>
        <v/>
      </c>
      <c r="N658" s="210"/>
      <c r="O658" s="207"/>
      <c r="P658" s="182" t="str">
        <f t="shared" si="171"/>
        <v/>
      </c>
      <c r="Q658" s="183" t="str">
        <f t="shared" si="182"/>
        <v/>
      </c>
      <c r="R658" s="182" t="str">
        <f>IF(M658&lt;&gt;"",IF(#REF!*F658*10=0,"",#REF!*F658*10),"")</f>
        <v/>
      </c>
      <c r="S658" s="184" t="str">
        <f t="shared" si="183"/>
        <v/>
      </c>
      <c r="T658" s="185" t="str">
        <f t="shared" si="172"/>
        <v/>
      </c>
      <c r="U658" s="183" t="str">
        <f t="shared" si="184"/>
        <v/>
      </c>
      <c r="V658" s="186" t="str">
        <f t="shared" si="173"/>
        <v/>
      </c>
      <c r="W658" s="186" t="str">
        <f t="shared" si="174"/>
        <v/>
      </c>
      <c r="X658" s="187" t="str">
        <f t="shared" si="175"/>
        <v/>
      </c>
      <c r="Y658" s="182" t="str">
        <f t="shared" si="185"/>
        <v/>
      </c>
      <c r="Z658" s="209" t="str">
        <f t="shared" si="176"/>
        <v/>
      </c>
      <c r="AA658" s="209" t="str">
        <f t="shared" si="177"/>
        <v/>
      </c>
      <c r="AB658" s="200"/>
      <c r="AC658" s="192"/>
    </row>
    <row r="659" spans="1:29" ht="11.4">
      <c r="A659" s="211" t="str">
        <f t="shared" si="178"/>
        <v/>
      </c>
      <c r="B659" s="211"/>
      <c r="C659" s="215"/>
      <c r="D659" s="213" t="str">
        <f t="shared" si="179"/>
        <v/>
      </c>
      <c r="E659" s="213" t="str">
        <f t="shared" si="187"/>
        <v/>
      </c>
      <c r="F659" s="214" t="str">
        <f t="shared" si="180"/>
        <v/>
      </c>
      <c r="G659" s="180"/>
      <c r="H659" s="181" t="str">
        <f t="shared" si="181"/>
        <v/>
      </c>
      <c r="I659" s="227"/>
      <c r="J659" s="227"/>
      <c r="K659" s="227"/>
      <c r="L659" s="227"/>
      <c r="M659" s="210" t="str">
        <f t="shared" si="186"/>
        <v/>
      </c>
      <c r="N659" s="210"/>
      <c r="O659" s="207"/>
      <c r="P659" s="182" t="str">
        <f t="shared" si="171"/>
        <v/>
      </c>
      <c r="Q659" s="183" t="str">
        <f t="shared" si="182"/>
        <v/>
      </c>
      <c r="R659" s="182" t="str">
        <f>IF(M659&lt;&gt;"",IF(#REF!*F659*10=0,"",#REF!*F659*10),"")</f>
        <v/>
      </c>
      <c r="S659" s="184" t="str">
        <f t="shared" si="183"/>
        <v/>
      </c>
      <c r="T659" s="185" t="str">
        <f t="shared" si="172"/>
        <v/>
      </c>
      <c r="U659" s="183" t="str">
        <f t="shared" si="184"/>
        <v/>
      </c>
      <c r="V659" s="186" t="str">
        <f t="shared" si="173"/>
        <v/>
      </c>
      <c r="W659" s="186" t="str">
        <f t="shared" si="174"/>
        <v/>
      </c>
      <c r="X659" s="187" t="str">
        <f t="shared" si="175"/>
        <v/>
      </c>
      <c r="Y659" s="182" t="str">
        <f t="shared" si="185"/>
        <v/>
      </c>
      <c r="Z659" s="209" t="str">
        <f t="shared" si="176"/>
        <v/>
      </c>
      <c r="AA659" s="209" t="str">
        <f t="shared" si="177"/>
        <v/>
      </c>
      <c r="AB659" s="200"/>
      <c r="AC659" s="192"/>
    </row>
    <row r="660" spans="1:29" ht="11.4">
      <c r="A660" s="211" t="str">
        <f t="shared" si="178"/>
        <v/>
      </c>
      <c r="B660" s="211"/>
      <c r="C660" s="215"/>
      <c r="D660" s="213" t="str">
        <f t="shared" si="179"/>
        <v/>
      </c>
      <c r="E660" s="213" t="str">
        <f t="shared" si="187"/>
        <v/>
      </c>
      <c r="F660" s="214" t="str">
        <f t="shared" si="180"/>
        <v/>
      </c>
      <c r="G660" s="180"/>
      <c r="H660" s="181" t="str">
        <f t="shared" si="181"/>
        <v/>
      </c>
      <c r="I660" s="227"/>
      <c r="J660" s="227"/>
      <c r="K660" s="227"/>
      <c r="L660" s="227"/>
      <c r="M660" s="210" t="str">
        <f t="shared" si="186"/>
        <v/>
      </c>
      <c r="N660" s="210"/>
      <c r="O660" s="207"/>
      <c r="P660" s="182" t="str">
        <f t="shared" si="171"/>
        <v/>
      </c>
      <c r="Q660" s="183" t="str">
        <f t="shared" si="182"/>
        <v/>
      </c>
      <c r="R660" s="182" t="str">
        <f>IF(M660&lt;&gt;"",IF(#REF!*F660*10=0,"",#REF!*F660*10),"")</f>
        <v/>
      </c>
      <c r="S660" s="184" t="str">
        <f t="shared" si="183"/>
        <v/>
      </c>
      <c r="T660" s="185" t="str">
        <f t="shared" si="172"/>
        <v/>
      </c>
      <c r="U660" s="183" t="str">
        <f t="shared" si="184"/>
        <v/>
      </c>
      <c r="V660" s="186" t="str">
        <f t="shared" si="173"/>
        <v/>
      </c>
      <c r="W660" s="186" t="str">
        <f t="shared" si="174"/>
        <v/>
      </c>
      <c r="X660" s="187" t="str">
        <f t="shared" si="175"/>
        <v/>
      </c>
      <c r="Y660" s="182" t="str">
        <f t="shared" si="185"/>
        <v/>
      </c>
      <c r="Z660" s="209" t="str">
        <f t="shared" si="176"/>
        <v/>
      </c>
      <c r="AA660" s="209" t="str">
        <f t="shared" si="177"/>
        <v/>
      </c>
      <c r="AB660" s="200"/>
      <c r="AC660" s="192"/>
    </row>
    <row r="661" spans="1:29" ht="11.4">
      <c r="A661" s="211" t="str">
        <f t="shared" si="178"/>
        <v/>
      </c>
      <c r="B661" s="211"/>
      <c r="C661" s="215"/>
      <c r="D661" s="213" t="str">
        <f t="shared" si="179"/>
        <v/>
      </c>
      <c r="E661" s="213" t="str">
        <f t="shared" si="187"/>
        <v/>
      </c>
      <c r="F661" s="214" t="str">
        <f t="shared" si="180"/>
        <v/>
      </c>
      <c r="G661" s="180"/>
      <c r="H661" s="181" t="str">
        <f t="shared" si="181"/>
        <v/>
      </c>
      <c r="I661" s="227"/>
      <c r="J661" s="227"/>
      <c r="K661" s="227"/>
      <c r="L661" s="227"/>
      <c r="M661" s="210" t="str">
        <f t="shared" si="186"/>
        <v/>
      </c>
      <c r="N661" s="210"/>
      <c r="O661" s="207"/>
      <c r="P661" s="182" t="str">
        <f t="shared" si="171"/>
        <v/>
      </c>
      <c r="Q661" s="183" t="str">
        <f t="shared" si="182"/>
        <v/>
      </c>
      <c r="R661" s="182" t="str">
        <f>IF(M661&lt;&gt;"",IF(#REF!*F661*10=0,"",#REF!*F661*10),"")</f>
        <v/>
      </c>
      <c r="S661" s="184" t="str">
        <f t="shared" si="183"/>
        <v/>
      </c>
      <c r="T661" s="185" t="str">
        <f t="shared" si="172"/>
        <v/>
      </c>
      <c r="U661" s="183" t="str">
        <f t="shared" si="184"/>
        <v/>
      </c>
      <c r="V661" s="186" t="str">
        <f t="shared" si="173"/>
        <v/>
      </c>
      <c r="W661" s="186" t="str">
        <f t="shared" si="174"/>
        <v/>
      </c>
      <c r="X661" s="187" t="str">
        <f t="shared" si="175"/>
        <v/>
      </c>
      <c r="Y661" s="182" t="str">
        <f t="shared" si="185"/>
        <v/>
      </c>
      <c r="Z661" s="209" t="str">
        <f t="shared" si="176"/>
        <v/>
      </c>
      <c r="AA661" s="209" t="str">
        <f t="shared" si="177"/>
        <v/>
      </c>
      <c r="AB661" s="200"/>
      <c r="AC661" s="192"/>
    </row>
    <row r="662" spans="1:29" ht="11.4">
      <c r="A662" s="211" t="str">
        <f t="shared" si="178"/>
        <v/>
      </c>
      <c r="B662" s="211"/>
      <c r="C662" s="215"/>
      <c r="D662" s="213" t="str">
        <f t="shared" si="179"/>
        <v/>
      </c>
      <c r="E662" s="213" t="str">
        <f t="shared" si="187"/>
        <v/>
      </c>
      <c r="F662" s="214" t="str">
        <f t="shared" si="180"/>
        <v/>
      </c>
      <c r="G662" s="180"/>
      <c r="H662" s="181" t="str">
        <f t="shared" si="181"/>
        <v/>
      </c>
      <c r="I662" s="227"/>
      <c r="J662" s="227"/>
      <c r="K662" s="227"/>
      <c r="L662" s="227"/>
      <c r="M662" s="210" t="str">
        <f t="shared" si="186"/>
        <v/>
      </c>
      <c r="N662" s="210"/>
      <c r="O662" s="207"/>
      <c r="P662" s="182" t="str">
        <f t="shared" si="171"/>
        <v/>
      </c>
      <c r="Q662" s="183" t="str">
        <f t="shared" si="182"/>
        <v/>
      </c>
      <c r="R662" s="182" t="str">
        <f>IF(M662&lt;&gt;"",IF(#REF!*F662*10=0,"",#REF!*F662*10),"")</f>
        <v/>
      </c>
      <c r="S662" s="184" t="str">
        <f t="shared" si="183"/>
        <v/>
      </c>
      <c r="T662" s="185" t="str">
        <f t="shared" si="172"/>
        <v/>
      </c>
      <c r="U662" s="183" t="str">
        <f t="shared" si="184"/>
        <v/>
      </c>
      <c r="V662" s="186" t="str">
        <f t="shared" si="173"/>
        <v/>
      </c>
      <c r="W662" s="186" t="str">
        <f t="shared" si="174"/>
        <v/>
      </c>
      <c r="X662" s="187" t="str">
        <f t="shared" si="175"/>
        <v/>
      </c>
      <c r="Y662" s="182" t="str">
        <f t="shared" si="185"/>
        <v/>
      </c>
      <c r="Z662" s="209" t="str">
        <f t="shared" si="176"/>
        <v/>
      </c>
      <c r="AA662" s="209" t="str">
        <f t="shared" si="177"/>
        <v/>
      </c>
      <c r="AB662" s="200"/>
      <c r="AC662" s="192"/>
    </row>
    <row r="663" spans="1:29" ht="11.4">
      <c r="A663" s="211" t="str">
        <f t="shared" si="178"/>
        <v/>
      </c>
      <c r="B663" s="211"/>
      <c r="C663" s="215"/>
      <c r="D663" s="213" t="str">
        <f t="shared" si="179"/>
        <v/>
      </c>
      <c r="E663" s="213" t="str">
        <f t="shared" si="187"/>
        <v/>
      </c>
      <c r="F663" s="214" t="str">
        <f t="shared" si="180"/>
        <v/>
      </c>
      <c r="G663" s="180"/>
      <c r="H663" s="181" t="str">
        <f t="shared" si="181"/>
        <v/>
      </c>
      <c r="I663" s="227"/>
      <c r="J663" s="227"/>
      <c r="K663" s="227"/>
      <c r="L663" s="227"/>
      <c r="M663" s="210" t="str">
        <f t="shared" si="186"/>
        <v/>
      </c>
      <c r="N663" s="210"/>
      <c r="O663" s="207"/>
      <c r="P663" s="182" t="str">
        <f t="shared" si="171"/>
        <v/>
      </c>
      <c r="Q663" s="183" t="str">
        <f t="shared" si="182"/>
        <v/>
      </c>
      <c r="R663" s="182" t="str">
        <f>IF(M663&lt;&gt;"",IF(#REF!*F663*10=0,"",#REF!*F663*10),"")</f>
        <v/>
      </c>
      <c r="S663" s="184" t="str">
        <f t="shared" si="183"/>
        <v/>
      </c>
      <c r="T663" s="185" t="str">
        <f t="shared" si="172"/>
        <v/>
      </c>
      <c r="U663" s="183" t="str">
        <f t="shared" si="184"/>
        <v/>
      </c>
      <c r="V663" s="186" t="str">
        <f t="shared" si="173"/>
        <v/>
      </c>
      <c r="W663" s="186" t="str">
        <f t="shared" si="174"/>
        <v/>
      </c>
      <c r="X663" s="187" t="str">
        <f t="shared" si="175"/>
        <v/>
      </c>
      <c r="Y663" s="182" t="str">
        <f t="shared" si="185"/>
        <v/>
      </c>
      <c r="Z663" s="209" t="str">
        <f t="shared" si="176"/>
        <v/>
      </c>
      <c r="AA663" s="209" t="str">
        <f t="shared" si="177"/>
        <v/>
      </c>
      <c r="AB663" s="200"/>
      <c r="AC663" s="192"/>
    </row>
    <row r="664" spans="1:29" ht="11.4">
      <c r="A664" s="211" t="str">
        <f t="shared" si="178"/>
        <v/>
      </c>
      <c r="B664" s="211"/>
      <c r="C664" s="215"/>
      <c r="D664" s="213" t="str">
        <f t="shared" si="179"/>
        <v/>
      </c>
      <c r="E664" s="213" t="str">
        <f t="shared" si="187"/>
        <v/>
      </c>
      <c r="F664" s="214" t="str">
        <f t="shared" si="180"/>
        <v/>
      </c>
      <c r="G664" s="180"/>
      <c r="H664" s="181" t="str">
        <f t="shared" si="181"/>
        <v/>
      </c>
      <c r="I664" s="227"/>
      <c r="J664" s="227"/>
      <c r="K664" s="227"/>
      <c r="L664" s="227"/>
      <c r="M664" s="210" t="str">
        <f t="shared" si="186"/>
        <v/>
      </c>
      <c r="N664" s="210"/>
      <c r="O664" s="207"/>
      <c r="P664" s="182" t="str">
        <f t="shared" si="171"/>
        <v/>
      </c>
      <c r="Q664" s="183" t="str">
        <f t="shared" si="182"/>
        <v/>
      </c>
      <c r="R664" s="182" t="str">
        <f>IF(M664&lt;&gt;"",IF(#REF!*F664*10=0,"",#REF!*F664*10),"")</f>
        <v/>
      </c>
      <c r="S664" s="184" t="str">
        <f t="shared" si="183"/>
        <v/>
      </c>
      <c r="T664" s="185" t="str">
        <f t="shared" si="172"/>
        <v/>
      </c>
      <c r="U664" s="183" t="str">
        <f t="shared" si="184"/>
        <v/>
      </c>
      <c r="V664" s="186" t="str">
        <f t="shared" si="173"/>
        <v/>
      </c>
      <c r="W664" s="186" t="str">
        <f t="shared" si="174"/>
        <v/>
      </c>
      <c r="X664" s="187" t="str">
        <f t="shared" si="175"/>
        <v/>
      </c>
      <c r="Y664" s="182" t="str">
        <f t="shared" si="185"/>
        <v/>
      </c>
      <c r="Z664" s="209" t="str">
        <f t="shared" si="176"/>
        <v/>
      </c>
      <c r="AA664" s="209" t="str">
        <f t="shared" si="177"/>
        <v/>
      </c>
      <c r="AB664" s="200"/>
      <c r="AC664" s="192"/>
    </row>
    <row r="665" spans="1:29" ht="11.4">
      <c r="A665" s="211" t="str">
        <f t="shared" si="178"/>
        <v/>
      </c>
      <c r="B665" s="211"/>
      <c r="C665" s="215"/>
      <c r="D665" s="213" t="str">
        <f t="shared" si="179"/>
        <v/>
      </c>
      <c r="E665" s="213" t="str">
        <f t="shared" si="187"/>
        <v/>
      </c>
      <c r="F665" s="214" t="str">
        <f t="shared" si="180"/>
        <v/>
      </c>
      <c r="G665" s="180"/>
      <c r="H665" s="181" t="str">
        <f t="shared" si="181"/>
        <v/>
      </c>
      <c r="I665" s="227"/>
      <c r="J665" s="227"/>
      <c r="K665" s="227"/>
      <c r="L665" s="227"/>
      <c r="M665" s="210" t="str">
        <f t="shared" si="186"/>
        <v/>
      </c>
      <c r="N665" s="210"/>
      <c r="O665" s="207"/>
      <c r="P665" s="182" t="str">
        <f t="shared" si="171"/>
        <v/>
      </c>
      <c r="Q665" s="183" t="str">
        <f t="shared" si="182"/>
        <v/>
      </c>
      <c r="R665" s="182" t="str">
        <f>IF(M665&lt;&gt;"",IF(#REF!*F665*10=0,"",#REF!*F665*10),"")</f>
        <v/>
      </c>
      <c r="S665" s="184" t="str">
        <f t="shared" si="183"/>
        <v/>
      </c>
      <c r="T665" s="185" t="str">
        <f t="shared" si="172"/>
        <v/>
      </c>
      <c r="U665" s="183" t="str">
        <f t="shared" si="184"/>
        <v/>
      </c>
      <c r="V665" s="186" t="str">
        <f t="shared" si="173"/>
        <v/>
      </c>
      <c r="W665" s="186" t="str">
        <f t="shared" si="174"/>
        <v/>
      </c>
      <c r="X665" s="187" t="str">
        <f t="shared" si="175"/>
        <v/>
      </c>
      <c r="Y665" s="182" t="str">
        <f t="shared" si="185"/>
        <v/>
      </c>
      <c r="Z665" s="209" t="str">
        <f t="shared" si="176"/>
        <v/>
      </c>
      <c r="AA665" s="209" t="str">
        <f t="shared" si="177"/>
        <v/>
      </c>
      <c r="AB665" s="200"/>
      <c r="AC665" s="192"/>
    </row>
    <row r="666" spans="1:29" ht="11.4">
      <c r="A666" s="211" t="str">
        <f t="shared" si="178"/>
        <v/>
      </c>
      <c r="B666" s="211"/>
      <c r="C666" s="215"/>
      <c r="D666" s="213" t="str">
        <f t="shared" si="179"/>
        <v/>
      </c>
      <c r="E666" s="213" t="str">
        <f t="shared" si="187"/>
        <v/>
      </c>
      <c r="F666" s="214" t="str">
        <f t="shared" si="180"/>
        <v/>
      </c>
      <c r="G666" s="180"/>
      <c r="H666" s="181" t="str">
        <f t="shared" si="181"/>
        <v/>
      </c>
      <c r="I666" s="227"/>
      <c r="J666" s="227"/>
      <c r="K666" s="227"/>
      <c r="L666" s="227"/>
      <c r="M666" s="210" t="str">
        <f t="shared" si="186"/>
        <v/>
      </c>
      <c r="N666" s="210"/>
      <c r="O666" s="207"/>
      <c r="P666" s="182" t="str">
        <f t="shared" si="171"/>
        <v/>
      </c>
      <c r="Q666" s="183" t="str">
        <f t="shared" si="182"/>
        <v/>
      </c>
      <c r="R666" s="182" t="str">
        <f>IF(M666&lt;&gt;"",IF(#REF!*F666*10=0,"",#REF!*F666*10),"")</f>
        <v/>
      </c>
      <c r="S666" s="184" t="str">
        <f t="shared" si="183"/>
        <v/>
      </c>
      <c r="T666" s="185" t="str">
        <f t="shared" si="172"/>
        <v/>
      </c>
      <c r="U666" s="183" t="str">
        <f t="shared" si="184"/>
        <v/>
      </c>
      <c r="V666" s="186" t="str">
        <f t="shared" si="173"/>
        <v/>
      </c>
      <c r="W666" s="186" t="str">
        <f t="shared" si="174"/>
        <v/>
      </c>
      <c r="X666" s="187" t="str">
        <f t="shared" si="175"/>
        <v/>
      </c>
      <c r="Y666" s="182" t="str">
        <f t="shared" si="185"/>
        <v/>
      </c>
      <c r="Z666" s="209" t="str">
        <f t="shared" si="176"/>
        <v/>
      </c>
      <c r="AA666" s="209" t="str">
        <f t="shared" si="177"/>
        <v/>
      </c>
      <c r="AB666" s="200"/>
      <c r="AC666" s="192"/>
    </row>
    <row r="667" spans="1:29" ht="11.4">
      <c r="A667" s="211" t="str">
        <f t="shared" si="178"/>
        <v/>
      </c>
      <c r="B667" s="211"/>
      <c r="C667" s="215"/>
      <c r="D667" s="213" t="str">
        <f t="shared" si="179"/>
        <v/>
      </c>
      <c r="E667" s="213" t="str">
        <f t="shared" si="187"/>
        <v/>
      </c>
      <c r="F667" s="214" t="str">
        <f t="shared" si="180"/>
        <v/>
      </c>
      <c r="G667" s="180"/>
      <c r="H667" s="181" t="str">
        <f t="shared" si="181"/>
        <v/>
      </c>
      <c r="I667" s="227"/>
      <c r="J667" s="227"/>
      <c r="K667" s="227"/>
      <c r="L667" s="227"/>
      <c r="M667" s="210" t="str">
        <f t="shared" si="186"/>
        <v/>
      </c>
      <c r="N667" s="210"/>
      <c r="O667" s="207"/>
      <c r="P667" s="182" t="str">
        <f t="shared" si="171"/>
        <v/>
      </c>
      <c r="Q667" s="183" t="str">
        <f t="shared" si="182"/>
        <v/>
      </c>
      <c r="R667" s="182" t="str">
        <f>IF(M667&lt;&gt;"",IF(#REF!*F667*10=0,"",#REF!*F667*10),"")</f>
        <v/>
      </c>
      <c r="S667" s="184" t="str">
        <f t="shared" si="183"/>
        <v/>
      </c>
      <c r="T667" s="185" t="str">
        <f t="shared" si="172"/>
        <v/>
      </c>
      <c r="U667" s="183" t="str">
        <f t="shared" si="184"/>
        <v/>
      </c>
      <c r="V667" s="186" t="str">
        <f t="shared" si="173"/>
        <v/>
      </c>
      <c r="W667" s="186" t="str">
        <f t="shared" si="174"/>
        <v/>
      </c>
      <c r="X667" s="187" t="str">
        <f t="shared" si="175"/>
        <v/>
      </c>
      <c r="Y667" s="182" t="str">
        <f t="shared" si="185"/>
        <v/>
      </c>
      <c r="Z667" s="209" t="str">
        <f t="shared" si="176"/>
        <v/>
      </c>
      <c r="AA667" s="209" t="str">
        <f t="shared" si="177"/>
        <v/>
      </c>
      <c r="AB667" s="200"/>
      <c r="AC667" s="192"/>
    </row>
    <row r="668" spans="1:29" ht="11.4">
      <c r="A668" s="211" t="str">
        <f t="shared" si="178"/>
        <v/>
      </c>
      <c r="B668" s="211"/>
      <c r="C668" s="215"/>
      <c r="D668" s="213" t="str">
        <f t="shared" si="179"/>
        <v/>
      </c>
      <c r="E668" s="213" t="str">
        <f t="shared" si="187"/>
        <v/>
      </c>
      <c r="F668" s="214" t="str">
        <f t="shared" si="180"/>
        <v/>
      </c>
      <c r="G668" s="180"/>
      <c r="H668" s="181" t="str">
        <f t="shared" si="181"/>
        <v/>
      </c>
      <c r="I668" s="227"/>
      <c r="J668" s="227"/>
      <c r="K668" s="227"/>
      <c r="L668" s="227"/>
      <c r="M668" s="210" t="str">
        <f t="shared" si="186"/>
        <v/>
      </c>
      <c r="N668" s="210"/>
      <c r="O668" s="207"/>
      <c r="P668" s="182" t="str">
        <f t="shared" si="171"/>
        <v/>
      </c>
      <c r="Q668" s="183" t="str">
        <f t="shared" si="182"/>
        <v/>
      </c>
      <c r="R668" s="182" t="str">
        <f>IF(M668&lt;&gt;"",IF(#REF!*F668*10=0,"",#REF!*F668*10),"")</f>
        <v/>
      </c>
      <c r="S668" s="184" t="str">
        <f t="shared" si="183"/>
        <v/>
      </c>
      <c r="T668" s="185" t="str">
        <f t="shared" si="172"/>
        <v/>
      </c>
      <c r="U668" s="183" t="str">
        <f t="shared" si="184"/>
        <v/>
      </c>
      <c r="V668" s="186" t="str">
        <f t="shared" si="173"/>
        <v/>
      </c>
      <c r="W668" s="186" t="str">
        <f t="shared" si="174"/>
        <v/>
      </c>
      <c r="X668" s="187" t="str">
        <f t="shared" si="175"/>
        <v/>
      </c>
      <c r="Y668" s="182" t="str">
        <f t="shared" si="185"/>
        <v/>
      </c>
      <c r="Z668" s="209" t="str">
        <f t="shared" si="176"/>
        <v/>
      </c>
      <c r="AA668" s="209" t="str">
        <f t="shared" si="177"/>
        <v/>
      </c>
      <c r="AB668" s="200"/>
      <c r="AC668" s="192"/>
    </row>
    <row r="669" spans="1:29" ht="11.4">
      <c r="A669" s="211" t="str">
        <f t="shared" si="178"/>
        <v/>
      </c>
      <c r="B669" s="211"/>
      <c r="C669" s="215"/>
      <c r="D669" s="213" t="str">
        <f t="shared" si="179"/>
        <v/>
      </c>
      <c r="E669" s="213" t="str">
        <f t="shared" si="187"/>
        <v/>
      </c>
      <c r="F669" s="214" t="str">
        <f t="shared" si="180"/>
        <v/>
      </c>
      <c r="G669" s="180"/>
      <c r="H669" s="181" t="str">
        <f t="shared" si="181"/>
        <v/>
      </c>
      <c r="I669" s="227"/>
      <c r="J669" s="227"/>
      <c r="K669" s="227"/>
      <c r="L669" s="227"/>
      <c r="M669" s="210" t="str">
        <f t="shared" si="186"/>
        <v/>
      </c>
      <c r="N669" s="210"/>
      <c r="O669" s="207"/>
      <c r="P669" s="182" t="str">
        <f t="shared" si="171"/>
        <v/>
      </c>
      <c r="Q669" s="183" t="str">
        <f t="shared" si="182"/>
        <v/>
      </c>
      <c r="R669" s="182" t="str">
        <f>IF(M669&lt;&gt;"",IF(#REF!*F669*10=0,"",#REF!*F669*10),"")</f>
        <v/>
      </c>
      <c r="S669" s="184" t="str">
        <f t="shared" si="183"/>
        <v/>
      </c>
      <c r="T669" s="185" t="str">
        <f t="shared" si="172"/>
        <v/>
      </c>
      <c r="U669" s="183" t="str">
        <f t="shared" si="184"/>
        <v/>
      </c>
      <c r="V669" s="186" t="str">
        <f t="shared" si="173"/>
        <v/>
      </c>
      <c r="W669" s="186" t="str">
        <f t="shared" si="174"/>
        <v/>
      </c>
      <c r="X669" s="187" t="str">
        <f t="shared" si="175"/>
        <v/>
      </c>
      <c r="Y669" s="182" t="str">
        <f t="shared" si="185"/>
        <v/>
      </c>
      <c r="Z669" s="209" t="str">
        <f t="shared" si="176"/>
        <v/>
      </c>
      <c r="AA669" s="209" t="str">
        <f t="shared" si="177"/>
        <v/>
      </c>
      <c r="AB669" s="200"/>
      <c r="AC669" s="192"/>
    </row>
    <row r="670" spans="1:29" ht="11.4">
      <c r="A670" s="211" t="str">
        <f t="shared" si="178"/>
        <v/>
      </c>
      <c r="B670" s="211"/>
      <c r="C670" s="215"/>
      <c r="D670" s="213" t="str">
        <f t="shared" si="179"/>
        <v/>
      </c>
      <c r="E670" s="213" t="str">
        <f t="shared" si="187"/>
        <v/>
      </c>
      <c r="F670" s="214" t="str">
        <f t="shared" si="180"/>
        <v/>
      </c>
      <c r="G670" s="180"/>
      <c r="H670" s="181" t="str">
        <f t="shared" si="181"/>
        <v/>
      </c>
      <c r="I670" s="227"/>
      <c r="J670" s="227"/>
      <c r="K670" s="227"/>
      <c r="L670" s="227"/>
      <c r="M670" s="210" t="str">
        <f t="shared" si="186"/>
        <v/>
      </c>
      <c r="N670" s="210"/>
      <c r="O670" s="207"/>
      <c r="P670" s="182" t="str">
        <f t="shared" si="171"/>
        <v/>
      </c>
      <c r="Q670" s="183" t="str">
        <f t="shared" si="182"/>
        <v/>
      </c>
      <c r="R670" s="182" t="str">
        <f>IF(M670&lt;&gt;"",IF(#REF!*F670*10=0,"",#REF!*F670*10),"")</f>
        <v/>
      </c>
      <c r="S670" s="184" t="str">
        <f t="shared" si="183"/>
        <v/>
      </c>
      <c r="T670" s="185" t="str">
        <f t="shared" si="172"/>
        <v/>
      </c>
      <c r="U670" s="183" t="str">
        <f t="shared" si="184"/>
        <v/>
      </c>
      <c r="V670" s="186" t="str">
        <f t="shared" si="173"/>
        <v/>
      </c>
      <c r="W670" s="186" t="str">
        <f t="shared" si="174"/>
        <v/>
      </c>
      <c r="X670" s="187" t="str">
        <f t="shared" si="175"/>
        <v/>
      </c>
      <c r="Y670" s="182" t="str">
        <f t="shared" si="185"/>
        <v/>
      </c>
      <c r="Z670" s="209" t="str">
        <f t="shared" si="176"/>
        <v/>
      </c>
      <c r="AA670" s="209" t="str">
        <f t="shared" si="177"/>
        <v/>
      </c>
      <c r="AB670" s="200"/>
      <c r="AC670" s="192"/>
    </row>
    <row r="671" spans="1:29" ht="11.4">
      <c r="A671" s="211" t="str">
        <f t="shared" si="178"/>
        <v/>
      </c>
      <c r="B671" s="211"/>
      <c r="C671" s="215"/>
      <c r="D671" s="213" t="str">
        <f t="shared" si="179"/>
        <v/>
      </c>
      <c r="E671" s="213" t="str">
        <f t="shared" si="187"/>
        <v/>
      </c>
      <c r="F671" s="214" t="str">
        <f t="shared" si="180"/>
        <v/>
      </c>
      <c r="G671" s="180"/>
      <c r="H671" s="181" t="str">
        <f t="shared" si="181"/>
        <v/>
      </c>
      <c r="I671" s="227"/>
      <c r="J671" s="227"/>
      <c r="K671" s="227"/>
      <c r="L671" s="227"/>
      <c r="M671" s="210" t="str">
        <f t="shared" si="186"/>
        <v/>
      </c>
      <c r="N671" s="210"/>
      <c r="O671" s="207"/>
      <c r="P671" s="182" t="str">
        <f t="shared" si="171"/>
        <v/>
      </c>
      <c r="Q671" s="183" t="str">
        <f t="shared" si="182"/>
        <v/>
      </c>
      <c r="R671" s="182" t="str">
        <f>IF(M671&lt;&gt;"",IF(#REF!*F671*10=0,"",#REF!*F671*10),"")</f>
        <v/>
      </c>
      <c r="S671" s="184" t="str">
        <f t="shared" si="183"/>
        <v/>
      </c>
      <c r="T671" s="185" t="str">
        <f t="shared" si="172"/>
        <v/>
      </c>
      <c r="U671" s="183" t="str">
        <f t="shared" si="184"/>
        <v/>
      </c>
      <c r="V671" s="186" t="str">
        <f t="shared" si="173"/>
        <v/>
      </c>
      <c r="W671" s="186" t="str">
        <f t="shared" si="174"/>
        <v/>
      </c>
      <c r="X671" s="187" t="str">
        <f t="shared" si="175"/>
        <v/>
      </c>
      <c r="Y671" s="182" t="str">
        <f t="shared" si="185"/>
        <v/>
      </c>
      <c r="Z671" s="209" t="str">
        <f t="shared" si="176"/>
        <v/>
      </c>
      <c r="AA671" s="209" t="str">
        <f t="shared" si="177"/>
        <v/>
      </c>
      <c r="AB671" s="200"/>
      <c r="AC671" s="192"/>
    </row>
    <row r="672" spans="1:29" ht="11.4">
      <c r="A672" s="211" t="str">
        <f t="shared" si="178"/>
        <v/>
      </c>
      <c r="B672" s="211"/>
      <c r="C672" s="215"/>
      <c r="D672" s="213" t="str">
        <f t="shared" si="179"/>
        <v/>
      </c>
      <c r="E672" s="213" t="str">
        <f t="shared" si="187"/>
        <v/>
      </c>
      <c r="F672" s="214" t="str">
        <f t="shared" si="180"/>
        <v/>
      </c>
      <c r="G672" s="180"/>
      <c r="H672" s="181" t="str">
        <f t="shared" si="181"/>
        <v/>
      </c>
      <c r="I672" s="227"/>
      <c r="J672" s="227"/>
      <c r="K672" s="227"/>
      <c r="L672" s="227"/>
      <c r="M672" s="210" t="str">
        <f t="shared" si="186"/>
        <v/>
      </c>
      <c r="N672" s="210"/>
      <c r="O672" s="207"/>
      <c r="P672" s="182" t="str">
        <f t="shared" si="171"/>
        <v/>
      </c>
      <c r="Q672" s="183" t="str">
        <f t="shared" si="182"/>
        <v/>
      </c>
      <c r="R672" s="182" t="str">
        <f>IF(M672&lt;&gt;"",IF(#REF!*F672*10=0,"",#REF!*F672*10),"")</f>
        <v/>
      </c>
      <c r="S672" s="184" t="str">
        <f t="shared" si="183"/>
        <v/>
      </c>
      <c r="T672" s="185" t="str">
        <f t="shared" si="172"/>
        <v/>
      </c>
      <c r="U672" s="183" t="str">
        <f t="shared" si="184"/>
        <v/>
      </c>
      <c r="V672" s="186" t="str">
        <f t="shared" si="173"/>
        <v/>
      </c>
      <c r="W672" s="186" t="str">
        <f t="shared" si="174"/>
        <v/>
      </c>
      <c r="X672" s="187" t="str">
        <f t="shared" si="175"/>
        <v/>
      </c>
      <c r="Y672" s="182" t="str">
        <f t="shared" si="185"/>
        <v/>
      </c>
      <c r="Z672" s="209" t="str">
        <f t="shared" si="176"/>
        <v/>
      </c>
      <c r="AA672" s="209" t="str">
        <f t="shared" si="177"/>
        <v/>
      </c>
      <c r="AB672" s="200"/>
      <c r="AC672" s="192"/>
    </row>
    <row r="673" spans="1:29" ht="11.4">
      <c r="A673" s="211" t="str">
        <f t="shared" si="178"/>
        <v/>
      </c>
      <c r="B673" s="211"/>
      <c r="C673" s="215"/>
      <c r="D673" s="213" t="str">
        <f t="shared" si="179"/>
        <v/>
      </c>
      <c r="E673" s="213" t="str">
        <f t="shared" si="187"/>
        <v/>
      </c>
      <c r="F673" s="214" t="str">
        <f t="shared" si="180"/>
        <v/>
      </c>
      <c r="G673" s="180"/>
      <c r="H673" s="181" t="str">
        <f t="shared" si="181"/>
        <v/>
      </c>
      <c r="I673" s="227"/>
      <c r="J673" s="227"/>
      <c r="K673" s="227"/>
      <c r="L673" s="227"/>
      <c r="M673" s="210" t="str">
        <f t="shared" si="186"/>
        <v/>
      </c>
      <c r="N673" s="210"/>
      <c r="O673" s="207"/>
      <c r="P673" s="182" t="str">
        <f t="shared" si="171"/>
        <v/>
      </c>
      <c r="Q673" s="183" t="str">
        <f t="shared" si="182"/>
        <v/>
      </c>
      <c r="R673" s="182" t="str">
        <f>IF(M673&lt;&gt;"",IF(#REF!*F673*10=0,"",#REF!*F673*10),"")</f>
        <v/>
      </c>
      <c r="S673" s="184" t="str">
        <f t="shared" si="183"/>
        <v/>
      </c>
      <c r="T673" s="185" t="str">
        <f t="shared" si="172"/>
        <v/>
      </c>
      <c r="U673" s="183" t="str">
        <f t="shared" si="184"/>
        <v/>
      </c>
      <c r="V673" s="186" t="str">
        <f t="shared" si="173"/>
        <v/>
      </c>
      <c r="W673" s="186" t="str">
        <f t="shared" si="174"/>
        <v/>
      </c>
      <c r="X673" s="187" t="str">
        <f t="shared" si="175"/>
        <v/>
      </c>
      <c r="Y673" s="182" t="str">
        <f t="shared" si="185"/>
        <v/>
      </c>
      <c r="Z673" s="209" t="str">
        <f t="shared" si="176"/>
        <v/>
      </c>
      <c r="AA673" s="209" t="str">
        <f t="shared" si="177"/>
        <v/>
      </c>
      <c r="AB673" s="200"/>
      <c r="AC673" s="192"/>
    </row>
    <row r="674" spans="1:29" ht="11.4">
      <c r="A674" s="211" t="str">
        <f t="shared" si="178"/>
        <v/>
      </c>
      <c r="B674" s="211"/>
      <c r="C674" s="215"/>
      <c r="D674" s="213" t="str">
        <f t="shared" si="179"/>
        <v/>
      </c>
      <c r="E674" s="213" t="str">
        <f t="shared" si="187"/>
        <v/>
      </c>
      <c r="F674" s="214" t="str">
        <f t="shared" si="180"/>
        <v/>
      </c>
      <c r="G674" s="180"/>
      <c r="H674" s="181" t="str">
        <f t="shared" si="181"/>
        <v/>
      </c>
      <c r="I674" s="227"/>
      <c r="J674" s="227"/>
      <c r="K674" s="227"/>
      <c r="L674" s="227"/>
      <c r="M674" s="210" t="str">
        <f t="shared" si="186"/>
        <v/>
      </c>
      <c r="N674" s="210"/>
      <c r="O674" s="207"/>
      <c r="P674" s="182" t="str">
        <f t="shared" si="171"/>
        <v/>
      </c>
      <c r="Q674" s="183" t="str">
        <f t="shared" si="182"/>
        <v/>
      </c>
      <c r="R674" s="182" t="str">
        <f>IF(M674&lt;&gt;"",IF(#REF!*F674*10=0,"",#REF!*F674*10),"")</f>
        <v/>
      </c>
      <c r="S674" s="184" t="str">
        <f t="shared" si="183"/>
        <v/>
      </c>
      <c r="T674" s="185" t="str">
        <f t="shared" si="172"/>
        <v/>
      </c>
      <c r="U674" s="183" t="str">
        <f t="shared" si="184"/>
        <v/>
      </c>
      <c r="V674" s="186" t="str">
        <f t="shared" si="173"/>
        <v/>
      </c>
      <c r="W674" s="186" t="str">
        <f t="shared" si="174"/>
        <v/>
      </c>
      <c r="X674" s="187" t="str">
        <f t="shared" si="175"/>
        <v/>
      </c>
      <c r="Y674" s="182" t="str">
        <f t="shared" si="185"/>
        <v/>
      </c>
      <c r="Z674" s="209" t="str">
        <f t="shared" si="176"/>
        <v/>
      </c>
      <c r="AA674" s="209" t="str">
        <f t="shared" si="177"/>
        <v/>
      </c>
      <c r="AB674" s="200"/>
      <c r="AC674" s="192"/>
    </row>
    <row r="675" spans="1:29" ht="11.4">
      <c r="A675" s="211" t="str">
        <f t="shared" si="178"/>
        <v/>
      </c>
      <c r="B675" s="211"/>
      <c r="C675" s="215"/>
      <c r="D675" s="213" t="str">
        <f t="shared" si="179"/>
        <v/>
      </c>
      <c r="E675" s="213" t="str">
        <f t="shared" si="187"/>
        <v/>
      </c>
      <c r="F675" s="214" t="str">
        <f t="shared" si="180"/>
        <v/>
      </c>
      <c r="G675" s="180"/>
      <c r="H675" s="181" t="str">
        <f t="shared" si="181"/>
        <v/>
      </c>
      <c r="I675" s="227"/>
      <c r="J675" s="227"/>
      <c r="K675" s="227"/>
      <c r="L675" s="227"/>
      <c r="M675" s="210" t="str">
        <f t="shared" si="186"/>
        <v/>
      </c>
      <c r="N675" s="210"/>
      <c r="O675" s="207"/>
      <c r="P675" s="182" t="str">
        <f t="shared" si="171"/>
        <v/>
      </c>
      <c r="Q675" s="183" t="str">
        <f t="shared" si="182"/>
        <v/>
      </c>
      <c r="R675" s="182" t="str">
        <f>IF(M675&lt;&gt;"",IF(#REF!*F675*10=0,"",#REF!*F675*10),"")</f>
        <v/>
      </c>
      <c r="S675" s="184" t="str">
        <f t="shared" si="183"/>
        <v/>
      </c>
      <c r="T675" s="185" t="str">
        <f t="shared" si="172"/>
        <v/>
      </c>
      <c r="U675" s="183" t="str">
        <f t="shared" si="184"/>
        <v/>
      </c>
      <c r="V675" s="186" t="str">
        <f t="shared" si="173"/>
        <v/>
      </c>
      <c r="W675" s="186" t="str">
        <f t="shared" si="174"/>
        <v/>
      </c>
      <c r="X675" s="187" t="str">
        <f t="shared" si="175"/>
        <v/>
      </c>
      <c r="Y675" s="182" t="str">
        <f t="shared" si="185"/>
        <v/>
      </c>
      <c r="Z675" s="209" t="str">
        <f t="shared" si="176"/>
        <v/>
      </c>
      <c r="AA675" s="209" t="str">
        <f t="shared" si="177"/>
        <v/>
      </c>
      <c r="AB675" s="200"/>
      <c r="AC675" s="192"/>
    </row>
    <row r="676" spans="1:29" ht="11.4">
      <c r="A676" s="211" t="str">
        <f t="shared" si="178"/>
        <v/>
      </c>
      <c r="B676" s="211"/>
      <c r="C676" s="215"/>
      <c r="D676" s="213" t="str">
        <f t="shared" si="179"/>
        <v/>
      </c>
      <c r="E676" s="213" t="str">
        <f t="shared" si="187"/>
        <v/>
      </c>
      <c r="F676" s="214" t="str">
        <f t="shared" si="180"/>
        <v/>
      </c>
      <c r="G676" s="180"/>
      <c r="H676" s="181" t="str">
        <f t="shared" si="181"/>
        <v/>
      </c>
      <c r="I676" s="227"/>
      <c r="J676" s="227"/>
      <c r="K676" s="227"/>
      <c r="L676" s="227"/>
      <c r="M676" s="210" t="str">
        <f t="shared" si="186"/>
        <v/>
      </c>
      <c r="N676" s="210"/>
      <c r="O676" s="207"/>
      <c r="P676" s="182" t="str">
        <f t="shared" si="171"/>
        <v/>
      </c>
      <c r="Q676" s="183" t="str">
        <f t="shared" si="182"/>
        <v/>
      </c>
      <c r="R676" s="182" t="str">
        <f>IF(M676&lt;&gt;"",IF(#REF!*F676*10=0,"",#REF!*F676*10),"")</f>
        <v/>
      </c>
      <c r="S676" s="184" t="str">
        <f t="shared" si="183"/>
        <v/>
      </c>
      <c r="T676" s="185" t="str">
        <f t="shared" si="172"/>
        <v/>
      </c>
      <c r="U676" s="183" t="str">
        <f t="shared" si="184"/>
        <v/>
      </c>
      <c r="V676" s="186" t="str">
        <f t="shared" si="173"/>
        <v/>
      </c>
      <c r="W676" s="186" t="str">
        <f t="shared" si="174"/>
        <v/>
      </c>
      <c r="X676" s="187" t="str">
        <f t="shared" si="175"/>
        <v/>
      </c>
      <c r="Y676" s="182" t="str">
        <f t="shared" si="185"/>
        <v/>
      </c>
      <c r="Z676" s="209" t="str">
        <f t="shared" si="176"/>
        <v/>
      </c>
      <c r="AA676" s="209" t="str">
        <f t="shared" si="177"/>
        <v/>
      </c>
      <c r="AB676" s="200"/>
      <c r="AC676" s="192"/>
    </row>
    <row r="677" spans="1:29" ht="11.4">
      <c r="A677" s="211" t="str">
        <f t="shared" si="178"/>
        <v/>
      </c>
      <c r="B677" s="211"/>
      <c r="C677" s="215"/>
      <c r="D677" s="213" t="str">
        <f t="shared" si="179"/>
        <v/>
      </c>
      <c r="E677" s="213" t="str">
        <f t="shared" si="187"/>
        <v/>
      </c>
      <c r="F677" s="214" t="str">
        <f t="shared" si="180"/>
        <v/>
      </c>
      <c r="G677" s="180"/>
      <c r="H677" s="181" t="str">
        <f t="shared" si="181"/>
        <v/>
      </c>
      <c r="I677" s="227"/>
      <c r="J677" s="227"/>
      <c r="K677" s="227"/>
      <c r="L677" s="227"/>
      <c r="M677" s="210" t="str">
        <f t="shared" si="186"/>
        <v/>
      </c>
      <c r="N677" s="210"/>
      <c r="O677" s="207"/>
      <c r="P677" s="182" t="str">
        <f t="shared" si="171"/>
        <v/>
      </c>
      <c r="Q677" s="183" t="str">
        <f t="shared" si="182"/>
        <v/>
      </c>
      <c r="R677" s="182" t="str">
        <f>IF(M677&lt;&gt;"",IF(#REF!*F677*10=0,"",#REF!*F677*10),"")</f>
        <v/>
      </c>
      <c r="S677" s="184" t="str">
        <f t="shared" si="183"/>
        <v/>
      </c>
      <c r="T677" s="185" t="str">
        <f t="shared" si="172"/>
        <v/>
      </c>
      <c r="U677" s="183" t="str">
        <f t="shared" si="184"/>
        <v/>
      </c>
      <c r="V677" s="186" t="str">
        <f t="shared" si="173"/>
        <v/>
      </c>
      <c r="W677" s="186" t="str">
        <f t="shared" si="174"/>
        <v/>
      </c>
      <c r="X677" s="187" t="str">
        <f t="shared" si="175"/>
        <v/>
      </c>
      <c r="Y677" s="182" t="str">
        <f t="shared" si="185"/>
        <v/>
      </c>
      <c r="Z677" s="209" t="str">
        <f t="shared" si="176"/>
        <v/>
      </c>
      <c r="AA677" s="209" t="str">
        <f t="shared" si="177"/>
        <v/>
      </c>
      <c r="AB677" s="200"/>
      <c r="AC677" s="192"/>
    </row>
    <row r="678" spans="1:29" ht="11.4">
      <c r="A678" s="211" t="str">
        <f t="shared" si="178"/>
        <v/>
      </c>
      <c r="B678" s="211"/>
      <c r="C678" s="215"/>
      <c r="D678" s="213" t="str">
        <f t="shared" si="179"/>
        <v/>
      </c>
      <c r="E678" s="213" t="str">
        <f t="shared" si="187"/>
        <v/>
      </c>
      <c r="F678" s="214" t="str">
        <f t="shared" si="180"/>
        <v/>
      </c>
      <c r="G678" s="180"/>
      <c r="H678" s="181" t="str">
        <f t="shared" si="181"/>
        <v/>
      </c>
      <c r="I678" s="227"/>
      <c r="J678" s="227"/>
      <c r="K678" s="227"/>
      <c r="L678" s="227"/>
      <c r="M678" s="210" t="str">
        <f t="shared" si="186"/>
        <v/>
      </c>
      <c r="N678" s="210"/>
      <c r="O678" s="207"/>
      <c r="P678" s="182" t="str">
        <f t="shared" si="171"/>
        <v/>
      </c>
      <c r="Q678" s="183" t="str">
        <f t="shared" si="182"/>
        <v/>
      </c>
      <c r="R678" s="182" t="str">
        <f>IF(M678&lt;&gt;"",IF(#REF!*F678*10=0,"",#REF!*F678*10),"")</f>
        <v/>
      </c>
      <c r="S678" s="184" t="str">
        <f t="shared" si="183"/>
        <v/>
      </c>
      <c r="T678" s="185" t="str">
        <f t="shared" si="172"/>
        <v/>
      </c>
      <c r="U678" s="183" t="str">
        <f t="shared" si="184"/>
        <v/>
      </c>
      <c r="V678" s="186" t="str">
        <f t="shared" si="173"/>
        <v/>
      </c>
      <c r="W678" s="186" t="str">
        <f t="shared" si="174"/>
        <v/>
      </c>
      <c r="X678" s="187" t="str">
        <f t="shared" si="175"/>
        <v/>
      </c>
      <c r="Y678" s="182" t="str">
        <f t="shared" si="185"/>
        <v/>
      </c>
      <c r="Z678" s="209" t="str">
        <f t="shared" si="176"/>
        <v/>
      </c>
      <c r="AA678" s="209" t="str">
        <f t="shared" si="177"/>
        <v/>
      </c>
      <c r="AB678" s="200"/>
      <c r="AC678" s="192"/>
    </row>
    <row r="679" spans="1:29" ht="11.4">
      <c r="A679" s="211" t="str">
        <f t="shared" si="178"/>
        <v/>
      </c>
      <c r="B679" s="211"/>
      <c r="C679" s="215"/>
      <c r="D679" s="213" t="str">
        <f t="shared" si="179"/>
        <v/>
      </c>
      <c r="E679" s="213" t="str">
        <f t="shared" si="187"/>
        <v/>
      </c>
      <c r="F679" s="214" t="str">
        <f t="shared" si="180"/>
        <v/>
      </c>
      <c r="G679" s="180"/>
      <c r="H679" s="181" t="str">
        <f t="shared" si="181"/>
        <v/>
      </c>
      <c r="I679" s="227"/>
      <c r="J679" s="227"/>
      <c r="K679" s="227"/>
      <c r="L679" s="227"/>
      <c r="M679" s="210" t="str">
        <f t="shared" si="186"/>
        <v/>
      </c>
      <c r="N679" s="210"/>
      <c r="O679" s="207"/>
      <c r="P679" s="182" t="str">
        <f t="shared" si="171"/>
        <v/>
      </c>
      <c r="Q679" s="183" t="str">
        <f t="shared" si="182"/>
        <v/>
      </c>
      <c r="R679" s="182" t="str">
        <f>IF(M679&lt;&gt;"",IF(#REF!*F679*10=0,"",#REF!*F679*10),"")</f>
        <v/>
      </c>
      <c r="S679" s="184" t="str">
        <f t="shared" si="183"/>
        <v/>
      </c>
      <c r="T679" s="185" t="str">
        <f t="shared" si="172"/>
        <v/>
      </c>
      <c r="U679" s="183" t="str">
        <f t="shared" si="184"/>
        <v/>
      </c>
      <c r="V679" s="186" t="str">
        <f t="shared" si="173"/>
        <v/>
      </c>
      <c r="W679" s="186" t="str">
        <f t="shared" si="174"/>
        <v/>
      </c>
      <c r="X679" s="187" t="str">
        <f t="shared" si="175"/>
        <v/>
      </c>
      <c r="Y679" s="182" t="str">
        <f t="shared" si="185"/>
        <v/>
      </c>
      <c r="Z679" s="209" t="str">
        <f t="shared" si="176"/>
        <v/>
      </c>
      <c r="AA679" s="209" t="str">
        <f t="shared" si="177"/>
        <v/>
      </c>
      <c r="AB679" s="200"/>
      <c r="AC679" s="192"/>
    </row>
    <row r="680" spans="1:29" ht="11.4">
      <c r="A680" s="211" t="str">
        <f t="shared" si="178"/>
        <v/>
      </c>
      <c r="B680" s="211"/>
      <c r="C680" s="215"/>
      <c r="D680" s="213" t="str">
        <f t="shared" si="179"/>
        <v/>
      </c>
      <c r="E680" s="213" t="str">
        <f t="shared" si="187"/>
        <v/>
      </c>
      <c r="F680" s="214" t="str">
        <f t="shared" si="180"/>
        <v/>
      </c>
      <c r="G680" s="180"/>
      <c r="H680" s="181" t="str">
        <f t="shared" si="181"/>
        <v/>
      </c>
      <c r="I680" s="227"/>
      <c r="J680" s="227"/>
      <c r="K680" s="227"/>
      <c r="L680" s="227"/>
      <c r="M680" s="210" t="str">
        <f t="shared" si="186"/>
        <v/>
      </c>
      <c r="N680" s="210"/>
      <c r="O680" s="207"/>
      <c r="P680" s="182" t="str">
        <f t="shared" si="171"/>
        <v/>
      </c>
      <c r="Q680" s="183" t="str">
        <f t="shared" si="182"/>
        <v/>
      </c>
      <c r="R680" s="182" t="str">
        <f>IF(M680&lt;&gt;"",IF(#REF!*F680*10=0,"",#REF!*F680*10),"")</f>
        <v/>
      </c>
      <c r="S680" s="184" t="str">
        <f t="shared" si="183"/>
        <v/>
      </c>
      <c r="T680" s="185" t="str">
        <f t="shared" si="172"/>
        <v/>
      </c>
      <c r="U680" s="183" t="str">
        <f t="shared" si="184"/>
        <v/>
      </c>
      <c r="V680" s="186" t="str">
        <f t="shared" si="173"/>
        <v/>
      </c>
      <c r="W680" s="186" t="str">
        <f t="shared" si="174"/>
        <v/>
      </c>
      <c r="X680" s="187" t="str">
        <f t="shared" si="175"/>
        <v/>
      </c>
      <c r="Y680" s="182" t="str">
        <f t="shared" si="185"/>
        <v/>
      </c>
      <c r="Z680" s="209" t="str">
        <f t="shared" si="176"/>
        <v/>
      </c>
      <c r="AA680" s="209" t="str">
        <f t="shared" si="177"/>
        <v/>
      </c>
      <c r="AB680" s="200"/>
      <c r="AC680" s="192"/>
    </row>
    <row r="681" spans="1:29" ht="11.4">
      <c r="A681" s="211" t="str">
        <f t="shared" si="178"/>
        <v/>
      </c>
      <c r="B681" s="211"/>
      <c r="C681" s="215"/>
      <c r="D681" s="213" t="str">
        <f t="shared" si="179"/>
        <v/>
      </c>
      <c r="E681" s="213" t="str">
        <f t="shared" si="187"/>
        <v/>
      </c>
      <c r="F681" s="214" t="str">
        <f t="shared" si="180"/>
        <v/>
      </c>
      <c r="G681" s="180"/>
      <c r="H681" s="181" t="str">
        <f t="shared" si="181"/>
        <v/>
      </c>
      <c r="I681" s="227"/>
      <c r="J681" s="227"/>
      <c r="K681" s="227"/>
      <c r="L681" s="227"/>
      <c r="M681" s="210" t="str">
        <f t="shared" si="186"/>
        <v/>
      </c>
      <c r="N681" s="210"/>
      <c r="O681" s="207"/>
      <c r="P681" s="182" t="str">
        <f t="shared" si="171"/>
        <v/>
      </c>
      <c r="Q681" s="183" t="str">
        <f t="shared" si="182"/>
        <v/>
      </c>
      <c r="R681" s="182" t="str">
        <f>IF(M681&lt;&gt;"",IF(#REF!*F681*10=0,"",#REF!*F681*10),"")</f>
        <v/>
      </c>
      <c r="S681" s="184" t="str">
        <f t="shared" si="183"/>
        <v/>
      </c>
      <c r="T681" s="185" t="str">
        <f t="shared" si="172"/>
        <v/>
      </c>
      <c r="U681" s="183" t="str">
        <f t="shared" si="184"/>
        <v/>
      </c>
      <c r="V681" s="186" t="str">
        <f t="shared" si="173"/>
        <v/>
      </c>
      <c r="W681" s="186" t="str">
        <f t="shared" si="174"/>
        <v/>
      </c>
      <c r="X681" s="187" t="str">
        <f t="shared" si="175"/>
        <v/>
      </c>
      <c r="Y681" s="182" t="str">
        <f t="shared" si="185"/>
        <v/>
      </c>
      <c r="Z681" s="209" t="str">
        <f t="shared" si="176"/>
        <v/>
      </c>
      <c r="AA681" s="209" t="str">
        <f t="shared" si="177"/>
        <v/>
      </c>
      <c r="AB681" s="200"/>
      <c r="AC681" s="192"/>
    </row>
    <row r="682" spans="1:29" ht="11.4">
      <c r="A682" s="211" t="str">
        <f t="shared" si="178"/>
        <v/>
      </c>
      <c r="B682" s="211"/>
      <c r="C682" s="215"/>
      <c r="D682" s="213" t="str">
        <f t="shared" si="179"/>
        <v/>
      </c>
      <c r="E682" s="213" t="str">
        <f t="shared" si="187"/>
        <v/>
      </c>
      <c r="F682" s="214" t="str">
        <f t="shared" si="180"/>
        <v/>
      </c>
      <c r="G682" s="180"/>
      <c r="H682" s="181" t="str">
        <f t="shared" si="181"/>
        <v/>
      </c>
      <c r="I682" s="227"/>
      <c r="J682" s="227"/>
      <c r="K682" s="227"/>
      <c r="L682" s="227"/>
      <c r="M682" s="210" t="str">
        <f t="shared" si="186"/>
        <v/>
      </c>
      <c r="N682" s="210"/>
      <c r="O682" s="207"/>
      <c r="P682" s="182" t="str">
        <f t="shared" si="171"/>
        <v/>
      </c>
      <c r="Q682" s="183" t="str">
        <f t="shared" si="182"/>
        <v/>
      </c>
      <c r="R682" s="182" t="str">
        <f>IF(M682&lt;&gt;"",IF(#REF!*F682*10=0,"",#REF!*F682*10),"")</f>
        <v/>
      </c>
      <c r="S682" s="184" t="str">
        <f t="shared" si="183"/>
        <v/>
      </c>
      <c r="T682" s="185" t="str">
        <f t="shared" si="172"/>
        <v/>
      </c>
      <c r="U682" s="183" t="str">
        <f t="shared" si="184"/>
        <v/>
      </c>
      <c r="V682" s="186" t="str">
        <f t="shared" si="173"/>
        <v/>
      </c>
      <c r="W682" s="186" t="str">
        <f t="shared" si="174"/>
        <v/>
      </c>
      <c r="X682" s="187" t="str">
        <f t="shared" si="175"/>
        <v/>
      </c>
      <c r="Y682" s="182" t="str">
        <f t="shared" si="185"/>
        <v/>
      </c>
      <c r="Z682" s="209" t="str">
        <f t="shared" si="176"/>
        <v/>
      </c>
      <c r="AA682" s="209" t="str">
        <f t="shared" si="177"/>
        <v/>
      </c>
      <c r="AB682" s="200"/>
      <c r="AC682" s="192"/>
    </row>
    <row r="683" spans="1:29" ht="11.4">
      <c r="A683" s="211" t="str">
        <f t="shared" si="178"/>
        <v/>
      </c>
      <c r="B683" s="211"/>
      <c r="C683" s="215"/>
      <c r="D683" s="213" t="str">
        <f t="shared" si="179"/>
        <v/>
      </c>
      <c r="E683" s="213" t="str">
        <f t="shared" si="187"/>
        <v/>
      </c>
      <c r="F683" s="214" t="str">
        <f t="shared" si="180"/>
        <v/>
      </c>
      <c r="G683" s="180"/>
      <c r="H683" s="181" t="str">
        <f t="shared" si="181"/>
        <v/>
      </c>
      <c r="I683" s="227"/>
      <c r="J683" s="227"/>
      <c r="K683" s="227"/>
      <c r="L683" s="227"/>
      <c r="M683" s="210" t="str">
        <f t="shared" si="186"/>
        <v/>
      </c>
      <c r="N683" s="210"/>
      <c r="O683" s="207"/>
      <c r="P683" s="182" t="str">
        <f t="shared" si="171"/>
        <v/>
      </c>
      <c r="Q683" s="183" t="str">
        <f t="shared" si="182"/>
        <v/>
      </c>
      <c r="R683" s="182" t="str">
        <f>IF(M683&lt;&gt;"",IF(#REF!*F683*10=0,"",#REF!*F683*10),"")</f>
        <v/>
      </c>
      <c r="S683" s="184" t="str">
        <f t="shared" si="183"/>
        <v/>
      </c>
      <c r="T683" s="185" t="str">
        <f t="shared" si="172"/>
        <v/>
      </c>
      <c r="U683" s="183" t="str">
        <f t="shared" si="184"/>
        <v/>
      </c>
      <c r="V683" s="186" t="str">
        <f t="shared" si="173"/>
        <v/>
      </c>
      <c r="W683" s="186" t="str">
        <f t="shared" si="174"/>
        <v/>
      </c>
      <c r="X683" s="187" t="str">
        <f t="shared" si="175"/>
        <v/>
      </c>
      <c r="Y683" s="182" t="str">
        <f t="shared" si="185"/>
        <v/>
      </c>
      <c r="Z683" s="209" t="str">
        <f t="shared" si="176"/>
        <v/>
      </c>
      <c r="AA683" s="209" t="str">
        <f t="shared" si="177"/>
        <v/>
      </c>
      <c r="AB683" s="200"/>
      <c r="AC683" s="192"/>
    </row>
    <row r="684" spans="1:29" ht="11.4">
      <c r="A684" s="211" t="str">
        <f t="shared" si="178"/>
        <v/>
      </c>
      <c r="B684" s="211"/>
      <c r="C684" s="215"/>
      <c r="D684" s="213" t="str">
        <f t="shared" si="179"/>
        <v/>
      </c>
      <c r="E684" s="213" t="str">
        <f t="shared" si="187"/>
        <v/>
      </c>
      <c r="F684" s="214" t="str">
        <f t="shared" si="180"/>
        <v/>
      </c>
      <c r="G684" s="180"/>
      <c r="H684" s="181" t="str">
        <f t="shared" si="181"/>
        <v/>
      </c>
      <c r="I684" s="227"/>
      <c r="J684" s="227"/>
      <c r="K684" s="227"/>
      <c r="L684" s="227"/>
      <c r="M684" s="210" t="str">
        <f t="shared" si="186"/>
        <v/>
      </c>
      <c r="N684" s="210"/>
      <c r="O684" s="207"/>
      <c r="P684" s="182" t="str">
        <f t="shared" si="171"/>
        <v/>
      </c>
      <c r="Q684" s="183" t="str">
        <f t="shared" si="182"/>
        <v/>
      </c>
      <c r="R684" s="182" t="str">
        <f>IF(M684&lt;&gt;"",IF(#REF!*F684*10=0,"",#REF!*F684*10),"")</f>
        <v/>
      </c>
      <c r="S684" s="184" t="str">
        <f t="shared" si="183"/>
        <v/>
      </c>
      <c r="T684" s="185" t="str">
        <f t="shared" si="172"/>
        <v/>
      </c>
      <c r="U684" s="183" t="str">
        <f t="shared" si="184"/>
        <v/>
      </c>
      <c r="V684" s="186" t="str">
        <f t="shared" si="173"/>
        <v/>
      </c>
      <c r="W684" s="186" t="str">
        <f t="shared" si="174"/>
        <v/>
      </c>
      <c r="X684" s="187" t="str">
        <f t="shared" si="175"/>
        <v/>
      </c>
      <c r="Y684" s="182" t="str">
        <f t="shared" si="185"/>
        <v/>
      </c>
      <c r="Z684" s="209" t="str">
        <f t="shared" si="176"/>
        <v/>
      </c>
      <c r="AA684" s="209" t="str">
        <f t="shared" si="177"/>
        <v/>
      </c>
      <c r="AB684" s="200"/>
      <c r="AC684" s="192"/>
    </row>
    <row r="685" spans="1:29" ht="11.4">
      <c r="A685" s="211" t="str">
        <f t="shared" si="178"/>
        <v/>
      </c>
      <c r="B685" s="211"/>
      <c r="C685" s="215"/>
      <c r="D685" s="213" t="str">
        <f t="shared" si="179"/>
        <v/>
      </c>
      <c r="E685" s="213" t="str">
        <f t="shared" si="187"/>
        <v/>
      </c>
      <c r="F685" s="214" t="str">
        <f t="shared" si="180"/>
        <v/>
      </c>
      <c r="G685" s="180"/>
      <c r="H685" s="181" t="str">
        <f t="shared" si="181"/>
        <v/>
      </c>
      <c r="I685" s="227"/>
      <c r="J685" s="227"/>
      <c r="K685" s="227"/>
      <c r="L685" s="227"/>
      <c r="M685" s="210" t="str">
        <f t="shared" si="186"/>
        <v/>
      </c>
      <c r="N685" s="210"/>
      <c r="O685" s="207"/>
      <c r="P685" s="182" t="str">
        <f t="shared" si="171"/>
        <v/>
      </c>
      <c r="Q685" s="183" t="str">
        <f t="shared" si="182"/>
        <v/>
      </c>
      <c r="R685" s="182" t="str">
        <f>IF(M685&lt;&gt;"",IF(#REF!*F685*10=0,"",#REF!*F685*10),"")</f>
        <v/>
      </c>
      <c r="S685" s="184" t="str">
        <f t="shared" si="183"/>
        <v/>
      </c>
      <c r="T685" s="185" t="str">
        <f t="shared" si="172"/>
        <v/>
      </c>
      <c r="U685" s="183" t="str">
        <f t="shared" si="184"/>
        <v/>
      </c>
      <c r="V685" s="186" t="str">
        <f t="shared" si="173"/>
        <v/>
      </c>
      <c r="W685" s="186" t="str">
        <f t="shared" si="174"/>
        <v/>
      </c>
      <c r="X685" s="187" t="str">
        <f t="shared" si="175"/>
        <v/>
      </c>
      <c r="Y685" s="182" t="str">
        <f t="shared" si="185"/>
        <v/>
      </c>
      <c r="Z685" s="209" t="str">
        <f t="shared" si="176"/>
        <v/>
      </c>
      <c r="AA685" s="209" t="str">
        <f t="shared" si="177"/>
        <v/>
      </c>
      <c r="AB685" s="200"/>
      <c r="AC685" s="192"/>
    </row>
    <row r="686" spans="1:29" ht="11.4">
      <c r="A686" s="211" t="str">
        <f t="shared" si="178"/>
        <v/>
      </c>
      <c r="B686" s="211"/>
      <c r="C686" s="215"/>
      <c r="D686" s="213" t="str">
        <f t="shared" si="179"/>
        <v/>
      </c>
      <c r="E686" s="213" t="str">
        <f t="shared" si="187"/>
        <v/>
      </c>
      <c r="F686" s="214" t="str">
        <f t="shared" si="180"/>
        <v/>
      </c>
      <c r="G686" s="180"/>
      <c r="H686" s="181" t="str">
        <f t="shared" si="181"/>
        <v/>
      </c>
      <c r="I686" s="227"/>
      <c r="J686" s="227"/>
      <c r="K686" s="227"/>
      <c r="L686" s="227"/>
      <c r="M686" s="210" t="str">
        <f t="shared" si="186"/>
        <v/>
      </c>
      <c r="N686" s="210"/>
      <c r="O686" s="207"/>
      <c r="P686" s="182" t="str">
        <f t="shared" si="171"/>
        <v/>
      </c>
      <c r="Q686" s="183" t="str">
        <f t="shared" si="182"/>
        <v/>
      </c>
      <c r="R686" s="182" t="str">
        <f>IF(M686&lt;&gt;"",IF(#REF!*F686*10=0,"",#REF!*F686*10),"")</f>
        <v/>
      </c>
      <c r="S686" s="184" t="str">
        <f t="shared" si="183"/>
        <v/>
      </c>
      <c r="T686" s="185" t="str">
        <f t="shared" si="172"/>
        <v/>
      </c>
      <c r="U686" s="183" t="str">
        <f t="shared" si="184"/>
        <v/>
      </c>
      <c r="V686" s="186" t="str">
        <f t="shared" si="173"/>
        <v/>
      </c>
      <c r="W686" s="186" t="str">
        <f t="shared" si="174"/>
        <v/>
      </c>
      <c r="X686" s="187" t="str">
        <f t="shared" si="175"/>
        <v/>
      </c>
      <c r="Y686" s="182" t="str">
        <f t="shared" si="185"/>
        <v/>
      </c>
      <c r="Z686" s="209" t="str">
        <f t="shared" si="176"/>
        <v/>
      </c>
      <c r="AA686" s="209" t="str">
        <f t="shared" si="177"/>
        <v/>
      </c>
      <c r="AB686" s="200"/>
      <c r="AC686" s="192"/>
    </row>
    <row r="687" spans="1:29" ht="11.4">
      <c r="A687" s="211" t="str">
        <f t="shared" si="178"/>
        <v/>
      </c>
      <c r="B687" s="211"/>
      <c r="C687" s="215"/>
      <c r="D687" s="213" t="str">
        <f t="shared" si="179"/>
        <v/>
      </c>
      <c r="E687" s="213" t="str">
        <f t="shared" si="187"/>
        <v/>
      </c>
      <c r="F687" s="214" t="str">
        <f t="shared" si="180"/>
        <v/>
      </c>
      <c r="G687" s="180"/>
      <c r="H687" s="181" t="str">
        <f t="shared" si="181"/>
        <v/>
      </c>
      <c r="I687" s="227"/>
      <c r="J687" s="227"/>
      <c r="K687" s="227"/>
      <c r="L687" s="227"/>
      <c r="M687" s="210" t="str">
        <f t="shared" si="186"/>
        <v/>
      </c>
      <c r="N687" s="210"/>
      <c r="O687" s="207"/>
      <c r="P687" s="182" t="str">
        <f t="shared" si="171"/>
        <v/>
      </c>
      <c r="Q687" s="183" t="str">
        <f t="shared" si="182"/>
        <v/>
      </c>
      <c r="R687" s="182" t="str">
        <f>IF(M687&lt;&gt;"",IF(#REF!*F687*10=0,"",#REF!*F687*10),"")</f>
        <v/>
      </c>
      <c r="S687" s="184" t="str">
        <f t="shared" si="183"/>
        <v/>
      </c>
      <c r="T687" s="185" t="str">
        <f t="shared" si="172"/>
        <v/>
      </c>
      <c r="U687" s="183" t="str">
        <f t="shared" si="184"/>
        <v/>
      </c>
      <c r="V687" s="186" t="str">
        <f t="shared" si="173"/>
        <v/>
      </c>
      <c r="W687" s="186" t="str">
        <f t="shared" si="174"/>
        <v/>
      </c>
      <c r="X687" s="187" t="str">
        <f t="shared" si="175"/>
        <v/>
      </c>
      <c r="Y687" s="182" t="str">
        <f t="shared" si="185"/>
        <v/>
      </c>
      <c r="Z687" s="209" t="str">
        <f t="shared" si="176"/>
        <v/>
      </c>
      <c r="AA687" s="209" t="str">
        <f t="shared" si="177"/>
        <v/>
      </c>
      <c r="AB687" s="200"/>
      <c r="AC687" s="192"/>
    </row>
    <row r="688" spans="1:29" ht="11.4">
      <c r="A688" s="211" t="str">
        <f t="shared" si="178"/>
        <v/>
      </c>
      <c r="B688" s="211"/>
      <c r="C688" s="215"/>
      <c r="D688" s="213" t="str">
        <f t="shared" si="179"/>
        <v/>
      </c>
      <c r="E688" s="213" t="str">
        <f t="shared" si="187"/>
        <v/>
      </c>
      <c r="F688" s="214" t="str">
        <f t="shared" si="180"/>
        <v/>
      </c>
      <c r="G688" s="180"/>
      <c r="H688" s="181" t="str">
        <f t="shared" si="181"/>
        <v/>
      </c>
      <c r="I688" s="227"/>
      <c r="J688" s="227"/>
      <c r="K688" s="227"/>
      <c r="L688" s="227"/>
      <c r="M688" s="210" t="str">
        <f t="shared" si="186"/>
        <v/>
      </c>
      <c r="N688" s="210"/>
      <c r="O688" s="207"/>
      <c r="P688" s="182" t="str">
        <f t="shared" si="171"/>
        <v/>
      </c>
      <c r="Q688" s="183" t="str">
        <f t="shared" si="182"/>
        <v/>
      </c>
      <c r="R688" s="182" t="str">
        <f>IF(M688&lt;&gt;"",IF(#REF!*F688*10=0,"",#REF!*F688*10),"")</f>
        <v/>
      </c>
      <c r="S688" s="184" t="str">
        <f t="shared" si="183"/>
        <v/>
      </c>
      <c r="T688" s="185" t="str">
        <f t="shared" si="172"/>
        <v/>
      </c>
      <c r="U688" s="183" t="str">
        <f t="shared" si="184"/>
        <v/>
      </c>
      <c r="V688" s="186" t="str">
        <f t="shared" si="173"/>
        <v/>
      </c>
      <c r="W688" s="186" t="str">
        <f t="shared" si="174"/>
        <v/>
      </c>
      <c r="X688" s="187" t="str">
        <f t="shared" si="175"/>
        <v/>
      </c>
      <c r="Y688" s="182" t="str">
        <f t="shared" si="185"/>
        <v/>
      </c>
      <c r="Z688" s="209" t="str">
        <f t="shared" si="176"/>
        <v/>
      </c>
      <c r="AA688" s="209" t="str">
        <f t="shared" si="177"/>
        <v/>
      </c>
      <c r="AB688" s="200"/>
      <c r="AC688" s="192"/>
    </row>
    <row r="689" spans="1:29" ht="11.4">
      <c r="A689" s="211" t="str">
        <f t="shared" si="178"/>
        <v/>
      </c>
      <c r="B689" s="211"/>
      <c r="C689" s="215"/>
      <c r="D689" s="213" t="str">
        <f t="shared" si="179"/>
        <v/>
      </c>
      <c r="E689" s="213" t="str">
        <f t="shared" si="187"/>
        <v/>
      </c>
      <c r="F689" s="214" t="str">
        <f t="shared" si="180"/>
        <v/>
      </c>
      <c r="G689" s="180"/>
      <c r="H689" s="181" t="str">
        <f t="shared" si="181"/>
        <v/>
      </c>
      <c r="I689" s="227"/>
      <c r="J689" s="227"/>
      <c r="K689" s="227"/>
      <c r="L689" s="227"/>
      <c r="M689" s="210" t="str">
        <f t="shared" si="186"/>
        <v/>
      </c>
      <c r="N689" s="210"/>
      <c r="O689" s="207"/>
      <c r="P689" s="182" t="str">
        <f t="shared" si="171"/>
        <v/>
      </c>
      <c r="Q689" s="183" t="str">
        <f t="shared" si="182"/>
        <v/>
      </c>
      <c r="R689" s="182" t="str">
        <f>IF(M689&lt;&gt;"",IF(#REF!*F689*10=0,"",#REF!*F689*10),"")</f>
        <v/>
      </c>
      <c r="S689" s="184" t="str">
        <f t="shared" si="183"/>
        <v/>
      </c>
      <c r="T689" s="185" t="str">
        <f t="shared" si="172"/>
        <v/>
      </c>
      <c r="U689" s="183" t="str">
        <f t="shared" si="184"/>
        <v/>
      </c>
      <c r="V689" s="186" t="str">
        <f t="shared" si="173"/>
        <v/>
      </c>
      <c r="W689" s="186" t="str">
        <f t="shared" si="174"/>
        <v/>
      </c>
      <c r="X689" s="187" t="str">
        <f t="shared" si="175"/>
        <v/>
      </c>
      <c r="Y689" s="182" t="str">
        <f t="shared" si="185"/>
        <v/>
      </c>
      <c r="Z689" s="209" t="str">
        <f t="shared" si="176"/>
        <v/>
      </c>
      <c r="AA689" s="209" t="str">
        <f t="shared" si="177"/>
        <v/>
      </c>
      <c r="AB689" s="200"/>
      <c r="AC689" s="192"/>
    </row>
    <row r="690" spans="1:29" ht="11.4">
      <c r="A690" s="211" t="str">
        <f t="shared" si="178"/>
        <v/>
      </c>
      <c r="B690" s="211"/>
      <c r="C690" s="215"/>
      <c r="D690" s="213" t="str">
        <f t="shared" si="179"/>
        <v/>
      </c>
      <c r="E690" s="213" t="str">
        <f t="shared" si="187"/>
        <v/>
      </c>
      <c r="F690" s="214" t="str">
        <f t="shared" si="180"/>
        <v/>
      </c>
      <c r="G690" s="180"/>
      <c r="H690" s="181" t="str">
        <f t="shared" si="181"/>
        <v/>
      </c>
      <c r="I690" s="227"/>
      <c r="J690" s="227"/>
      <c r="K690" s="227"/>
      <c r="L690" s="227"/>
      <c r="M690" s="210" t="str">
        <f t="shared" si="186"/>
        <v/>
      </c>
      <c r="N690" s="210"/>
      <c r="O690" s="207"/>
      <c r="P690" s="182" t="str">
        <f t="shared" si="171"/>
        <v/>
      </c>
      <c r="Q690" s="183" t="str">
        <f t="shared" si="182"/>
        <v/>
      </c>
      <c r="R690" s="182" t="str">
        <f>IF(M690&lt;&gt;"",IF(#REF!*F690*10=0,"",#REF!*F690*10),"")</f>
        <v/>
      </c>
      <c r="S690" s="184" t="str">
        <f t="shared" si="183"/>
        <v/>
      </c>
      <c r="T690" s="185" t="str">
        <f t="shared" si="172"/>
        <v/>
      </c>
      <c r="U690" s="183" t="str">
        <f t="shared" si="184"/>
        <v/>
      </c>
      <c r="V690" s="186" t="str">
        <f t="shared" si="173"/>
        <v/>
      </c>
      <c r="W690" s="186" t="str">
        <f t="shared" si="174"/>
        <v/>
      </c>
      <c r="X690" s="187" t="str">
        <f t="shared" si="175"/>
        <v/>
      </c>
      <c r="Y690" s="182" t="str">
        <f t="shared" si="185"/>
        <v/>
      </c>
      <c r="Z690" s="209" t="str">
        <f t="shared" si="176"/>
        <v/>
      </c>
      <c r="AA690" s="209" t="str">
        <f t="shared" si="177"/>
        <v/>
      </c>
      <c r="AB690" s="200"/>
      <c r="AC690" s="192"/>
    </row>
    <row r="691" spans="1:29" ht="11.4">
      <c r="A691" s="211" t="str">
        <f t="shared" si="178"/>
        <v/>
      </c>
      <c r="B691" s="211"/>
      <c r="C691" s="215"/>
      <c r="D691" s="213" t="str">
        <f t="shared" si="179"/>
        <v/>
      </c>
      <c r="E691" s="213" t="str">
        <f t="shared" si="187"/>
        <v/>
      </c>
      <c r="F691" s="214" t="str">
        <f t="shared" si="180"/>
        <v/>
      </c>
      <c r="G691" s="180"/>
      <c r="H691" s="181" t="str">
        <f t="shared" si="181"/>
        <v/>
      </c>
      <c r="I691" s="227"/>
      <c r="J691" s="227"/>
      <c r="K691" s="227"/>
      <c r="L691" s="227"/>
      <c r="M691" s="210" t="str">
        <f t="shared" si="186"/>
        <v/>
      </c>
      <c r="N691" s="210"/>
      <c r="O691" s="207"/>
      <c r="P691" s="182" t="str">
        <f t="shared" si="171"/>
        <v/>
      </c>
      <c r="Q691" s="183" t="str">
        <f t="shared" si="182"/>
        <v/>
      </c>
      <c r="R691" s="182" t="str">
        <f>IF(M691&lt;&gt;"",IF(#REF!*F691*10=0,"",#REF!*F691*10),"")</f>
        <v/>
      </c>
      <c r="S691" s="184" t="str">
        <f t="shared" si="183"/>
        <v/>
      </c>
      <c r="T691" s="185" t="str">
        <f t="shared" si="172"/>
        <v/>
      </c>
      <c r="U691" s="183" t="str">
        <f t="shared" si="184"/>
        <v/>
      </c>
      <c r="V691" s="186" t="str">
        <f t="shared" si="173"/>
        <v/>
      </c>
      <c r="W691" s="186" t="str">
        <f t="shared" si="174"/>
        <v/>
      </c>
      <c r="X691" s="187" t="str">
        <f t="shared" si="175"/>
        <v/>
      </c>
      <c r="Y691" s="182" t="str">
        <f t="shared" si="185"/>
        <v/>
      </c>
      <c r="Z691" s="209" t="str">
        <f t="shared" si="176"/>
        <v/>
      </c>
      <c r="AA691" s="209" t="str">
        <f t="shared" si="177"/>
        <v/>
      </c>
      <c r="AB691" s="200"/>
      <c r="AC691" s="192"/>
    </row>
    <row r="692" spans="1:29" ht="11.4">
      <c r="A692" s="211" t="str">
        <f t="shared" si="178"/>
        <v/>
      </c>
      <c r="B692" s="211"/>
      <c r="C692" s="215"/>
      <c r="D692" s="213" t="str">
        <f t="shared" si="179"/>
        <v/>
      </c>
      <c r="E692" s="213" t="str">
        <f t="shared" si="187"/>
        <v/>
      </c>
      <c r="F692" s="214" t="str">
        <f t="shared" si="180"/>
        <v/>
      </c>
      <c r="G692" s="180"/>
      <c r="H692" s="181" t="str">
        <f t="shared" si="181"/>
        <v/>
      </c>
      <c r="I692" s="227"/>
      <c r="J692" s="227"/>
      <c r="K692" s="227"/>
      <c r="L692" s="227"/>
      <c r="M692" s="210" t="str">
        <f t="shared" si="186"/>
        <v/>
      </c>
      <c r="N692" s="210"/>
      <c r="O692" s="207"/>
      <c r="P692" s="182" t="str">
        <f t="shared" si="171"/>
        <v/>
      </c>
      <c r="Q692" s="183" t="str">
        <f t="shared" si="182"/>
        <v/>
      </c>
      <c r="R692" s="182" t="str">
        <f>IF(M692&lt;&gt;"",IF(#REF!*F692*10=0,"",#REF!*F692*10),"")</f>
        <v/>
      </c>
      <c r="S692" s="184" t="str">
        <f t="shared" si="183"/>
        <v/>
      </c>
      <c r="T692" s="185" t="str">
        <f t="shared" si="172"/>
        <v/>
      </c>
      <c r="U692" s="183" t="str">
        <f t="shared" si="184"/>
        <v/>
      </c>
      <c r="V692" s="186" t="str">
        <f t="shared" si="173"/>
        <v/>
      </c>
      <c r="W692" s="186" t="str">
        <f t="shared" si="174"/>
        <v/>
      </c>
      <c r="X692" s="187" t="str">
        <f t="shared" si="175"/>
        <v/>
      </c>
      <c r="Y692" s="182" t="str">
        <f t="shared" si="185"/>
        <v/>
      </c>
      <c r="Z692" s="209" t="str">
        <f t="shared" si="176"/>
        <v/>
      </c>
      <c r="AA692" s="209" t="str">
        <f t="shared" si="177"/>
        <v/>
      </c>
      <c r="AB692" s="200"/>
      <c r="AC692" s="192"/>
    </row>
    <row r="693" spans="1:29" ht="11.4">
      <c r="A693" s="211" t="str">
        <f t="shared" si="178"/>
        <v/>
      </c>
      <c r="B693" s="211"/>
      <c r="C693" s="215"/>
      <c r="D693" s="213" t="str">
        <f t="shared" si="179"/>
        <v/>
      </c>
      <c r="E693" s="213" t="str">
        <f t="shared" si="187"/>
        <v/>
      </c>
      <c r="F693" s="214" t="str">
        <f t="shared" si="180"/>
        <v/>
      </c>
      <c r="G693" s="180"/>
      <c r="H693" s="181" t="str">
        <f t="shared" si="181"/>
        <v/>
      </c>
      <c r="I693" s="227"/>
      <c r="J693" s="227"/>
      <c r="K693" s="227"/>
      <c r="L693" s="227"/>
      <c r="M693" s="210" t="str">
        <f t="shared" si="186"/>
        <v/>
      </c>
      <c r="N693" s="210"/>
      <c r="O693" s="207"/>
      <c r="P693" s="182" t="str">
        <f t="shared" si="171"/>
        <v/>
      </c>
      <c r="Q693" s="183" t="str">
        <f t="shared" si="182"/>
        <v/>
      </c>
      <c r="R693" s="182" t="str">
        <f>IF(M693&lt;&gt;"",IF(#REF!*F693*10=0,"",#REF!*F693*10),"")</f>
        <v/>
      </c>
      <c r="S693" s="184" t="str">
        <f t="shared" si="183"/>
        <v/>
      </c>
      <c r="T693" s="185" t="str">
        <f t="shared" si="172"/>
        <v/>
      </c>
      <c r="U693" s="183" t="str">
        <f t="shared" si="184"/>
        <v/>
      </c>
      <c r="V693" s="186" t="str">
        <f t="shared" si="173"/>
        <v/>
      </c>
      <c r="W693" s="186" t="str">
        <f t="shared" si="174"/>
        <v/>
      </c>
      <c r="X693" s="187" t="str">
        <f t="shared" si="175"/>
        <v/>
      </c>
      <c r="Y693" s="182" t="str">
        <f t="shared" si="185"/>
        <v/>
      </c>
      <c r="Z693" s="209" t="str">
        <f t="shared" si="176"/>
        <v/>
      </c>
      <c r="AA693" s="209" t="str">
        <f t="shared" si="177"/>
        <v/>
      </c>
      <c r="AB693" s="200"/>
      <c r="AC693" s="192"/>
    </row>
    <row r="694" spans="1:29" ht="11.4">
      <c r="A694" s="211" t="str">
        <f t="shared" si="178"/>
        <v/>
      </c>
      <c r="B694" s="211"/>
      <c r="C694" s="215"/>
      <c r="D694" s="213" t="str">
        <f t="shared" si="179"/>
        <v/>
      </c>
      <c r="E694" s="213" t="str">
        <f t="shared" si="187"/>
        <v/>
      </c>
      <c r="F694" s="214" t="str">
        <f t="shared" si="180"/>
        <v/>
      </c>
      <c r="G694" s="180"/>
      <c r="H694" s="181" t="str">
        <f t="shared" si="181"/>
        <v/>
      </c>
      <c r="I694" s="227"/>
      <c r="J694" s="227"/>
      <c r="K694" s="227"/>
      <c r="L694" s="227"/>
      <c r="M694" s="210" t="str">
        <f t="shared" si="186"/>
        <v/>
      </c>
      <c r="N694" s="210"/>
      <c r="O694" s="207"/>
      <c r="P694" s="182" t="str">
        <f t="shared" si="171"/>
        <v/>
      </c>
      <c r="Q694" s="183" t="str">
        <f t="shared" si="182"/>
        <v/>
      </c>
      <c r="R694" s="182" t="str">
        <f>IF(M694&lt;&gt;"",IF(#REF!*F694*10=0,"",#REF!*F694*10),"")</f>
        <v/>
      </c>
      <c r="S694" s="184" t="str">
        <f t="shared" si="183"/>
        <v/>
      </c>
      <c r="T694" s="185" t="str">
        <f t="shared" si="172"/>
        <v/>
      </c>
      <c r="U694" s="183" t="str">
        <f t="shared" si="184"/>
        <v/>
      </c>
      <c r="V694" s="186" t="str">
        <f t="shared" si="173"/>
        <v/>
      </c>
      <c r="W694" s="186" t="str">
        <f t="shared" si="174"/>
        <v/>
      </c>
      <c r="X694" s="187" t="str">
        <f t="shared" si="175"/>
        <v/>
      </c>
      <c r="Y694" s="182" t="str">
        <f t="shared" si="185"/>
        <v/>
      </c>
      <c r="Z694" s="209" t="str">
        <f t="shared" si="176"/>
        <v/>
      </c>
      <c r="AA694" s="209" t="str">
        <f t="shared" si="177"/>
        <v/>
      </c>
      <c r="AB694" s="200"/>
      <c r="AC694" s="192"/>
    </row>
    <row r="695" spans="1:29" ht="11.4">
      <c r="A695" s="211" t="str">
        <f t="shared" si="178"/>
        <v/>
      </c>
      <c r="B695" s="211"/>
      <c r="C695" s="215"/>
      <c r="D695" s="213" t="str">
        <f t="shared" si="179"/>
        <v/>
      </c>
      <c r="E695" s="213" t="str">
        <f t="shared" si="187"/>
        <v/>
      </c>
      <c r="F695" s="214" t="str">
        <f t="shared" si="180"/>
        <v/>
      </c>
      <c r="G695" s="180"/>
      <c r="H695" s="181" t="str">
        <f t="shared" si="181"/>
        <v/>
      </c>
      <c r="I695" s="227"/>
      <c r="J695" s="227"/>
      <c r="K695" s="227"/>
      <c r="L695" s="227"/>
      <c r="M695" s="210" t="str">
        <f t="shared" si="186"/>
        <v/>
      </c>
      <c r="N695" s="210"/>
      <c r="O695" s="207"/>
      <c r="P695" s="182" t="str">
        <f t="shared" si="171"/>
        <v/>
      </c>
      <c r="Q695" s="183" t="str">
        <f t="shared" si="182"/>
        <v/>
      </c>
      <c r="R695" s="182" t="str">
        <f>IF(M695&lt;&gt;"",IF(#REF!*F695*10=0,"",#REF!*F695*10),"")</f>
        <v/>
      </c>
      <c r="S695" s="184" t="str">
        <f t="shared" si="183"/>
        <v/>
      </c>
      <c r="T695" s="185" t="str">
        <f t="shared" si="172"/>
        <v/>
      </c>
      <c r="U695" s="183" t="str">
        <f t="shared" si="184"/>
        <v/>
      </c>
      <c r="V695" s="186" t="str">
        <f t="shared" si="173"/>
        <v/>
      </c>
      <c r="W695" s="186" t="str">
        <f t="shared" si="174"/>
        <v/>
      </c>
      <c r="X695" s="187" t="str">
        <f t="shared" si="175"/>
        <v/>
      </c>
      <c r="Y695" s="182" t="str">
        <f t="shared" si="185"/>
        <v/>
      </c>
      <c r="Z695" s="209" t="str">
        <f t="shared" si="176"/>
        <v/>
      </c>
      <c r="AA695" s="209" t="str">
        <f t="shared" si="177"/>
        <v/>
      </c>
      <c r="AB695" s="200"/>
      <c r="AC695" s="192"/>
    </row>
    <row r="696" spans="1:29" ht="11.4">
      <c r="A696" s="211" t="str">
        <f t="shared" si="178"/>
        <v/>
      </c>
      <c r="B696" s="211"/>
      <c r="C696" s="215"/>
      <c r="D696" s="213" t="str">
        <f t="shared" si="179"/>
        <v/>
      </c>
      <c r="E696" s="213" t="str">
        <f t="shared" si="187"/>
        <v/>
      </c>
      <c r="F696" s="214" t="str">
        <f t="shared" si="180"/>
        <v/>
      </c>
      <c r="G696" s="180"/>
      <c r="H696" s="181" t="str">
        <f t="shared" si="181"/>
        <v/>
      </c>
      <c r="I696" s="227"/>
      <c r="J696" s="227"/>
      <c r="K696" s="227"/>
      <c r="L696" s="227"/>
      <c r="M696" s="210" t="str">
        <f t="shared" si="186"/>
        <v/>
      </c>
      <c r="N696" s="210"/>
      <c r="O696" s="207"/>
      <c r="P696" s="182" t="str">
        <f t="shared" si="171"/>
        <v/>
      </c>
      <c r="Q696" s="183" t="str">
        <f t="shared" si="182"/>
        <v/>
      </c>
      <c r="R696" s="182" t="str">
        <f>IF(M696&lt;&gt;"",IF(#REF!*F696*10=0,"",#REF!*F696*10),"")</f>
        <v/>
      </c>
      <c r="S696" s="184" t="str">
        <f t="shared" si="183"/>
        <v/>
      </c>
      <c r="T696" s="185" t="str">
        <f t="shared" si="172"/>
        <v/>
      </c>
      <c r="U696" s="183" t="str">
        <f t="shared" si="184"/>
        <v/>
      </c>
      <c r="V696" s="186" t="str">
        <f t="shared" si="173"/>
        <v/>
      </c>
      <c r="W696" s="186" t="str">
        <f t="shared" si="174"/>
        <v/>
      </c>
      <c r="X696" s="187" t="str">
        <f t="shared" si="175"/>
        <v/>
      </c>
      <c r="Y696" s="182" t="str">
        <f t="shared" si="185"/>
        <v/>
      </c>
      <c r="Z696" s="209" t="str">
        <f t="shared" si="176"/>
        <v/>
      </c>
      <c r="AA696" s="209" t="str">
        <f t="shared" si="177"/>
        <v/>
      </c>
      <c r="AB696" s="200"/>
      <c r="AC696" s="192"/>
    </row>
    <row r="697" spans="1:29" ht="11.4">
      <c r="A697" s="211" t="str">
        <f t="shared" si="178"/>
        <v/>
      </c>
      <c r="B697" s="211"/>
      <c r="C697" s="215"/>
      <c r="D697" s="213" t="str">
        <f t="shared" si="179"/>
        <v/>
      </c>
      <c r="E697" s="213" t="str">
        <f t="shared" si="187"/>
        <v/>
      </c>
      <c r="F697" s="214" t="str">
        <f t="shared" si="180"/>
        <v/>
      </c>
      <c r="G697" s="180"/>
      <c r="H697" s="181" t="str">
        <f t="shared" si="181"/>
        <v/>
      </c>
      <c r="I697" s="227"/>
      <c r="J697" s="227"/>
      <c r="K697" s="227"/>
      <c r="L697" s="227"/>
      <c r="M697" s="210" t="str">
        <f t="shared" si="186"/>
        <v/>
      </c>
      <c r="N697" s="210"/>
      <c r="O697" s="207"/>
      <c r="P697" s="182" t="str">
        <f t="shared" si="171"/>
        <v/>
      </c>
      <c r="Q697" s="183" t="str">
        <f t="shared" si="182"/>
        <v/>
      </c>
      <c r="R697" s="182" t="str">
        <f>IF(M697&lt;&gt;"",IF(#REF!*F697*10=0,"",#REF!*F697*10),"")</f>
        <v/>
      </c>
      <c r="S697" s="184" t="str">
        <f t="shared" si="183"/>
        <v/>
      </c>
      <c r="T697" s="185" t="str">
        <f t="shared" si="172"/>
        <v/>
      </c>
      <c r="U697" s="183" t="str">
        <f t="shared" si="184"/>
        <v/>
      </c>
      <c r="V697" s="186" t="str">
        <f t="shared" si="173"/>
        <v/>
      </c>
      <c r="W697" s="186" t="str">
        <f t="shared" si="174"/>
        <v/>
      </c>
      <c r="X697" s="187" t="str">
        <f t="shared" si="175"/>
        <v/>
      </c>
      <c r="Y697" s="182" t="str">
        <f t="shared" si="185"/>
        <v/>
      </c>
      <c r="Z697" s="209" t="str">
        <f t="shared" si="176"/>
        <v/>
      </c>
      <c r="AA697" s="209" t="str">
        <f t="shared" si="177"/>
        <v/>
      </c>
      <c r="AB697" s="200"/>
      <c r="AC697" s="192"/>
    </row>
    <row r="698" spans="1:29" ht="11.4">
      <c r="A698" s="211" t="str">
        <f t="shared" si="178"/>
        <v/>
      </c>
      <c r="B698" s="211"/>
      <c r="C698" s="215"/>
      <c r="D698" s="213" t="str">
        <f t="shared" si="179"/>
        <v/>
      </c>
      <c r="E698" s="213" t="str">
        <f t="shared" si="187"/>
        <v/>
      </c>
      <c r="F698" s="214" t="str">
        <f t="shared" si="180"/>
        <v/>
      </c>
      <c r="G698" s="180"/>
      <c r="H698" s="181" t="str">
        <f t="shared" si="181"/>
        <v/>
      </c>
      <c r="I698" s="227"/>
      <c r="J698" s="227"/>
      <c r="K698" s="227"/>
      <c r="L698" s="227"/>
      <c r="M698" s="210" t="str">
        <f t="shared" si="186"/>
        <v/>
      </c>
      <c r="N698" s="210"/>
      <c r="O698" s="207"/>
      <c r="P698" s="182" t="str">
        <f t="shared" si="171"/>
        <v/>
      </c>
      <c r="Q698" s="183" t="str">
        <f t="shared" si="182"/>
        <v/>
      </c>
      <c r="R698" s="182" t="str">
        <f>IF(M698&lt;&gt;"",IF(#REF!*F698*10=0,"",#REF!*F698*10),"")</f>
        <v/>
      </c>
      <c r="S698" s="184" t="str">
        <f t="shared" si="183"/>
        <v/>
      </c>
      <c r="T698" s="185" t="str">
        <f t="shared" si="172"/>
        <v/>
      </c>
      <c r="U698" s="183" t="str">
        <f t="shared" si="184"/>
        <v/>
      </c>
      <c r="V698" s="186" t="str">
        <f t="shared" si="173"/>
        <v/>
      </c>
      <c r="W698" s="186" t="str">
        <f t="shared" si="174"/>
        <v/>
      </c>
      <c r="X698" s="187" t="str">
        <f t="shared" si="175"/>
        <v/>
      </c>
      <c r="Y698" s="182" t="str">
        <f t="shared" si="185"/>
        <v/>
      </c>
      <c r="Z698" s="209" t="str">
        <f t="shared" si="176"/>
        <v/>
      </c>
      <c r="AA698" s="209" t="str">
        <f t="shared" si="177"/>
        <v/>
      </c>
      <c r="AB698" s="200"/>
      <c r="AC698" s="192"/>
    </row>
    <row r="699" spans="1:29" ht="11.4">
      <c r="A699" s="211" t="str">
        <f t="shared" si="178"/>
        <v/>
      </c>
      <c r="B699" s="211"/>
      <c r="C699" s="215"/>
      <c r="D699" s="213" t="str">
        <f t="shared" si="179"/>
        <v/>
      </c>
      <c r="E699" s="213" t="str">
        <f t="shared" si="187"/>
        <v/>
      </c>
      <c r="F699" s="214" t="str">
        <f t="shared" si="180"/>
        <v/>
      </c>
      <c r="G699" s="180"/>
      <c r="H699" s="181" t="str">
        <f t="shared" si="181"/>
        <v/>
      </c>
      <c r="I699" s="227"/>
      <c r="J699" s="227"/>
      <c r="K699" s="227"/>
      <c r="L699" s="227"/>
      <c r="M699" s="210" t="str">
        <f t="shared" si="186"/>
        <v/>
      </c>
      <c r="N699" s="210"/>
      <c r="O699" s="207"/>
      <c r="P699" s="182" t="str">
        <f t="shared" si="171"/>
        <v/>
      </c>
      <c r="Q699" s="183" t="str">
        <f t="shared" si="182"/>
        <v/>
      </c>
      <c r="R699" s="182" t="str">
        <f>IF(M699&lt;&gt;"",IF(#REF!*F699*10=0,"",#REF!*F699*10),"")</f>
        <v/>
      </c>
      <c r="S699" s="184" t="str">
        <f t="shared" si="183"/>
        <v/>
      </c>
      <c r="T699" s="185" t="str">
        <f t="shared" si="172"/>
        <v/>
      </c>
      <c r="U699" s="183" t="str">
        <f t="shared" si="184"/>
        <v/>
      </c>
      <c r="V699" s="186" t="str">
        <f t="shared" si="173"/>
        <v/>
      </c>
      <c r="W699" s="186" t="str">
        <f t="shared" si="174"/>
        <v/>
      </c>
      <c r="X699" s="187" t="str">
        <f t="shared" si="175"/>
        <v/>
      </c>
      <c r="Y699" s="182" t="str">
        <f t="shared" si="185"/>
        <v/>
      </c>
      <c r="Z699" s="209" t="str">
        <f t="shared" si="176"/>
        <v/>
      </c>
      <c r="AA699" s="209" t="str">
        <f t="shared" si="177"/>
        <v/>
      </c>
      <c r="AB699" s="200"/>
      <c r="AC699" s="192"/>
    </row>
    <row r="700" spans="1:29" ht="11.4">
      <c r="A700" s="211" t="str">
        <f t="shared" si="178"/>
        <v/>
      </c>
      <c r="B700" s="211"/>
      <c r="C700" s="215"/>
      <c r="D700" s="213" t="str">
        <f t="shared" si="179"/>
        <v/>
      </c>
      <c r="E700" s="213" t="str">
        <f t="shared" si="187"/>
        <v/>
      </c>
      <c r="F700" s="214" t="str">
        <f t="shared" si="180"/>
        <v/>
      </c>
      <c r="G700" s="180"/>
      <c r="H700" s="181" t="str">
        <f t="shared" si="181"/>
        <v/>
      </c>
      <c r="I700" s="227"/>
      <c r="J700" s="227"/>
      <c r="K700" s="227"/>
      <c r="L700" s="227"/>
      <c r="M700" s="210" t="str">
        <f t="shared" si="186"/>
        <v/>
      </c>
      <c r="N700" s="210"/>
      <c r="O700" s="207"/>
      <c r="P700" s="182" t="str">
        <f t="shared" si="171"/>
        <v/>
      </c>
      <c r="Q700" s="183" t="str">
        <f t="shared" si="182"/>
        <v/>
      </c>
      <c r="R700" s="182" t="str">
        <f>IF(M700&lt;&gt;"",IF(#REF!*F700*10=0,"",#REF!*F700*10),"")</f>
        <v/>
      </c>
      <c r="S700" s="184" t="str">
        <f t="shared" si="183"/>
        <v/>
      </c>
      <c r="T700" s="185" t="str">
        <f t="shared" si="172"/>
        <v/>
      </c>
      <c r="U700" s="183" t="str">
        <f t="shared" si="184"/>
        <v/>
      </c>
      <c r="V700" s="186" t="str">
        <f t="shared" si="173"/>
        <v/>
      </c>
      <c r="W700" s="186" t="str">
        <f t="shared" si="174"/>
        <v/>
      </c>
      <c r="X700" s="187" t="str">
        <f t="shared" si="175"/>
        <v/>
      </c>
      <c r="Y700" s="182" t="str">
        <f t="shared" si="185"/>
        <v/>
      </c>
      <c r="Z700" s="209" t="str">
        <f t="shared" si="176"/>
        <v/>
      </c>
      <c r="AA700" s="209" t="str">
        <f t="shared" si="177"/>
        <v/>
      </c>
      <c r="AB700" s="200"/>
      <c r="AC700" s="192"/>
    </row>
    <row r="701" spans="1:29" ht="11.4">
      <c r="A701" s="211" t="str">
        <f t="shared" si="178"/>
        <v/>
      </c>
      <c r="B701" s="211"/>
      <c r="C701" s="215"/>
      <c r="D701" s="213" t="str">
        <f t="shared" si="179"/>
        <v/>
      </c>
      <c r="E701" s="213" t="str">
        <f t="shared" si="187"/>
        <v/>
      </c>
      <c r="F701" s="214" t="str">
        <f t="shared" si="180"/>
        <v/>
      </c>
      <c r="G701" s="180"/>
      <c r="H701" s="181" t="str">
        <f t="shared" si="181"/>
        <v/>
      </c>
      <c r="I701" s="227"/>
      <c r="J701" s="227"/>
      <c r="K701" s="227"/>
      <c r="L701" s="227"/>
      <c r="M701" s="210" t="str">
        <f t="shared" si="186"/>
        <v/>
      </c>
      <c r="N701" s="210"/>
      <c r="O701" s="207"/>
      <c r="P701" s="182" t="str">
        <f t="shared" si="171"/>
        <v/>
      </c>
      <c r="Q701" s="183" t="str">
        <f t="shared" si="182"/>
        <v/>
      </c>
      <c r="R701" s="182" t="str">
        <f>IF(M701&lt;&gt;"",IF(#REF!*F701*10=0,"",#REF!*F701*10),"")</f>
        <v/>
      </c>
      <c r="S701" s="184" t="str">
        <f t="shared" si="183"/>
        <v/>
      </c>
      <c r="T701" s="185" t="str">
        <f t="shared" si="172"/>
        <v/>
      </c>
      <c r="U701" s="183" t="str">
        <f t="shared" si="184"/>
        <v/>
      </c>
      <c r="V701" s="186" t="str">
        <f t="shared" si="173"/>
        <v/>
      </c>
      <c r="W701" s="186" t="str">
        <f t="shared" si="174"/>
        <v/>
      </c>
      <c r="X701" s="187" t="str">
        <f t="shared" si="175"/>
        <v/>
      </c>
      <c r="Y701" s="182" t="str">
        <f t="shared" si="185"/>
        <v/>
      </c>
      <c r="Z701" s="209" t="str">
        <f t="shared" si="176"/>
        <v/>
      </c>
      <c r="AA701" s="209" t="str">
        <f t="shared" si="177"/>
        <v/>
      </c>
      <c r="AB701" s="200"/>
      <c r="AC701" s="192"/>
    </row>
    <row r="702" spans="1:29" ht="11.4">
      <c r="A702" s="211" t="str">
        <f t="shared" si="178"/>
        <v/>
      </c>
      <c r="B702" s="211"/>
      <c r="C702" s="215"/>
      <c r="D702" s="213" t="str">
        <f t="shared" si="179"/>
        <v/>
      </c>
      <c r="E702" s="213" t="str">
        <f t="shared" si="187"/>
        <v/>
      </c>
      <c r="F702" s="214" t="str">
        <f t="shared" si="180"/>
        <v/>
      </c>
      <c r="G702" s="180"/>
      <c r="H702" s="181" t="str">
        <f t="shared" si="181"/>
        <v/>
      </c>
      <c r="I702" s="227"/>
      <c r="J702" s="227"/>
      <c r="K702" s="227"/>
      <c r="L702" s="227"/>
      <c r="M702" s="210" t="str">
        <f t="shared" si="186"/>
        <v/>
      </c>
      <c r="N702" s="210"/>
      <c r="O702" s="207"/>
      <c r="P702" s="182" t="str">
        <f t="shared" si="171"/>
        <v/>
      </c>
      <c r="Q702" s="183" t="str">
        <f t="shared" si="182"/>
        <v/>
      </c>
      <c r="R702" s="182" t="str">
        <f>IF(M702&lt;&gt;"",IF(#REF!*F702*10=0,"",#REF!*F702*10),"")</f>
        <v/>
      </c>
      <c r="S702" s="184" t="str">
        <f t="shared" si="183"/>
        <v/>
      </c>
      <c r="T702" s="185" t="str">
        <f t="shared" si="172"/>
        <v/>
      </c>
      <c r="U702" s="183" t="str">
        <f t="shared" si="184"/>
        <v/>
      </c>
      <c r="V702" s="186" t="str">
        <f t="shared" si="173"/>
        <v/>
      </c>
      <c r="W702" s="186" t="str">
        <f t="shared" si="174"/>
        <v/>
      </c>
      <c r="X702" s="187" t="str">
        <f t="shared" si="175"/>
        <v/>
      </c>
      <c r="Y702" s="182" t="str">
        <f t="shared" si="185"/>
        <v/>
      </c>
      <c r="Z702" s="209" t="str">
        <f t="shared" si="176"/>
        <v/>
      </c>
      <c r="AA702" s="209" t="str">
        <f t="shared" si="177"/>
        <v/>
      </c>
      <c r="AB702" s="200"/>
      <c r="AC702" s="192"/>
    </row>
    <row r="703" spans="1:29" ht="11.4">
      <c r="A703" s="211" t="str">
        <f t="shared" si="178"/>
        <v/>
      </c>
      <c r="B703" s="211"/>
      <c r="C703" s="215"/>
      <c r="D703" s="213" t="str">
        <f t="shared" si="179"/>
        <v/>
      </c>
      <c r="E703" s="213" t="str">
        <f t="shared" si="187"/>
        <v/>
      </c>
      <c r="F703" s="214" t="str">
        <f t="shared" si="180"/>
        <v/>
      </c>
      <c r="G703" s="180"/>
      <c r="H703" s="181" t="str">
        <f t="shared" si="181"/>
        <v/>
      </c>
      <c r="I703" s="227"/>
      <c r="J703" s="227"/>
      <c r="K703" s="227"/>
      <c r="L703" s="227"/>
      <c r="M703" s="210" t="str">
        <f t="shared" si="186"/>
        <v/>
      </c>
      <c r="N703" s="210"/>
      <c r="O703" s="207"/>
      <c r="P703" s="182" t="str">
        <f t="shared" si="171"/>
        <v/>
      </c>
      <c r="Q703" s="183" t="str">
        <f t="shared" si="182"/>
        <v/>
      </c>
      <c r="R703" s="182" t="str">
        <f>IF(M703&lt;&gt;"",IF(#REF!*F703*10=0,"",#REF!*F703*10),"")</f>
        <v/>
      </c>
      <c r="S703" s="184" t="str">
        <f t="shared" si="183"/>
        <v/>
      </c>
      <c r="T703" s="185" t="str">
        <f t="shared" si="172"/>
        <v/>
      </c>
      <c r="U703" s="183" t="str">
        <f t="shared" si="184"/>
        <v/>
      </c>
      <c r="V703" s="186" t="str">
        <f t="shared" si="173"/>
        <v/>
      </c>
      <c r="W703" s="186" t="str">
        <f t="shared" si="174"/>
        <v/>
      </c>
      <c r="X703" s="187" t="str">
        <f t="shared" si="175"/>
        <v/>
      </c>
      <c r="Y703" s="182" t="str">
        <f t="shared" si="185"/>
        <v/>
      </c>
      <c r="Z703" s="209" t="str">
        <f t="shared" si="176"/>
        <v/>
      </c>
      <c r="AA703" s="209" t="str">
        <f t="shared" si="177"/>
        <v/>
      </c>
      <c r="AB703" s="200"/>
      <c r="AC703" s="192"/>
    </row>
    <row r="704" spans="1:29" ht="11.4">
      <c r="A704" s="211" t="str">
        <f t="shared" si="178"/>
        <v/>
      </c>
      <c r="B704" s="211"/>
      <c r="C704" s="215"/>
      <c r="D704" s="213" t="str">
        <f t="shared" si="179"/>
        <v/>
      </c>
      <c r="E704" s="213" t="str">
        <f t="shared" si="187"/>
        <v/>
      </c>
      <c r="F704" s="214" t="str">
        <f t="shared" si="180"/>
        <v/>
      </c>
      <c r="G704" s="180"/>
      <c r="H704" s="181" t="str">
        <f t="shared" si="181"/>
        <v/>
      </c>
      <c r="I704" s="227"/>
      <c r="J704" s="227"/>
      <c r="K704" s="227"/>
      <c r="L704" s="227"/>
      <c r="M704" s="210" t="str">
        <f t="shared" si="186"/>
        <v/>
      </c>
      <c r="N704" s="210"/>
      <c r="O704" s="207"/>
      <c r="P704" s="182" t="str">
        <f t="shared" si="171"/>
        <v/>
      </c>
      <c r="Q704" s="183" t="str">
        <f t="shared" si="182"/>
        <v/>
      </c>
      <c r="R704" s="182" t="str">
        <f>IF(M704&lt;&gt;"",IF(#REF!*F704*10=0,"",#REF!*F704*10),"")</f>
        <v/>
      </c>
      <c r="S704" s="184" t="str">
        <f t="shared" si="183"/>
        <v/>
      </c>
      <c r="T704" s="185" t="str">
        <f t="shared" si="172"/>
        <v/>
      </c>
      <c r="U704" s="183" t="str">
        <f t="shared" si="184"/>
        <v/>
      </c>
      <c r="V704" s="186" t="str">
        <f t="shared" si="173"/>
        <v/>
      </c>
      <c r="W704" s="186" t="str">
        <f t="shared" si="174"/>
        <v/>
      </c>
      <c r="X704" s="187" t="str">
        <f t="shared" si="175"/>
        <v/>
      </c>
      <c r="Y704" s="182" t="str">
        <f t="shared" si="185"/>
        <v/>
      </c>
      <c r="Z704" s="209" t="str">
        <f t="shared" si="176"/>
        <v/>
      </c>
      <c r="AA704" s="209" t="str">
        <f t="shared" si="177"/>
        <v/>
      </c>
      <c r="AB704" s="200"/>
      <c r="AC704" s="192"/>
    </row>
    <row r="705" spans="1:29" ht="11.4">
      <c r="A705" s="211" t="str">
        <f t="shared" si="178"/>
        <v/>
      </c>
      <c r="B705" s="211"/>
      <c r="C705" s="215"/>
      <c r="D705" s="213" t="str">
        <f t="shared" si="179"/>
        <v/>
      </c>
      <c r="E705" s="213" t="str">
        <f t="shared" si="187"/>
        <v/>
      </c>
      <c r="F705" s="214" t="str">
        <f t="shared" si="180"/>
        <v/>
      </c>
      <c r="G705" s="180"/>
      <c r="H705" s="181" t="str">
        <f t="shared" si="181"/>
        <v/>
      </c>
      <c r="I705" s="227"/>
      <c r="J705" s="227"/>
      <c r="K705" s="227"/>
      <c r="L705" s="227"/>
      <c r="M705" s="210" t="str">
        <f t="shared" si="186"/>
        <v/>
      </c>
      <c r="N705" s="210"/>
      <c r="O705" s="207"/>
      <c r="P705" s="182" t="str">
        <f t="shared" si="171"/>
        <v/>
      </c>
      <c r="Q705" s="183" t="str">
        <f t="shared" si="182"/>
        <v/>
      </c>
      <c r="R705" s="182" t="str">
        <f>IF(M705&lt;&gt;"",IF(#REF!*F705*10=0,"",#REF!*F705*10),"")</f>
        <v/>
      </c>
      <c r="S705" s="184" t="str">
        <f t="shared" si="183"/>
        <v/>
      </c>
      <c r="T705" s="185" t="str">
        <f t="shared" si="172"/>
        <v/>
      </c>
      <c r="U705" s="183" t="str">
        <f t="shared" si="184"/>
        <v/>
      </c>
      <c r="V705" s="186" t="str">
        <f t="shared" si="173"/>
        <v/>
      </c>
      <c r="W705" s="186" t="str">
        <f t="shared" si="174"/>
        <v/>
      </c>
      <c r="X705" s="187" t="str">
        <f t="shared" si="175"/>
        <v/>
      </c>
      <c r="Y705" s="182" t="str">
        <f t="shared" si="185"/>
        <v/>
      </c>
      <c r="Z705" s="209" t="str">
        <f t="shared" si="176"/>
        <v/>
      </c>
      <c r="AA705" s="209" t="str">
        <f t="shared" si="177"/>
        <v/>
      </c>
      <c r="AB705" s="200"/>
      <c r="AC705" s="192"/>
    </row>
    <row r="706" spans="1:29" ht="11.4">
      <c r="A706" s="211" t="str">
        <f t="shared" si="178"/>
        <v/>
      </c>
      <c r="B706" s="211"/>
      <c r="C706" s="215"/>
      <c r="D706" s="213" t="str">
        <f t="shared" si="179"/>
        <v/>
      </c>
      <c r="E706" s="213" t="str">
        <f t="shared" si="187"/>
        <v/>
      </c>
      <c r="F706" s="214" t="str">
        <f t="shared" si="180"/>
        <v/>
      </c>
      <c r="G706" s="180"/>
      <c r="H706" s="181" t="str">
        <f t="shared" si="181"/>
        <v/>
      </c>
      <c r="I706" s="227"/>
      <c r="J706" s="227"/>
      <c r="K706" s="227"/>
      <c r="L706" s="227"/>
      <c r="M706" s="210" t="str">
        <f t="shared" si="186"/>
        <v/>
      </c>
      <c r="N706" s="210"/>
      <c r="O706" s="207"/>
      <c r="P706" s="182" t="str">
        <f t="shared" si="171"/>
        <v/>
      </c>
      <c r="Q706" s="183" t="str">
        <f t="shared" si="182"/>
        <v/>
      </c>
      <c r="R706" s="182" t="str">
        <f>IF(M706&lt;&gt;"",IF(#REF!*F706*10=0,"",#REF!*F706*10),"")</f>
        <v/>
      </c>
      <c r="S706" s="184" t="str">
        <f t="shared" si="183"/>
        <v/>
      </c>
      <c r="T706" s="185" t="str">
        <f t="shared" si="172"/>
        <v/>
      </c>
      <c r="U706" s="183" t="str">
        <f t="shared" si="184"/>
        <v/>
      </c>
      <c r="V706" s="186" t="str">
        <f t="shared" si="173"/>
        <v/>
      </c>
      <c r="W706" s="186" t="str">
        <f t="shared" si="174"/>
        <v/>
      </c>
      <c r="X706" s="187" t="str">
        <f t="shared" si="175"/>
        <v/>
      </c>
      <c r="Y706" s="182" t="str">
        <f t="shared" si="185"/>
        <v/>
      </c>
      <c r="Z706" s="209" t="str">
        <f t="shared" si="176"/>
        <v/>
      </c>
      <c r="AA706" s="209" t="str">
        <f t="shared" si="177"/>
        <v/>
      </c>
      <c r="AB706" s="200"/>
      <c r="AC706" s="192"/>
    </row>
    <row r="707" spans="1:29" ht="11.4">
      <c r="A707" s="211" t="str">
        <f t="shared" si="178"/>
        <v/>
      </c>
      <c r="B707" s="211"/>
      <c r="C707" s="215"/>
      <c r="D707" s="213" t="str">
        <f t="shared" si="179"/>
        <v/>
      </c>
      <c r="E707" s="213" t="str">
        <f t="shared" si="187"/>
        <v/>
      </c>
      <c r="F707" s="214" t="str">
        <f t="shared" si="180"/>
        <v/>
      </c>
      <c r="G707" s="180"/>
      <c r="H707" s="181" t="str">
        <f t="shared" si="181"/>
        <v/>
      </c>
      <c r="I707" s="227"/>
      <c r="J707" s="227"/>
      <c r="K707" s="227"/>
      <c r="L707" s="227"/>
      <c r="M707" s="210" t="str">
        <f t="shared" si="186"/>
        <v/>
      </c>
      <c r="N707" s="210"/>
      <c r="O707" s="207"/>
      <c r="P707" s="182" t="str">
        <f t="shared" si="171"/>
        <v/>
      </c>
      <c r="Q707" s="183" t="str">
        <f t="shared" si="182"/>
        <v/>
      </c>
      <c r="R707" s="182" t="str">
        <f>IF(M707&lt;&gt;"",IF(#REF!*F707*10=0,"",#REF!*F707*10),"")</f>
        <v/>
      </c>
      <c r="S707" s="184" t="str">
        <f t="shared" si="183"/>
        <v/>
      </c>
      <c r="T707" s="185" t="str">
        <f t="shared" si="172"/>
        <v/>
      </c>
      <c r="U707" s="183" t="str">
        <f t="shared" si="184"/>
        <v/>
      </c>
      <c r="V707" s="186" t="str">
        <f t="shared" si="173"/>
        <v/>
      </c>
      <c r="W707" s="186" t="str">
        <f t="shared" si="174"/>
        <v/>
      </c>
      <c r="X707" s="187" t="str">
        <f t="shared" si="175"/>
        <v/>
      </c>
      <c r="Y707" s="182" t="str">
        <f t="shared" si="185"/>
        <v/>
      </c>
      <c r="Z707" s="209" t="str">
        <f t="shared" si="176"/>
        <v/>
      </c>
      <c r="AA707" s="209" t="str">
        <f t="shared" si="177"/>
        <v/>
      </c>
      <c r="AB707" s="200"/>
      <c r="AC707" s="192"/>
    </row>
    <row r="708" spans="1:29" ht="11.4">
      <c r="A708" s="211" t="str">
        <f t="shared" si="178"/>
        <v/>
      </c>
      <c r="B708" s="211"/>
      <c r="C708" s="215"/>
      <c r="D708" s="213" t="str">
        <f t="shared" si="179"/>
        <v/>
      </c>
      <c r="E708" s="213" t="str">
        <f t="shared" si="187"/>
        <v/>
      </c>
      <c r="F708" s="214" t="str">
        <f t="shared" si="180"/>
        <v/>
      </c>
      <c r="G708" s="180"/>
      <c r="H708" s="181" t="str">
        <f t="shared" si="181"/>
        <v/>
      </c>
      <c r="I708" s="227"/>
      <c r="J708" s="227"/>
      <c r="K708" s="227"/>
      <c r="L708" s="227"/>
      <c r="M708" s="210" t="str">
        <f t="shared" si="186"/>
        <v/>
      </c>
      <c r="N708" s="210"/>
      <c r="O708" s="207"/>
      <c r="P708" s="182" t="str">
        <f t="shared" si="171"/>
        <v/>
      </c>
      <c r="Q708" s="183" t="str">
        <f t="shared" si="182"/>
        <v/>
      </c>
      <c r="R708" s="182" t="str">
        <f>IF(M708&lt;&gt;"",IF(#REF!*F708*10=0,"",#REF!*F708*10),"")</f>
        <v/>
      </c>
      <c r="S708" s="184" t="str">
        <f t="shared" si="183"/>
        <v/>
      </c>
      <c r="T708" s="185" t="str">
        <f t="shared" si="172"/>
        <v/>
      </c>
      <c r="U708" s="183" t="str">
        <f t="shared" si="184"/>
        <v/>
      </c>
      <c r="V708" s="186" t="str">
        <f t="shared" si="173"/>
        <v/>
      </c>
      <c r="W708" s="186" t="str">
        <f t="shared" si="174"/>
        <v/>
      </c>
      <c r="X708" s="187" t="str">
        <f t="shared" si="175"/>
        <v/>
      </c>
      <c r="Y708" s="182" t="str">
        <f t="shared" si="185"/>
        <v/>
      </c>
      <c r="Z708" s="209" t="str">
        <f t="shared" si="176"/>
        <v/>
      </c>
      <c r="AA708" s="209" t="str">
        <f t="shared" si="177"/>
        <v/>
      </c>
      <c r="AB708" s="200"/>
      <c r="AC708" s="192"/>
    </row>
    <row r="709" spans="1:29" ht="11.4">
      <c r="A709" s="211" t="str">
        <f t="shared" si="178"/>
        <v/>
      </c>
      <c r="B709" s="211"/>
      <c r="C709" s="215"/>
      <c r="D709" s="213" t="str">
        <f t="shared" si="179"/>
        <v/>
      </c>
      <c r="E709" s="213" t="str">
        <f t="shared" si="187"/>
        <v/>
      </c>
      <c r="F709" s="214" t="str">
        <f t="shared" si="180"/>
        <v/>
      </c>
      <c r="G709" s="180"/>
      <c r="H709" s="181" t="str">
        <f t="shared" si="181"/>
        <v/>
      </c>
      <c r="I709" s="227"/>
      <c r="J709" s="227"/>
      <c r="K709" s="227"/>
      <c r="L709" s="227"/>
      <c r="M709" s="210" t="str">
        <f t="shared" si="186"/>
        <v/>
      </c>
      <c r="N709" s="210"/>
      <c r="O709" s="207"/>
      <c r="P709" s="182" t="str">
        <f t="shared" si="171"/>
        <v/>
      </c>
      <c r="Q709" s="183" t="str">
        <f t="shared" si="182"/>
        <v/>
      </c>
      <c r="R709" s="182" t="str">
        <f>IF(M709&lt;&gt;"",IF(#REF!*F709*10=0,"",#REF!*F709*10),"")</f>
        <v/>
      </c>
      <c r="S709" s="184" t="str">
        <f t="shared" si="183"/>
        <v/>
      </c>
      <c r="T709" s="185" t="str">
        <f t="shared" si="172"/>
        <v/>
      </c>
      <c r="U709" s="183" t="str">
        <f t="shared" si="184"/>
        <v/>
      </c>
      <c r="V709" s="186" t="str">
        <f t="shared" si="173"/>
        <v/>
      </c>
      <c r="W709" s="186" t="str">
        <f t="shared" si="174"/>
        <v/>
      </c>
      <c r="X709" s="187" t="str">
        <f t="shared" si="175"/>
        <v/>
      </c>
      <c r="Y709" s="182" t="str">
        <f t="shared" si="185"/>
        <v/>
      </c>
      <c r="Z709" s="209" t="str">
        <f t="shared" si="176"/>
        <v/>
      </c>
      <c r="AA709" s="209" t="str">
        <f t="shared" si="177"/>
        <v/>
      </c>
      <c r="AB709" s="200"/>
      <c r="AC709" s="192"/>
    </row>
    <row r="710" spans="1:29" ht="11.4">
      <c r="A710" s="211" t="str">
        <f t="shared" si="178"/>
        <v/>
      </c>
      <c r="B710" s="211"/>
      <c r="C710" s="215"/>
      <c r="D710" s="213" t="str">
        <f t="shared" si="179"/>
        <v/>
      </c>
      <c r="E710" s="213" t="str">
        <f t="shared" si="187"/>
        <v/>
      </c>
      <c r="F710" s="214" t="str">
        <f t="shared" si="180"/>
        <v/>
      </c>
      <c r="G710" s="180"/>
      <c r="H710" s="181" t="str">
        <f t="shared" si="181"/>
        <v/>
      </c>
      <c r="I710" s="227"/>
      <c r="J710" s="227"/>
      <c r="K710" s="227"/>
      <c r="L710" s="227"/>
      <c r="M710" s="210" t="str">
        <f t="shared" si="186"/>
        <v/>
      </c>
      <c r="N710" s="210"/>
      <c r="O710" s="207"/>
      <c r="P710" s="182" t="str">
        <f t="shared" si="171"/>
        <v/>
      </c>
      <c r="Q710" s="183" t="str">
        <f t="shared" si="182"/>
        <v/>
      </c>
      <c r="R710" s="182" t="str">
        <f>IF(M710&lt;&gt;"",IF(#REF!*F710*10=0,"",#REF!*F710*10),"")</f>
        <v/>
      </c>
      <c r="S710" s="184" t="str">
        <f t="shared" si="183"/>
        <v/>
      </c>
      <c r="T710" s="185" t="str">
        <f t="shared" si="172"/>
        <v/>
      </c>
      <c r="U710" s="183" t="str">
        <f t="shared" si="184"/>
        <v/>
      </c>
      <c r="V710" s="186" t="str">
        <f t="shared" si="173"/>
        <v/>
      </c>
      <c r="W710" s="186" t="str">
        <f t="shared" si="174"/>
        <v/>
      </c>
      <c r="X710" s="187" t="str">
        <f t="shared" si="175"/>
        <v/>
      </c>
      <c r="Y710" s="182" t="str">
        <f t="shared" si="185"/>
        <v/>
      </c>
      <c r="Z710" s="209" t="str">
        <f t="shared" si="176"/>
        <v/>
      </c>
      <c r="AA710" s="209" t="str">
        <f t="shared" si="177"/>
        <v/>
      </c>
      <c r="AB710" s="200"/>
      <c r="AC710" s="192"/>
    </row>
    <row r="711" spans="1:29" ht="11.4">
      <c r="A711" s="211" t="str">
        <f t="shared" si="178"/>
        <v/>
      </c>
      <c r="B711" s="211"/>
      <c r="C711" s="215"/>
      <c r="D711" s="213" t="str">
        <f t="shared" si="179"/>
        <v/>
      </c>
      <c r="E711" s="213" t="str">
        <f t="shared" si="187"/>
        <v/>
      </c>
      <c r="F711" s="214" t="str">
        <f t="shared" si="180"/>
        <v/>
      </c>
      <c r="G711" s="180"/>
      <c r="H711" s="181" t="str">
        <f t="shared" si="181"/>
        <v/>
      </c>
      <c r="I711" s="227"/>
      <c r="J711" s="227"/>
      <c r="K711" s="227"/>
      <c r="L711" s="227"/>
      <c r="M711" s="210" t="str">
        <f t="shared" si="186"/>
        <v/>
      </c>
      <c r="N711" s="210"/>
      <c r="O711" s="207"/>
      <c r="P711" s="182" t="str">
        <f t="shared" si="171"/>
        <v/>
      </c>
      <c r="Q711" s="183" t="str">
        <f t="shared" si="182"/>
        <v/>
      </c>
      <c r="R711" s="182" t="str">
        <f>IF(M711&lt;&gt;"",IF(#REF!*F711*10=0,"",#REF!*F711*10),"")</f>
        <v/>
      </c>
      <c r="S711" s="184" t="str">
        <f t="shared" si="183"/>
        <v/>
      </c>
      <c r="T711" s="185" t="str">
        <f t="shared" si="172"/>
        <v/>
      </c>
      <c r="U711" s="183" t="str">
        <f t="shared" si="184"/>
        <v/>
      </c>
      <c r="V711" s="186" t="str">
        <f t="shared" si="173"/>
        <v/>
      </c>
      <c r="W711" s="186" t="str">
        <f t="shared" si="174"/>
        <v/>
      </c>
      <c r="X711" s="187" t="str">
        <f t="shared" si="175"/>
        <v/>
      </c>
      <c r="Y711" s="182" t="str">
        <f t="shared" si="185"/>
        <v/>
      </c>
      <c r="Z711" s="209" t="str">
        <f t="shared" si="176"/>
        <v/>
      </c>
      <c r="AA711" s="209" t="str">
        <f t="shared" si="177"/>
        <v/>
      </c>
      <c r="AB711" s="200"/>
      <c r="AC711" s="192"/>
    </row>
    <row r="712" spans="1:29" ht="11.4">
      <c r="A712" s="211" t="str">
        <f t="shared" si="178"/>
        <v/>
      </c>
      <c r="B712" s="211"/>
      <c r="C712" s="215"/>
      <c r="D712" s="213" t="str">
        <f t="shared" si="179"/>
        <v/>
      </c>
      <c r="E712" s="213" t="str">
        <f t="shared" si="187"/>
        <v/>
      </c>
      <c r="F712" s="214" t="str">
        <f t="shared" si="180"/>
        <v/>
      </c>
      <c r="G712" s="180"/>
      <c r="H712" s="181" t="str">
        <f t="shared" si="181"/>
        <v/>
      </c>
      <c r="I712" s="227"/>
      <c r="J712" s="227"/>
      <c r="K712" s="227"/>
      <c r="L712" s="227"/>
      <c r="M712" s="210" t="str">
        <f t="shared" si="186"/>
        <v/>
      </c>
      <c r="N712" s="210"/>
      <c r="O712" s="207"/>
      <c r="P712" s="182" t="str">
        <f t="shared" si="171"/>
        <v/>
      </c>
      <c r="Q712" s="183" t="str">
        <f t="shared" si="182"/>
        <v/>
      </c>
      <c r="R712" s="182" t="str">
        <f>IF(M712&lt;&gt;"",IF(#REF!*F712*10=0,"",#REF!*F712*10),"")</f>
        <v/>
      </c>
      <c r="S712" s="184" t="str">
        <f t="shared" si="183"/>
        <v/>
      </c>
      <c r="T712" s="185" t="str">
        <f t="shared" si="172"/>
        <v/>
      </c>
      <c r="U712" s="183" t="str">
        <f t="shared" si="184"/>
        <v/>
      </c>
      <c r="V712" s="186" t="str">
        <f t="shared" si="173"/>
        <v/>
      </c>
      <c r="W712" s="186" t="str">
        <f t="shared" si="174"/>
        <v/>
      </c>
      <c r="X712" s="187" t="str">
        <f t="shared" si="175"/>
        <v/>
      </c>
      <c r="Y712" s="182" t="str">
        <f t="shared" si="185"/>
        <v/>
      </c>
      <c r="Z712" s="209" t="str">
        <f t="shared" si="176"/>
        <v/>
      </c>
      <c r="AA712" s="209" t="str">
        <f t="shared" si="177"/>
        <v/>
      </c>
      <c r="AB712" s="200"/>
      <c r="AC712" s="192"/>
    </row>
    <row r="713" spans="1:29" ht="11.4">
      <c r="A713" s="211" t="str">
        <f t="shared" si="178"/>
        <v/>
      </c>
      <c r="B713" s="211"/>
      <c r="C713" s="215"/>
      <c r="D713" s="213" t="str">
        <f t="shared" si="179"/>
        <v/>
      </c>
      <c r="E713" s="213" t="str">
        <f t="shared" si="187"/>
        <v/>
      </c>
      <c r="F713" s="214" t="str">
        <f t="shared" si="180"/>
        <v/>
      </c>
      <c r="G713" s="180"/>
      <c r="H713" s="181" t="str">
        <f t="shared" si="181"/>
        <v/>
      </c>
      <c r="I713" s="227"/>
      <c r="J713" s="227"/>
      <c r="K713" s="227"/>
      <c r="L713" s="227"/>
      <c r="M713" s="210" t="str">
        <f t="shared" si="186"/>
        <v/>
      </c>
      <c r="N713" s="210"/>
      <c r="O713" s="207"/>
      <c r="P713" s="182" t="str">
        <f t="shared" si="171"/>
        <v/>
      </c>
      <c r="Q713" s="183" t="str">
        <f t="shared" si="182"/>
        <v/>
      </c>
      <c r="R713" s="182" t="str">
        <f>IF(M713&lt;&gt;"",IF(#REF!*F713*10=0,"",#REF!*F713*10),"")</f>
        <v/>
      </c>
      <c r="S713" s="184" t="str">
        <f t="shared" si="183"/>
        <v/>
      </c>
      <c r="T713" s="185" t="str">
        <f t="shared" si="172"/>
        <v/>
      </c>
      <c r="U713" s="183" t="str">
        <f t="shared" si="184"/>
        <v/>
      </c>
      <c r="V713" s="186" t="str">
        <f t="shared" si="173"/>
        <v/>
      </c>
      <c r="W713" s="186" t="str">
        <f t="shared" si="174"/>
        <v/>
      </c>
      <c r="X713" s="187" t="str">
        <f t="shared" si="175"/>
        <v/>
      </c>
      <c r="Y713" s="182" t="str">
        <f t="shared" si="185"/>
        <v/>
      </c>
      <c r="Z713" s="209" t="str">
        <f t="shared" si="176"/>
        <v/>
      </c>
      <c r="AA713" s="209" t="str">
        <f t="shared" si="177"/>
        <v/>
      </c>
      <c r="AB713" s="200"/>
      <c r="AC713" s="192"/>
    </row>
    <row r="714" spans="1:29" ht="11.4">
      <c r="A714" s="211" t="str">
        <f t="shared" si="178"/>
        <v/>
      </c>
      <c r="B714" s="211"/>
      <c r="C714" s="215"/>
      <c r="D714" s="213" t="str">
        <f t="shared" si="179"/>
        <v/>
      </c>
      <c r="E714" s="213" t="str">
        <f t="shared" si="187"/>
        <v/>
      </c>
      <c r="F714" s="214" t="str">
        <f t="shared" si="180"/>
        <v/>
      </c>
      <c r="G714" s="180"/>
      <c r="H714" s="181" t="str">
        <f t="shared" si="181"/>
        <v/>
      </c>
      <c r="I714" s="227"/>
      <c r="J714" s="227"/>
      <c r="K714" s="227"/>
      <c r="L714" s="227"/>
      <c r="M714" s="210" t="str">
        <f t="shared" si="186"/>
        <v/>
      </c>
      <c r="N714" s="210"/>
      <c r="O714" s="207"/>
      <c r="P714" s="182" t="str">
        <f t="shared" si="171"/>
        <v/>
      </c>
      <c r="Q714" s="183" t="str">
        <f t="shared" si="182"/>
        <v/>
      </c>
      <c r="R714" s="182" t="str">
        <f>IF(M714&lt;&gt;"",IF(#REF!*F714*10=0,"",#REF!*F714*10),"")</f>
        <v/>
      </c>
      <c r="S714" s="184" t="str">
        <f t="shared" si="183"/>
        <v/>
      </c>
      <c r="T714" s="185" t="str">
        <f t="shared" si="172"/>
        <v/>
      </c>
      <c r="U714" s="183" t="str">
        <f t="shared" si="184"/>
        <v/>
      </c>
      <c r="V714" s="186" t="str">
        <f t="shared" si="173"/>
        <v/>
      </c>
      <c r="W714" s="186" t="str">
        <f t="shared" si="174"/>
        <v/>
      </c>
      <c r="X714" s="187" t="str">
        <f t="shared" si="175"/>
        <v/>
      </c>
      <c r="Y714" s="182" t="str">
        <f t="shared" si="185"/>
        <v/>
      </c>
      <c r="Z714" s="209" t="str">
        <f t="shared" si="176"/>
        <v/>
      </c>
      <c r="AA714" s="209" t="str">
        <f t="shared" si="177"/>
        <v/>
      </c>
      <c r="AB714" s="200"/>
      <c r="AC714" s="192"/>
    </row>
    <row r="715" spans="1:29" ht="11.4">
      <c r="A715" s="211" t="str">
        <f t="shared" si="178"/>
        <v/>
      </c>
      <c r="B715" s="211"/>
      <c r="C715" s="215"/>
      <c r="D715" s="213" t="str">
        <f t="shared" si="179"/>
        <v/>
      </c>
      <c r="E715" s="213" t="str">
        <f t="shared" si="187"/>
        <v/>
      </c>
      <c r="F715" s="214" t="str">
        <f t="shared" si="180"/>
        <v/>
      </c>
      <c r="G715" s="180"/>
      <c r="H715" s="181" t="str">
        <f t="shared" si="181"/>
        <v/>
      </c>
      <c r="I715" s="227"/>
      <c r="J715" s="227"/>
      <c r="K715" s="227"/>
      <c r="L715" s="227"/>
      <c r="M715" s="210" t="str">
        <f t="shared" si="186"/>
        <v/>
      </c>
      <c r="N715" s="210"/>
      <c r="O715" s="207"/>
      <c r="P715" s="182" t="str">
        <f t="shared" si="171"/>
        <v/>
      </c>
      <c r="Q715" s="183" t="str">
        <f t="shared" si="182"/>
        <v/>
      </c>
      <c r="R715" s="182" t="str">
        <f>IF(M715&lt;&gt;"",IF(#REF!*F715*10=0,"",#REF!*F715*10),"")</f>
        <v/>
      </c>
      <c r="S715" s="184" t="str">
        <f t="shared" si="183"/>
        <v/>
      </c>
      <c r="T715" s="185" t="str">
        <f t="shared" si="172"/>
        <v/>
      </c>
      <c r="U715" s="183" t="str">
        <f t="shared" si="184"/>
        <v/>
      </c>
      <c r="V715" s="186" t="str">
        <f t="shared" si="173"/>
        <v/>
      </c>
      <c r="W715" s="186" t="str">
        <f t="shared" si="174"/>
        <v/>
      </c>
      <c r="X715" s="187" t="str">
        <f t="shared" si="175"/>
        <v/>
      </c>
      <c r="Y715" s="182" t="str">
        <f t="shared" si="185"/>
        <v/>
      </c>
      <c r="Z715" s="209" t="str">
        <f t="shared" si="176"/>
        <v/>
      </c>
      <c r="AA715" s="209" t="str">
        <f t="shared" si="177"/>
        <v/>
      </c>
      <c r="AB715" s="200"/>
      <c r="AC715" s="192"/>
    </row>
    <row r="716" spans="1:29" ht="11.4">
      <c r="A716" s="211" t="str">
        <f t="shared" si="178"/>
        <v/>
      </c>
      <c r="B716" s="211"/>
      <c r="C716" s="215"/>
      <c r="D716" s="213" t="str">
        <f t="shared" si="179"/>
        <v/>
      </c>
      <c r="E716" s="213" t="str">
        <f t="shared" si="187"/>
        <v/>
      </c>
      <c r="F716" s="214" t="str">
        <f t="shared" si="180"/>
        <v/>
      </c>
      <c r="G716" s="180"/>
      <c r="H716" s="181" t="str">
        <f t="shared" si="181"/>
        <v/>
      </c>
      <c r="I716" s="227"/>
      <c r="J716" s="227"/>
      <c r="K716" s="227"/>
      <c r="L716" s="227"/>
      <c r="M716" s="210" t="str">
        <f t="shared" si="186"/>
        <v/>
      </c>
      <c r="N716" s="210"/>
      <c r="O716" s="207"/>
      <c r="P716" s="182" t="str">
        <f t="shared" ref="P716:P779" si="188">IF(M716="","",IF(L716*F716*$D$3=0,0,L716*F716*$D$3))</f>
        <v/>
      </c>
      <c r="Q716" s="183" t="str">
        <f t="shared" si="182"/>
        <v/>
      </c>
      <c r="R716" s="182" t="str">
        <f>IF(M716&lt;&gt;"",IF(#REF!*F716*10=0,"",#REF!*F716*10),"")</f>
        <v/>
      </c>
      <c r="S716" s="184" t="str">
        <f t="shared" si="183"/>
        <v/>
      </c>
      <c r="T716" s="185" t="str">
        <f t="shared" ref="T716:T779" si="189">IF(X716="","",X716*F716*$D$3)</f>
        <v/>
      </c>
      <c r="U716" s="183" t="str">
        <f t="shared" si="184"/>
        <v/>
      </c>
      <c r="V716" s="186" t="str">
        <f t="shared" ref="V716:V779" si="190">IF(M716="","",IF(AND(M716&gt;I716,H716="L"),1, IF(AND(I716&gt;M716,H716="S"),1,0)))</f>
        <v/>
      </c>
      <c r="W716" s="186" t="str">
        <f t="shared" ref="W716:W779" si="191">IF(M716="","",IF(AND(M716&lt;I716,H716="L"),1, IF(AND(I716&lt;M716,H716="S"),1,0)))</f>
        <v/>
      </c>
      <c r="X716" s="187" t="str">
        <f t="shared" ref="X716:X779" si="192">IF((M716=""),"",IF(H716="Buy",1,-1)*(M716-I716)*IF(LEN(RIGHT(I716,LEN(I716)-FIND(".",I716)))&gt;3,10000,100))</f>
        <v/>
      </c>
      <c r="Y716" s="182" t="str">
        <f t="shared" si="185"/>
        <v/>
      </c>
      <c r="Z716" s="209" t="str">
        <f t="shared" ref="Z716:Z779" si="193">IF(C716="","",MONTH(LEFT(C716,8)))</f>
        <v/>
      </c>
      <c r="AA716" s="209" t="str">
        <f t="shared" ref="AA716:AA779" si="194">IF(C716="","",YEAR(LEFT(C716,8)))</f>
        <v/>
      </c>
      <c r="AB716" s="200"/>
      <c r="AC716" s="192"/>
    </row>
    <row r="717" spans="1:29" ht="11.4">
      <c r="A717" s="211" t="str">
        <f t="shared" ref="A717:A780" si="195">IF(D717="","",1)</f>
        <v/>
      </c>
      <c r="B717" s="211"/>
      <c r="C717" s="215"/>
      <c r="D717" s="213" t="str">
        <f t="shared" ref="D717:D780" si="196">IF(G717="","","SUGAR")</f>
        <v/>
      </c>
      <c r="E717" s="213" t="str">
        <f t="shared" si="187"/>
        <v/>
      </c>
      <c r="F717" s="214" t="str">
        <f t="shared" ref="F717:F780" si="197">IF(G717="","",0.01)</f>
        <v/>
      </c>
      <c r="G717" s="180"/>
      <c r="H717" s="181" t="str">
        <f t="shared" ref="H717:H780" si="198">IF(G717="","",IF(OR(G717="第二类买点",G717="第三类买点"),"Buy","Sell"))</f>
        <v/>
      </c>
      <c r="I717" s="227"/>
      <c r="J717" s="227"/>
      <c r="K717" s="227"/>
      <c r="L717" s="227"/>
      <c r="M717" s="210" t="str">
        <f t="shared" si="186"/>
        <v/>
      </c>
      <c r="N717" s="210"/>
      <c r="O717" s="207"/>
      <c r="P717" s="182" t="str">
        <f t="shared" si="188"/>
        <v/>
      </c>
      <c r="Q717" s="183" t="str">
        <f t="shared" ref="Q717:Q780" si="199">IF(P717="","",IF(P717=0,0,P717/$I$4))</f>
        <v/>
      </c>
      <c r="R717" s="182" t="str">
        <f>IF(M717&lt;&gt;"",IF(#REF!*F717*10=0,"",#REF!*F717*10),"")</f>
        <v/>
      </c>
      <c r="S717" s="184" t="str">
        <f t="shared" ref="S717:S780" si="200">IF(P717="","",IF(P717=0,0,R717/P717))</f>
        <v/>
      </c>
      <c r="T717" s="185" t="str">
        <f t="shared" si="189"/>
        <v/>
      </c>
      <c r="U717" s="183" t="str">
        <f t="shared" ref="U717:U780" si="201">IF(T717="","",IF($I$4="","",T717/$I$4))</f>
        <v/>
      </c>
      <c r="V717" s="186" t="str">
        <f t="shared" si="190"/>
        <v/>
      </c>
      <c r="W717" s="186" t="str">
        <f t="shared" si="191"/>
        <v/>
      </c>
      <c r="X717" s="187" t="str">
        <f t="shared" si="192"/>
        <v/>
      </c>
      <c r="Y717" s="182" t="str">
        <f t="shared" si="185"/>
        <v/>
      </c>
      <c r="Z717" s="209" t="str">
        <f t="shared" si="193"/>
        <v/>
      </c>
      <c r="AA717" s="209" t="str">
        <f t="shared" si="194"/>
        <v/>
      </c>
      <c r="AB717" s="200"/>
      <c r="AC717" s="192"/>
    </row>
    <row r="718" spans="1:29" ht="11.4">
      <c r="A718" s="211" t="str">
        <f t="shared" si="195"/>
        <v/>
      </c>
      <c r="B718" s="211"/>
      <c r="C718" s="215"/>
      <c r="D718" s="213" t="str">
        <f t="shared" si="196"/>
        <v/>
      </c>
      <c r="E718" s="213" t="str">
        <f t="shared" si="187"/>
        <v/>
      </c>
      <c r="F718" s="214" t="str">
        <f t="shared" si="197"/>
        <v/>
      </c>
      <c r="G718" s="180"/>
      <c r="H718" s="181" t="str">
        <f t="shared" si="198"/>
        <v/>
      </c>
      <c r="I718" s="227"/>
      <c r="J718" s="227"/>
      <c r="K718" s="227"/>
      <c r="L718" s="227"/>
      <c r="M718" s="210" t="str">
        <f t="shared" si="186"/>
        <v/>
      </c>
      <c r="N718" s="210"/>
      <c r="O718" s="207"/>
      <c r="P718" s="182" t="str">
        <f t="shared" si="188"/>
        <v/>
      </c>
      <c r="Q718" s="183" t="str">
        <f t="shared" si="199"/>
        <v/>
      </c>
      <c r="R718" s="182" t="str">
        <f>IF(M718&lt;&gt;"",IF(#REF!*F718*10=0,"",#REF!*F718*10),"")</f>
        <v/>
      </c>
      <c r="S718" s="184" t="str">
        <f t="shared" si="200"/>
        <v/>
      </c>
      <c r="T718" s="185" t="str">
        <f t="shared" si="189"/>
        <v/>
      </c>
      <c r="U718" s="183" t="str">
        <f t="shared" si="201"/>
        <v/>
      </c>
      <c r="V718" s="186" t="str">
        <f t="shared" si="190"/>
        <v/>
      </c>
      <c r="W718" s="186" t="str">
        <f t="shared" si="191"/>
        <v/>
      </c>
      <c r="X718" s="187" t="str">
        <f t="shared" si="192"/>
        <v/>
      </c>
      <c r="Y718" s="182" t="str">
        <f t="shared" ref="Y718:Y781" si="202">IF(Y717="","",IF(T718="","",Y717+T718))</f>
        <v/>
      </c>
      <c r="Z718" s="209" t="str">
        <f t="shared" si="193"/>
        <v/>
      </c>
      <c r="AA718" s="209" t="str">
        <f t="shared" si="194"/>
        <v/>
      </c>
      <c r="AB718" s="200"/>
      <c r="AC718" s="192"/>
    </row>
    <row r="719" spans="1:29" ht="11.4">
      <c r="A719" s="211" t="str">
        <f t="shared" si="195"/>
        <v/>
      </c>
      <c r="B719" s="211"/>
      <c r="C719" s="215"/>
      <c r="D719" s="213" t="str">
        <f t="shared" si="196"/>
        <v/>
      </c>
      <c r="E719" s="213" t="str">
        <f t="shared" si="187"/>
        <v/>
      </c>
      <c r="F719" s="214" t="str">
        <f t="shared" si="197"/>
        <v/>
      </c>
      <c r="G719" s="180"/>
      <c r="H719" s="181" t="str">
        <f t="shared" si="198"/>
        <v/>
      </c>
      <c r="I719" s="227"/>
      <c r="J719" s="227"/>
      <c r="K719" s="227"/>
      <c r="L719" s="227"/>
      <c r="M719" s="210" t="str">
        <f t="shared" ref="M719:M782" si="203">IF(J719="","",J719)</f>
        <v/>
      </c>
      <c r="N719" s="210"/>
      <c r="O719" s="207"/>
      <c r="P719" s="182" t="str">
        <f t="shared" si="188"/>
        <v/>
      </c>
      <c r="Q719" s="183" t="str">
        <f t="shared" si="199"/>
        <v/>
      </c>
      <c r="R719" s="182" t="str">
        <f>IF(M719&lt;&gt;"",IF(#REF!*F719*10=0,"",#REF!*F719*10),"")</f>
        <v/>
      </c>
      <c r="S719" s="184" t="str">
        <f t="shared" si="200"/>
        <v/>
      </c>
      <c r="T719" s="185" t="str">
        <f t="shared" si="189"/>
        <v/>
      </c>
      <c r="U719" s="183" t="str">
        <f t="shared" si="201"/>
        <v/>
      </c>
      <c r="V719" s="186" t="str">
        <f t="shared" si="190"/>
        <v/>
      </c>
      <c r="W719" s="186" t="str">
        <f t="shared" si="191"/>
        <v/>
      </c>
      <c r="X719" s="187" t="str">
        <f t="shared" si="192"/>
        <v/>
      </c>
      <c r="Y719" s="182" t="str">
        <f t="shared" si="202"/>
        <v/>
      </c>
      <c r="Z719" s="209" t="str">
        <f t="shared" si="193"/>
        <v/>
      </c>
      <c r="AA719" s="209" t="str">
        <f t="shared" si="194"/>
        <v/>
      </c>
      <c r="AB719" s="200"/>
      <c r="AC719" s="192"/>
    </row>
    <row r="720" spans="1:29" ht="11.4">
      <c r="A720" s="211" t="str">
        <f t="shared" si="195"/>
        <v/>
      </c>
      <c r="B720" s="211"/>
      <c r="C720" s="215"/>
      <c r="D720" s="213" t="str">
        <f t="shared" si="196"/>
        <v/>
      </c>
      <c r="E720" s="213" t="str">
        <f t="shared" ref="E720:E783" si="204">IF(G720="","","M30")</f>
        <v/>
      </c>
      <c r="F720" s="214" t="str">
        <f t="shared" si="197"/>
        <v/>
      </c>
      <c r="G720" s="180"/>
      <c r="H720" s="181" t="str">
        <f t="shared" si="198"/>
        <v/>
      </c>
      <c r="I720" s="227"/>
      <c r="J720" s="227"/>
      <c r="K720" s="227"/>
      <c r="L720" s="227"/>
      <c r="M720" s="210" t="str">
        <f t="shared" si="203"/>
        <v/>
      </c>
      <c r="N720" s="210"/>
      <c r="O720" s="207"/>
      <c r="P720" s="182" t="str">
        <f t="shared" si="188"/>
        <v/>
      </c>
      <c r="Q720" s="183" t="str">
        <f t="shared" si="199"/>
        <v/>
      </c>
      <c r="R720" s="182" t="str">
        <f>IF(M720&lt;&gt;"",IF(#REF!*F720*10=0,"",#REF!*F720*10),"")</f>
        <v/>
      </c>
      <c r="S720" s="184" t="str">
        <f t="shared" si="200"/>
        <v/>
      </c>
      <c r="T720" s="185" t="str">
        <f t="shared" si="189"/>
        <v/>
      </c>
      <c r="U720" s="183" t="str">
        <f t="shared" si="201"/>
        <v/>
      </c>
      <c r="V720" s="186" t="str">
        <f t="shared" si="190"/>
        <v/>
      </c>
      <c r="W720" s="186" t="str">
        <f t="shared" si="191"/>
        <v/>
      </c>
      <c r="X720" s="187" t="str">
        <f t="shared" si="192"/>
        <v/>
      </c>
      <c r="Y720" s="182" t="str">
        <f t="shared" si="202"/>
        <v/>
      </c>
      <c r="Z720" s="209" t="str">
        <f t="shared" si="193"/>
        <v/>
      </c>
      <c r="AA720" s="209" t="str">
        <f t="shared" si="194"/>
        <v/>
      </c>
      <c r="AB720" s="200"/>
      <c r="AC720" s="192"/>
    </row>
    <row r="721" spans="1:29" ht="11.4">
      <c r="A721" s="211" t="str">
        <f t="shared" si="195"/>
        <v/>
      </c>
      <c r="B721" s="211"/>
      <c r="C721" s="215"/>
      <c r="D721" s="213" t="str">
        <f t="shared" si="196"/>
        <v/>
      </c>
      <c r="E721" s="213" t="str">
        <f t="shared" si="204"/>
        <v/>
      </c>
      <c r="F721" s="214" t="str">
        <f t="shared" si="197"/>
        <v/>
      </c>
      <c r="G721" s="180"/>
      <c r="H721" s="181" t="str">
        <f t="shared" si="198"/>
        <v/>
      </c>
      <c r="I721" s="227"/>
      <c r="J721" s="227"/>
      <c r="K721" s="227"/>
      <c r="L721" s="227"/>
      <c r="M721" s="210" t="str">
        <f t="shared" si="203"/>
        <v/>
      </c>
      <c r="N721" s="210"/>
      <c r="O721" s="207"/>
      <c r="P721" s="182" t="str">
        <f t="shared" si="188"/>
        <v/>
      </c>
      <c r="Q721" s="183" t="str">
        <f t="shared" si="199"/>
        <v/>
      </c>
      <c r="R721" s="182" t="str">
        <f>IF(M721&lt;&gt;"",IF(#REF!*F721*10=0,"",#REF!*F721*10),"")</f>
        <v/>
      </c>
      <c r="S721" s="184" t="str">
        <f t="shared" si="200"/>
        <v/>
      </c>
      <c r="T721" s="185" t="str">
        <f t="shared" si="189"/>
        <v/>
      </c>
      <c r="U721" s="183" t="str">
        <f t="shared" si="201"/>
        <v/>
      </c>
      <c r="V721" s="186" t="str">
        <f t="shared" si="190"/>
        <v/>
      </c>
      <c r="W721" s="186" t="str">
        <f t="shared" si="191"/>
        <v/>
      </c>
      <c r="X721" s="187" t="str">
        <f t="shared" si="192"/>
        <v/>
      </c>
      <c r="Y721" s="182" t="str">
        <f t="shared" si="202"/>
        <v/>
      </c>
      <c r="Z721" s="209" t="str">
        <f t="shared" si="193"/>
        <v/>
      </c>
      <c r="AA721" s="209" t="str">
        <f t="shared" si="194"/>
        <v/>
      </c>
      <c r="AB721" s="200"/>
      <c r="AC721" s="192"/>
    </row>
    <row r="722" spans="1:29" ht="11.4">
      <c r="A722" s="211" t="str">
        <f t="shared" si="195"/>
        <v/>
      </c>
      <c r="B722" s="211"/>
      <c r="C722" s="215"/>
      <c r="D722" s="213" t="str">
        <f t="shared" si="196"/>
        <v/>
      </c>
      <c r="E722" s="213" t="str">
        <f t="shared" si="204"/>
        <v/>
      </c>
      <c r="F722" s="214" t="str">
        <f t="shared" si="197"/>
        <v/>
      </c>
      <c r="G722" s="180"/>
      <c r="H722" s="181" t="str">
        <f t="shared" si="198"/>
        <v/>
      </c>
      <c r="I722" s="227"/>
      <c r="J722" s="227"/>
      <c r="K722" s="227"/>
      <c r="L722" s="227"/>
      <c r="M722" s="210" t="str">
        <f t="shared" si="203"/>
        <v/>
      </c>
      <c r="N722" s="210"/>
      <c r="O722" s="207"/>
      <c r="P722" s="182" t="str">
        <f t="shared" si="188"/>
        <v/>
      </c>
      <c r="Q722" s="183" t="str">
        <f t="shared" si="199"/>
        <v/>
      </c>
      <c r="R722" s="182" t="str">
        <f>IF(M722&lt;&gt;"",IF(#REF!*F722*10=0,"",#REF!*F722*10),"")</f>
        <v/>
      </c>
      <c r="S722" s="184" t="str">
        <f t="shared" si="200"/>
        <v/>
      </c>
      <c r="T722" s="185" t="str">
        <f t="shared" si="189"/>
        <v/>
      </c>
      <c r="U722" s="183" t="str">
        <f t="shared" si="201"/>
        <v/>
      </c>
      <c r="V722" s="186" t="str">
        <f t="shared" si="190"/>
        <v/>
      </c>
      <c r="W722" s="186" t="str">
        <f t="shared" si="191"/>
        <v/>
      </c>
      <c r="X722" s="187" t="str">
        <f t="shared" si="192"/>
        <v/>
      </c>
      <c r="Y722" s="182" t="str">
        <f t="shared" si="202"/>
        <v/>
      </c>
      <c r="Z722" s="209" t="str">
        <f t="shared" si="193"/>
        <v/>
      </c>
      <c r="AA722" s="209" t="str">
        <f t="shared" si="194"/>
        <v/>
      </c>
      <c r="AB722" s="200"/>
      <c r="AC722" s="192"/>
    </row>
    <row r="723" spans="1:29" ht="11.4">
      <c r="A723" s="211" t="str">
        <f t="shared" si="195"/>
        <v/>
      </c>
      <c r="B723" s="211"/>
      <c r="C723" s="215"/>
      <c r="D723" s="213" t="str">
        <f t="shared" si="196"/>
        <v/>
      </c>
      <c r="E723" s="213" t="str">
        <f t="shared" si="204"/>
        <v/>
      </c>
      <c r="F723" s="214" t="str">
        <f t="shared" si="197"/>
        <v/>
      </c>
      <c r="G723" s="180"/>
      <c r="H723" s="181" t="str">
        <f t="shared" si="198"/>
        <v/>
      </c>
      <c r="I723" s="227"/>
      <c r="J723" s="227"/>
      <c r="K723" s="227"/>
      <c r="L723" s="227"/>
      <c r="M723" s="210" t="str">
        <f t="shared" si="203"/>
        <v/>
      </c>
      <c r="N723" s="210"/>
      <c r="O723" s="207"/>
      <c r="P723" s="182" t="str">
        <f t="shared" si="188"/>
        <v/>
      </c>
      <c r="Q723" s="183" t="str">
        <f t="shared" si="199"/>
        <v/>
      </c>
      <c r="R723" s="182" t="str">
        <f>IF(M723&lt;&gt;"",IF(#REF!*F723*10=0,"",#REF!*F723*10),"")</f>
        <v/>
      </c>
      <c r="S723" s="184" t="str">
        <f t="shared" si="200"/>
        <v/>
      </c>
      <c r="T723" s="185" t="str">
        <f t="shared" si="189"/>
        <v/>
      </c>
      <c r="U723" s="183" t="str">
        <f t="shared" si="201"/>
        <v/>
      </c>
      <c r="V723" s="186" t="str">
        <f t="shared" si="190"/>
        <v/>
      </c>
      <c r="W723" s="186" t="str">
        <f t="shared" si="191"/>
        <v/>
      </c>
      <c r="X723" s="187" t="str">
        <f t="shared" si="192"/>
        <v/>
      </c>
      <c r="Y723" s="182" t="str">
        <f t="shared" si="202"/>
        <v/>
      </c>
      <c r="Z723" s="209" t="str">
        <f t="shared" si="193"/>
        <v/>
      </c>
      <c r="AA723" s="209" t="str">
        <f t="shared" si="194"/>
        <v/>
      </c>
      <c r="AB723" s="200"/>
      <c r="AC723" s="192"/>
    </row>
    <row r="724" spans="1:29" ht="11.4">
      <c r="A724" s="211" t="str">
        <f t="shared" si="195"/>
        <v/>
      </c>
      <c r="B724" s="211"/>
      <c r="C724" s="215"/>
      <c r="D724" s="213" t="str">
        <f t="shared" si="196"/>
        <v/>
      </c>
      <c r="E724" s="213" t="str">
        <f t="shared" si="204"/>
        <v/>
      </c>
      <c r="F724" s="214" t="str">
        <f t="shared" si="197"/>
        <v/>
      </c>
      <c r="G724" s="180"/>
      <c r="H724" s="181" t="str">
        <f t="shared" si="198"/>
        <v/>
      </c>
      <c r="I724" s="227"/>
      <c r="J724" s="227"/>
      <c r="K724" s="227"/>
      <c r="L724" s="227"/>
      <c r="M724" s="210" t="str">
        <f t="shared" si="203"/>
        <v/>
      </c>
      <c r="N724" s="210"/>
      <c r="O724" s="207"/>
      <c r="P724" s="182" t="str">
        <f t="shared" si="188"/>
        <v/>
      </c>
      <c r="Q724" s="183" t="str">
        <f t="shared" si="199"/>
        <v/>
      </c>
      <c r="R724" s="182" t="str">
        <f>IF(M724&lt;&gt;"",IF(#REF!*F724*10=0,"",#REF!*F724*10),"")</f>
        <v/>
      </c>
      <c r="S724" s="184" t="str">
        <f t="shared" si="200"/>
        <v/>
      </c>
      <c r="T724" s="185" t="str">
        <f t="shared" si="189"/>
        <v/>
      </c>
      <c r="U724" s="183" t="str">
        <f t="shared" si="201"/>
        <v/>
      </c>
      <c r="V724" s="186" t="str">
        <f t="shared" si="190"/>
        <v/>
      </c>
      <c r="W724" s="186" t="str">
        <f t="shared" si="191"/>
        <v/>
      </c>
      <c r="X724" s="187" t="str">
        <f t="shared" si="192"/>
        <v/>
      </c>
      <c r="Y724" s="182" t="str">
        <f t="shared" si="202"/>
        <v/>
      </c>
      <c r="Z724" s="209" t="str">
        <f t="shared" si="193"/>
        <v/>
      </c>
      <c r="AA724" s="209" t="str">
        <f t="shared" si="194"/>
        <v/>
      </c>
      <c r="AB724" s="200"/>
      <c r="AC724" s="192"/>
    </row>
    <row r="725" spans="1:29" ht="11.4">
      <c r="A725" s="211" t="str">
        <f t="shared" si="195"/>
        <v/>
      </c>
      <c r="B725" s="211"/>
      <c r="C725" s="215"/>
      <c r="D725" s="213" t="str">
        <f t="shared" si="196"/>
        <v/>
      </c>
      <c r="E725" s="213" t="str">
        <f t="shared" si="204"/>
        <v/>
      </c>
      <c r="F725" s="214" t="str">
        <f t="shared" si="197"/>
        <v/>
      </c>
      <c r="G725" s="180"/>
      <c r="H725" s="181" t="str">
        <f t="shared" si="198"/>
        <v/>
      </c>
      <c r="I725" s="227"/>
      <c r="J725" s="227"/>
      <c r="K725" s="227"/>
      <c r="L725" s="227"/>
      <c r="M725" s="210" t="str">
        <f t="shared" si="203"/>
        <v/>
      </c>
      <c r="N725" s="210"/>
      <c r="O725" s="207"/>
      <c r="P725" s="182" t="str">
        <f t="shared" si="188"/>
        <v/>
      </c>
      <c r="Q725" s="183" t="str">
        <f t="shared" si="199"/>
        <v/>
      </c>
      <c r="R725" s="182" t="str">
        <f>IF(M725&lt;&gt;"",IF(#REF!*F725*10=0,"",#REF!*F725*10),"")</f>
        <v/>
      </c>
      <c r="S725" s="184" t="str">
        <f t="shared" si="200"/>
        <v/>
      </c>
      <c r="T725" s="185" t="str">
        <f t="shared" si="189"/>
        <v/>
      </c>
      <c r="U725" s="183" t="str">
        <f t="shared" si="201"/>
        <v/>
      </c>
      <c r="V725" s="186" t="str">
        <f t="shared" si="190"/>
        <v/>
      </c>
      <c r="W725" s="186" t="str">
        <f t="shared" si="191"/>
        <v/>
      </c>
      <c r="X725" s="187" t="str">
        <f t="shared" si="192"/>
        <v/>
      </c>
      <c r="Y725" s="182" t="str">
        <f t="shared" si="202"/>
        <v/>
      </c>
      <c r="Z725" s="209" t="str">
        <f t="shared" si="193"/>
        <v/>
      </c>
      <c r="AA725" s="209" t="str">
        <f t="shared" si="194"/>
        <v/>
      </c>
      <c r="AB725" s="200"/>
      <c r="AC725" s="192"/>
    </row>
    <row r="726" spans="1:29" ht="11.4">
      <c r="A726" s="211" t="str">
        <f t="shared" si="195"/>
        <v/>
      </c>
      <c r="B726" s="211"/>
      <c r="C726" s="215"/>
      <c r="D726" s="213" t="str">
        <f t="shared" si="196"/>
        <v/>
      </c>
      <c r="E726" s="213" t="str">
        <f t="shared" si="204"/>
        <v/>
      </c>
      <c r="F726" s="214" t="str">
        <f t="shared" si="197"/>
        <v/>
      </c>
      <c r="G726" s="180"/>
      <c r="H726" s="181" t="str">
        <f t="shared" si="198"/>
        <v/>
      </c>
      <c r="I726" s="227"/>
      <c r="J726" s="227"/>
      <c r="K726" s="227"/>
      <c r="L726" s="227"/>
      <c r="M726" s="210" t="str">
        <f t="shared" si="203"/>
        <v/>
      </c>
      <c r="N726" s="210"/>
      <c r="O726" s="207"/>
      <c r="P726" s="182" t="str">
        <f t="shared" si="188"/>
        <v/>
      </c>
      <c r="Q726" s="183" t="str">
        <f t="shared" si="199"/>
        <v/>
      </c>
      <c r="R726" s="182" t="str">
        <f>IF(M726&lt;&gt;"",IF(#REF!*F726*10=0,"",#REF!*F726*10),"")</f>
        <v/>
      </c>
      <c r="S726" s="184" t="str">
        <f t="shared" si="200"/>
        <v/>
      </c>
      <c r="T726" s="185" t="str">
        <f t="shared" si="189"/>
        <v/>
      </c>
      <c r="U726" s="183" t="str">
        <f t="shared" si="201"/>
        <v/>
      </c>
      <c r="V726" s="186" t="str">
        <f t="shared" si="190"/>
        <v/>
      </c>
      <c r="W726" s="186" t="str">
        <f t="shared" si="191"/>
        <v/>
      </c>
      <c r="X726" s="187" t="str">
        <f t="shared" si="192"/>
        <v/>
      </c>
      <c r="Y726" s="182" t="str">
        <f t="shared" si="202"/>
        <v/>
      </c>
      <c r="Z726" s="209" t="str">
        <f t="shared" si="193"/>
        <v/>
      </c>
      <c r="AA726" s="209" t="str">
        <f t="shared" si="194"/>
        <v/>
      </c>
      <c r="AB726" s="200"/>
      <c r="AC726" s="192"/>
    </row>
    <row r="727" spans="1:29" ht="11.4">
      <c r="A727" s="211" t="str">
        <f t="shared" si="195"/>
        <v/>
      </c>
      <c r="B727" s="211"/>
      <c r="C727" s="215"/>
      <c r="D727" s="213" t="str">
        <f t="shared" si="196"/>
        <v/>
      </c>
      <c r="E727" s="213" t="str">
        <f t="shared" si="204"/>
        <v/>
      </c>
      <c r="F727" s="214" t="str">
        <f t="shared" si="197"/>
        <v/>
      </c>
      <c r="G727" s="180"/>
      <c r="H727" s="181" t="str">
        <f t="shared" si="198"/>
        <v/>
      </c>
      <c r="I727" s="227"/>
      <c r="J727" s="227"/>
      <c r="K727" s="227"/>
      <c r="L727" s="227"/>
      <c r="M727" s="210" t="str">
        <f t="shared" si="203"/>
        <v/>
      </c>
      <c r="N727" s="210"/>
      <c r="O727" s="207"/>
      <c r="P727" s="182" t="str">
        <f t="shared" si="188"/>
        <v/>
      </c>
      <c r="Q727" s="183" t="str">
        <f t="shared" si="199"/>
        <v/>
      </c>
      <c r="R727" s="182" t="str">
        <f>IF(M727&lt;&gt;"",IF(#REF!*F727*10=0,"",#REF!*F727*10),"")</f>
        <v/>
      </c>
      <c r="S727" s="184" t="str">
        <f t="shared" si="200"/>
        <v/>
      </c>
      <c r="T727" s="185" t="str">
        <f t="shared" si="189"/>
        <v/>
      </c>
      <c r="U727" s="183" t="str">
        <f t="shared" si="201"/>
        <v/>
      </c>
      <c r="V727" s="186" t="str">
        <f t="shared" si="190"/>
        <v/>
      </c>
      <c r="W727" s="186" t="str">
        <f t="shared" si="191"/>
        <v/>
      </c>
      <c r="X727" s="187" t="str">
        <f t="shared" si="192"/>
        <v/>
      </c>
      <c r="Y727" s="182" t="str">
        <f t="shared" si="202"/>
        <v/>
      </c>
      <c r="Z727" s="209" t="str">
        <f t="shared" si="193"/>
        <v/>
      </c>
      <c r="AA727" s="209" t="str">
        <f t="shared" si="194"/>
        <v/>
      </c>
      <c r="AB727" s="200"/>
      <c r="AC727" s="192"/>
    </row>
    <row r="728" spans="1:29" ht="11.4">
      <c r="A728" s="211" t="str">
        <f t="shared" si="195"/>
        <v/>
      </c>
      <c r="B728" s="211"/>
      <c r="C728" s="215"/>
      <c r="D728" s="213" t="str">
        <f t="shared" si="196"/>
        <v/>
      </c>
      <c r="E728" s="213" t="str">
        <f t="shared" si="204"/>
        <v/>
      </c>
      <c r="F728" s="214" t="str">
        <f t="shared" si="197"/>
        <v/>
      </c>
      <c r="G728" s="180"/>
      <c r="H728" s="181" t="str">
        <f t="shared" si="198"/>
        <v/>
      </c>
      <c r="I728" s="227"/>
      <c r="J728" s="227"/>
      <c r="K728" s="227"/>
      <c r="L728" s="227"/>
      <c r="M728" s="210" t="str">
        <f t="shared" si="203"/>
        <v/>
      </c>
      <c r="N728" s="210"/>
      <c r="O728" s="207"/>
      <c r="P728" s="182" t="str">
        <f t="shared" si="188"/>
        <v/>
      </c>
      <c r="Q728" s="183" t="str">
        <f t="shared" si="199"/>
        <v/>
      </c>
      <c r="R728" s="182" t="str">
        <f>IF(M728&lt;&gt;"",IF(#REF!*F728*10=0,"",#REF!*F728*10),"")</f>
        <v/>
      </c>
      <c r="S728" s="184" t="str">
        <f t="shared" si="200"/>
        <v/>
      </c>
      <c r="T728" s="185" t="str">
        <f t="shared" si="189"/>
        <v/>
      </c>
      <c r="U728" s="183" t="str">
        <f t="shared" si="201"/>
        <v/>
      </c>
      <c r="V728" s="186" t="str">
        <f t="shared" si="190"/>
        <v/>
      </c>
      <c r="W728" s="186" t="str">
        <f t="shared" si="191"/>
        <v/>
      </c>
      <c r="X728" s="187" t="str">
        <f t="shared" si="192"/>
        <v/>
      </c>
      <c r="Y728" s="182" t="str">
        <f t="shared" si="202"/>
        <v/>
      </c>
      <c r="Z728" s="209" t="str">
        <f t="shared" si="193"/>
        <v/>
      </c>
      <c r="AA728" s="209" t="str">
        <f t="shared" si="194"/>
        <v/>
      </c>
      <c r="AB728" s="200"/>
      <c r="AC728" s="192"/>
    </row>
    <row r="729" spans="1:29" ht="11.4">
      <c r="A729" s="211" t="str">
        <f t="shared" si="195"/>
        <v/>
      </c>
      <c r="B729" s="211"/>
      <c r="C729" s="215"/>
      <c r="D729" s="213" t="str">
        <f t="shared" si="196"/>
        <v/>
      </c>
      <c r="E729" s="213" t="str">
        <f t="shared" si="204"/>
        <v/>
      </c>
      <c r="F729" s="214" t="str">
        <f t="shared" si="197"/>
        <v/>
      </c>
      <c r="G729" s="180"/>
      <c r="H729" s="181" t="str">
        <f t="shared" si="198"/>
        <v/>
      </c>
      <c r="I729" s="227"/>
      <c r="J729" s="227"/>
      <c r="K729" s="227"/>
      <c r="L729" s="227"/>
      <c r="M729" s="210" t="str">
        <f t="shared" si="203"/>
        <v/>
      </c>
      <c r="N729" s="210"/>
      <c r="O729" s="207"/>
      <c r="P729" s="182" t="str">
        <f t="shared" si="188"/>
        <v/>
      </c>
      <c r="Q729" s="183" t="str">
        <f t="shared" si="199"/>
        <v/>
      </c>
      <c r="R729" s="182" t="str">
        <f>IF(M729&lt;&gt;"",IF(#REF!*F729*10=0,"",#REF!*F729*10),"")</f>
        <v/>
      </c>
      <c r="S729" s="184" t="str">
        <f t="shared" si="200"/>
        <v/>
      </c>
      <c r="T729" s="185" t="str">
        <f t="shared" si="189"/>
        <v/>
      </c>
      <c r="U729" s="183" t="str">
        <f t="shared" si="201"/>
        <v/>
      </c>
      <c r="V729" s="186" t="str">
        <f t="shared" si="190"/>
        <v/>
      </c>
      <c r="W729" s="186" t="str">
        <f t="shared" si="191"/>
        <v/>
      </c>
      <c r="X729" s="187" t="str">
        <f t="shared" si="192"/>
        <v/>
      </c>
      <c r="Y729" s="182" t="str">
        <f t="shared" si="202"/>
        <v/>
      </c>
      <c r="Z729" s="209" t="str">
        <f t="shared" si="193"/>
        <v/>
      </c>
      <c r="AA729" s="209" t="str">
        <f t="shared" si="194"/>
        <v/>
      </c>
      <c r="AB729" s="200"/>
      <c r="AC729" s="192"/>
    </row>
    <row r="730" spans="1:29" ht="11.4">
      <c r="A730" s="211" t="str">
        <f t="shared" si="195"/>
        <v/>
      </c>
      <c r="B730" s="211"/>
      <c r="C730" s="215"/>
      <c r="D730" s="213" t="str">
        <f t="shared" si="196"/>
        <v/>
      </c>
      <c r="E730" s="213" t="str">
        <f t="shared" si="204"/>
        <v/>
      </c>
      <c r="F730" s="214" t="str">
        <f t="shared" si="197"/>
        <v/>
      </c>
      <c r="G730" s="180"/>
      <c r="H730" s="181" t="str">
        <f t="shared" si="198"/>
        <v/>
      </c>
      <c r="I730" s="227"/>
      <c r="J730" s="227"/>
      <c r="K730" s="227"/>
      <c r="L730" s="227"/>
      <c r="M730" s="210" t="str">
        <f t="shared" si="203"/>
        <v/>
      </c>
      <c r="N730" s="210"/>
      <c r="O730" s="207"/>
      <c r="P730" s="182" t="str">
        <f t="shared" si="188"/>
        <v/>
      </c>
      <c r="Q730" s="183" t="str">
        <f t="shared" si="199"/>
        <v/>
      </c>
      <c r="R730" s="182" t="str">
        <f>IF(M730&lt;&gt;"",IF(#REF!*F730*10=0,"",#REF!*F730*10),"")</f>
        <v/>
      </c>
      <c r="S730" s="184" t="str">
        <f t="shared" si="200"/>
        <v/>
      </c>
      <c r="T730" s="185" t="str">
        <f t="shared" si="189"/>
        <v/>
      </c>
      <c r="U730" s="183" t="str">
        <f t="shared" si="201"/>
        <v/>
      </c>
      <c r="V730" s="186" t="str">
        <f t="shared" si="190"/>
        <v/>
      </c>
      <c r="W730" s="186" t="str">
        <f t="shared" si="191"/>
        <v/>
      </c>
      <c r="X730" s="187" t="str">
        <f t="shared" si="192"/>
        <v/>
      </c>
      <c r="Y730" s="182" t="str">
        <f t="shared" si="202"/>
        <v/>
      </c>
      <c r="Z730" s="209" t="str">
        <f t="shared" si="193"/>
        <v/>
      </c>
      <c r="AA730" s="209" t="str">
        <f t="shared" si="194"/>
        <v/>
      </c>
      <c r="AB730" s="200"/>
      <c r="AC730" s="192"/>
    </row>
    <row r="731" spans="1:29" ht="11.4">
      <c r="A731" s="211" t="str">
        <f t="shared" si="195"/>
        <v/>
      </c>
      <c r="B731" s="211"/>
      <c r="C731" s="215"/>
      <c r="D731" s="213" t="str">
        <f t="shared" si="196"/>
        <v/>
      </c>
      <c r="E731" s="213" t="str">
        <f t="shared" si="204"/>
        <v/>
      </c>
      <c r="F731" s="214" t="str">
        <f t="shared" si="197"/>
        <v/>
      </c>
      <c r="G731" s="180"/>
      <c r="H731" s="181" t="str">
        <f t="shared" si="198"/>
        <v/>
      </c>
      <c r="I731" s="227"/>
      <c r="J731" s="227"/>
      <c r="K731" s="227"/>
      <c r="L731" s="227"/>
      <c r="M731" s="210" t="str">
        <f t="shared" si="203"/>
        <v/>
      </c>
      <c r="N731" s="210"/>
      <c r="O731" s="207"/>
      <c r="P731" s="182" t="str">
        <f t="shared" si="188"/>
        <v/>
      </c>
      <c r="Q731" s="183" t="str">
        <f t="shared" si="199"/>
        <v/>
      </c>
      <c r="R731" s="182" t="str">
        <f>IF(M731&lt;&gt;"",IF(#REF!*F731*10=0,"",#REF!*F731*10),"")</f>
        <v/>
      </c>
      <c r="S731" s="184" t="str">
        <f t="shared" si="200"/>
        <v/>
      </c>
      <c r="T731" s="185" t="str">
        <f t="shared" si="189"/>
        <v/>
      </c>
      <c r="U731" s="183" t="str">
        <f t="shared" si="201"/>
        <v/>
      </c>
      <c r="V731" s="186" t="str">
        <f t="shared" si="190"/>
        <v/>
      </c>
      <c r="W731" s="186" t="str">
        <f t="shared" si="191"/>
        <v/>
      </c>
      <c r="X731" s="187" t="str">
        <f t="shared" si="192"/>
        <v/>
      </c>
      <c r="Y731" s="182" t="str">
        <f t="shared" si="202"/>
        <v/>
      </c>
      <c r="Z731" s="209" t="str">
        <f t="shared" si="193"/>
        <v/>
      </c>
      <c r="AA731" s="209" t="str">
        <f t="shared" si="194"/>
        <v/>
      </c>
      <c r="AB731" s="200"/>
      <c r="AC731" s="192"/>
    </row>
    <row r="732" spans="1:29" ht="11.4">
      <c r="A732" s="211" t="str">
        <f t="shared" si="195"/>
        <v/>
      </c>
      <c r="B732" s="211"/>
      <c r="C732" s="215"/>
      <c r="D732" s="213" t="str">
        <f t="shared" si="196"/>
        <v/>
      </c>
      <c r="E732" s="213" t="str">
        <f t="shared" si="204"/>
        <v/>
      </c>
      <c r="F732" s="214" t="str">
        <f t="shared" si="197"/>
        <v/>
      </c>
      <c r="G732" s="180"/>
      <c r="H732" s="181" t="str">
        <f t="shared" si="198"/>
        <v/>
      </c>
      <c r="I732" s="227"/>
      <c r="J732" s="227"/>
      <c r="K732" s="227"/>
      <c r="L732" s="227"/>
      <c r="M732" s="210" t="str">
        <f t="shared" si="203"/>
        <v/>
      </c>
      <c r="N732" s="210"/>
      <c r="O732" s="207"/>
      <c r="P732" s="182" t="str">
        <f t="shared" si="188"/>
        <v/>
      </c>
      <c r="Q732" s="183" t="str">
        <f t="shared" si="199"/>
        <v/>
      </c>
      <c r="R732" s="182" t="str">
        <f>IF(M732&lt;&gt;"",IF(#REF!*F732*10=0,"",#REF!*F732*10),"")</f>
        <v/>
      </c>
      <c r="S732" s="184" t="str">
        <f t="shared" si="200"/>
        <v/>
      </c>
      <c r="T732" s="185" t="str">
        <f t="shared" si="189"/>
        <v/>
      </c>
      <c r="U732" s="183" t="str">
        <f t="shared" si="201"/>
        <v/>
      </c>
      <c r="V732" s="186" t="str">
        <f t="shared" si="190"/>
        <v/>
      </c>
      <c r="W732" s="186" t="str">
        <f t="shared" si="191"/>
        <v/>
      </c>
      <c r="X732" s="187" t="str">
        <f t="shared" si="192"/>
        <v/>
      </c>
      <c r="Y732" s="182" t="str">
        <f t="shared" si="202"/>
        <v/>
      </c>
      <c r="Z732" s="209" t="str">
        <f t="shared" si="193"/>
        <v/>
      </c>
      <c r="AA732" s="209" t="str">
        <f t="shared" si="194"/>
        <v/>
      </c>
      <c r="AB732" s="200"/>
      <c r="AC732" s="192"/>
    </row>
    <row r="733" spans="1:29" ht="11.4">
      <c r="A733" s="211" t="str">
        <f t="shared" si="195"/>
        <v/>
      </c>
      <c r="B733" s="211"/>
      <c r="C733" s="215"/>
      <c r="D733" s="213" t="str">
        <f t="shared" si="196"/>
        <v/>
      </c>
      <c r="E733" s="213" t="str">
        <f t="shared" si="204"/>
        <v/>
      </c>
      <c r="F733" s="214" t="str">
        <f t="shared" si="197"/>
        <v/>
      </c>
      <c r="G733" s="180"/>
      <c r="H733" s="181" t="str">
        <f t="shared" si="198"/>
        <v/>
      </c>
      <c r="I733" s="227"/>
      <c r="J733" s="227"/>
      <c r="K733" s="227"/>
      <c r="L733" s="227"/>
      <c r="M733" s="210" t="str">
        <f t="shared" si="203"/>
        <v/>
      </c>
      <c r="N733" s="210"/>
      <c r="O733" s="207"/>
      <c r="P733" s="182" t="str">
        <f t="shared" si="188"/>
        <v/>
      </c>
      <c r="Q733" s="183" t="str">
        <f t="shared" si="199"/>
        <v/>
      </c>
      <c r="R733" s="182" t="str">
        <f>IF(M733&lt;&gt;"",IF(#REF!*F733*10=0,"",#REF!*F733*10),"")</f>
        <v/>
      </c>
      <c r="S733" s="184" t="str">
        <f t="shared" si="200"/>
        <v/>
      </c>
      <c r="T733" s="185" t="str">
        <f t="shared" si="189"/>
        <v/>
      </c>
      <c r="U733" s="183" t="str">
        <f t="shared" si="201"/>
        <v/>
      </c>
      <c r="V733" s="186" t="str">
        <f t="shared" si="190"/>
        <v/>
      </c>
      <c r="W733" s="186" t="str">
        <f t="shared" si="191"/>
        <v/>
      </c>
      <c r="X733" s="187" t="str">
        <f t="shared" si="192"/>
        <v/>
      </c>
      <c r="Y733" s="182" t="str">
        <f t="shared" si="202"/>
        <v/>
      </c>
      <c r="Z733" s="209" t="str">
        <f t="shared" si="193"/>
        <v/>
      </c>
      <c r="AA733" s="209" t="str">
        <f t="shared" si="194"/>
        <v/>
      </c>
      <c r="AB733" s="200"/>
      <c r="AC733" s="192"/>
    </row>
    <row r="734" spans="1:29" ht="11.4">
      <c r="A734" s="211" t="str">
        <f t="shared" si="195"/>
        <v/>
      </c>
      <c r="B734" s="211"/>
      <c r="C734" s="215"/>
      <c r="D734" s="213" t="str">
        <f t="shared" si="196"/>
        <v/>
      </c>
      <c r="E734" s="213" t="str">
        <f t="shared" si="204"/>
        <v/>
      </c>
      <c r="F734" s="214" t="str">
        <f t="shared" si="197"/>
        <v/>
      </c>
      <c r="G734" s="180"/>
      <c r="H734" s="181" t="str">
        <f t="shared" si="198"/>
        <v/>
      </c>
      <c r="I734" s="227"/>
      <c r="J734" s="227"/>
      <c r="K734" s="227"/>
      <c r="L734" s="227"/>
      <c r="M734" s="210" t="str">
        <f t="shared" si="203"/>
        <v/>
      </c>
      <c r="N734" s="210"/>
      <c r="O734" s="207"/>
      <c r="P734" s="182" t="str">
        <f t="shared" si="188"/>
        <v/>
      </c>
      <c r="Q734" s="183" t="str">
        <f t="shared" si="199"/>
        <v/>
      </c>
      <c r="R734" s="182" t="str">
        <f>IF(M734&lt;&gt;"",IF(#REF!*F734*10=0,"",#REF!*F734*10),"")</f>
        <v/>
      </c>
      <c r="S734" s="184" t="str">
        <f t="shared" si="200"/>
        <v/>
      </c>
      <c r="T734" s="185" t="str">
        <f t="shared" si="189"/>
        <v/>
      </c>
      <c r="U734" s="183" t="str">
        <f t="shared" si="201"/>
        <v/>
      </c>
      <c r="V734" s="186" t="str">
        <f t="shared" si="190"/>
        <v/>
      </c>
      <c r="W734" s="186" t="str">
        <f t="shared" si="191"/>
        <v/>
      </c>
      <c r="X734" s="187" t="str">
        <f t="shared" si="192"/>
        <v/>
      </c>
      <c r="Y734" s="182" t="str">
        <f t="shared" si="202"/>
        <v/>
      </c>
      <c r="Z734" s="209" t="str">
        <f t="shared" si="193"/>
        <v/>
      </c>
      <c r="AA734" s="209" t="str">
        <f t="shared" si="194"/>
        <v/>
      </c>
      <c r="AB734" s="200"/>
      <c r="AC734" s="192"/>
    </row>
    <row r="735" spans="1:29" ht="11.4">
      <c r="A735" s="211" t="str">
        <f t="shared" si="195"/>
        <v/>
      </c>
      <c r="B735" s="211"/>
      <c r="C735" s="215"/>
      <c r="D735" s="213" t="str">
        <f t="shared" si="196"/>
        <v/>
      </c>
      <c r="E735" s="213" t="str">
        <f t="shared" si="204"/>
        <v/>
      </c>
      <c r="F735" s="214" t="str">
        <f t="shared" si="197"/>
        <v/>
      </c>
      <c r="G735" s="180"/>
      <c r="H735" s="181" t="str">
        <f t="shared" si="198"/>
        <v/>
      </c>
      <c r="I735" s="227"/>
      <c r="J735" s="227"/>
      <c r="K735" s="227"/>
      <c r="L735" s="227"/>
      <c r="M735" s="210" t="str">
        <f t="shared" si="203"/>
        <v/>
      </c>
      <c r="N735" s="210"/>
      <c r="O735" s="207"/>
      <c r="P735" s="182" t="str">
        <f t="shared" si="188"/>
        <v/>
      </c>
      <c r="Q735" s="183" t="str">
        <f t="shared" si="199"/>
        <v/>
      </c>
      <c r="R735" s="182" t="str">
        <f>IF(M735&lt;&gt;"",IF(#REF!*F735*10=0,"",#REF!*F735*10),"")</f>
        <v/>
      </c>
      <c r="S735" s="184" t="str">
        <f t="shared" si="200"/>
        <v/>
      </c>
      <c r="T735" s="185" t="str">
        <f t="shared" si="189"/>
        <v/>
      </c>
      <c r="U735" s="183" t="str">
        <f t="shared" si="201"/>
        <v/>
      </c>
      <c r="V735" s="186" t="str">
        <f t="shared" si="190"/>
        <v/>
      </c>
      <c r="W735" s="186" t="str">
        <f t="shared" si="191"/>
        <v/>
      </c>
      <c r="X735" s="187" t="str">
        <f t="shared" si="192"/>
        <v/>
      </c>
      <c r="Y735" s="182" t="str">
        <f t="shared" si="202"/>
        <v/>
      </c>
      <c r="Z735" s="209" t="str">
        <f t="shared" si="193"/>
        <v/>
      </c>
      <c r="AA735" s="209" t="str">
        <f t="shared" si="194"/>
        <v/>
      </c>
      <c r="AB735" s="200"/>
      <c r="AC735" s="192"/>
    </row>
    <row r="736" spans="1:29" ht="11.4">
      <c r="A736" s="211" t="str">
        <f t="shared" si="195"/>
        <v/>
      </c>
      <c r="B736" s="211"/>
      <c r="C736" s="215"/>
      <c r="D736" s="213" t="str">
        <f t="shared" si="196"/>
        <v/>
      </c>
      <c r="E736" s="213" t="str">
        <f t="shared" si="204"/>
        <v/>
      </c>
      <c r="F736" s="214" t="str">
        <f t="shared" si="197"/>
        <v/>
      </c>
      <c r="G736" s="180"/>
      <c r="H736" s="181" t="str">
        <f t="shared" si="198"/>
        <v/>
      </c>
      <c r="I736" s="227"/>
      <c r="J736" s="227"/>
      <c r="K736" s="227"/>
      <c r="L736" s="227"/>
      <c r="M736" s="210" t="str">
        <f t="shared" si="203"/>
        <v/>
      </c>
      <c r="N736" s="210"/>
      <c r="O736" s="207"/>
      <c r="P736" s="182" t="str">
        <f t="shared" si="188"/>
        <v/>
      </c>
      <c r="Q736" s="183" t="str">
        <f t="shared" si="199"/>
        <v/>
      </c>
      <c r="R736" s="182" t="str">
        <f>IF(M736&lt;&gt;"",IF(#REF!*F736*10=0,"",#REF!*F736*10),"")</f>
        <v/>
      </c>
      <c r="S736" s="184" t="str">
        <f t="shared" si="200"/>
        <v/>
      </c>
      <c r="T736" s="185" t="str">
        <f t="shared" si="189"/>
        <v/>
      </c>
      <c r="U736" s="183" t="str">
        <f t="shared" si="201"/>
        <v/>
      </c>
      <c r="V736" s="186" t="str">
        <f t="shared" si="190"/>
        <v/>
      </c>
      <c r="W736" s="186" t="str">
        <f t="shared" si="191"/>
        <v/>
      </c>
      <c r="X736" s="187" t="str">
        <f t="shared" si="192"/>
        <v/>
      </c>
      <c r="Y736" s="182" t="str">
        <f t="shared" si="202"/>
        <v/>
      </c>
      <c r="Z736" s="209" t="str">
        <f t="shared" si="193"/>
        <v/>
      </c>
      <c r="AA736" s="209" t="str">
        <f t="shared" si="194"/>
        <v/>
      </c>
      <c r="AB736" s="200"/>
      <c r="AC736" s="192"/>
    </row>
    <row r="737" spans="1:29" ht="11.4">
      <c r="A737" s="211" t="str">
        <f t="shared" si="195"/>
        <v/>
      </c>
      <c r="B737" s="211"/>
      <c r="C737" s="215"/>
      <c r="D737" s="213" t="str">
        <f t="shared" si="196"/>
        <v/>
      </c>
      <c r="E737" s="213" t="str">
        <f t="shared" si="204"/>
        <v/>
      </c>
      <c r="F737" s="214" t="str">
        <f t="shared" si="197"/>
        <v/>
      </c>
      <c r="G737" s="180"/>
      <c r="H737" s="181" t="str">
        <f t="shared" si="198"/>
        <v/>
      </c>
      <c r="I737" s="227"/>
      <c r="J737" s="227"/>
      <c r="K737" s="227"/>
      <c r="L737" s="227"/>
      <c r="M737" s="210" t="str">
        <f t="shared" si="203"/>
        <v/>
      </c>
      <c r="N737" s="210"/>
      <c r="O737" s="207"/>
      <c r="P737" s="182" t="str">
        <f t="shared" si="188"/>
        <v/>
      </c>
      <c r="Q737" s="183" t="str">
        <f t="shared" si="199"/>
        <v/>
      </c>
      <c r="R737" s="182" t="str">
        <f>IF(M737&lt;&gt;"",IF(#REF!*F737*10=0,"",#REF!*F737*10),"")</f>
        <v/>
      </c>
      <c r="S737" s="184" t="str">
        <f t="shared" si="200"/>
        <v/>
      </c>
      <c r="T737" s="185" t="str">
        <f t="shared" si="189"/>
        <v/>
      </c>
      <c r="U737" s="183" t="str">
        <f t="shared" si="201"/>
        <v/>
      </c>
      <c r="V737" s="186" t="str">
        <f t="shared" si="190"/>
        <v/>
      </c>
      <c r="W737" s="186" t="str">
        <f t="shared" si="191"/>
        <v/>
      </c>
      <c r="X737" s="187" t="str">
        <f t="shared" si="192"/>
        <v/>
      </c>
      <c r="Y737" s="182" t="str">
        <f t="shared" si="202"/>
        <v/>
      </c>
      <c r="Z737" s="209" t="str">
        <f t="shared" si="193"/>
        <v/>
      </c>
      <c r="AA737" s="209" t="str">
        <f t="shared" si="194"/>
        <v/>
      </c>
      <c r="AB737" s="200"/>
      <c r="AC737" s="192"/>
    </row>
    <row r="738" spans="1:29" ht="11.4">
      <c r="A738" s="211" t="str">
        <f t="shared" si="195"/>
        <v/>
      </c>
      <c r="B738" s="211"/>
      <c r="C738" s="215"/>
      <c r="D738" s="213" t="str">
        <f t="shared" si="196"/>
        <v/>
      </c>
      <c r="E738" s="213" t="str">
        <f t="shared" si="204"/>
        <v/>
      </c>
      <c r="F738" s="214" t="str">
        <f t="shared" si="197"/>
        <v/>
      </c>
      <c r="G738" s="180"/>
      <c r="H738" s="181" t="str">
        <f t="shared" si="198"/>
        <v/>
      </c>
      <c r="I738" s="227"/>
      <c r="J738" s="227"/>
      <c r="K738" s="227"/>
      <c r="L738" s="227"/>
      <c r="M738" s="210" t="str">
        <f t="shared" si="203"/>
        <v/>
      </c>
      <c r="N738" s="210"/>
      <c r="O738" s="207"/>
      <c r="P738" s="182" t="str">
        <f t="shared" si="188"/>
        <v/>
      </c>
      <c r="Q738" s="183" t="str">
        <f t="shared" si="199"/>
        <v/>
      </c>
      <c r="R738" s="182" t="str">
        <f>IF(M738&lt;&gt;"",IF(#REF!*F738*10=0,"",#REF!*F738*10),"")</f>
        <v/>
      </c>
      <c r="S738" s="184" t="str">
        <f t="shared" si="200"/>
        <v/>
      </c>
      <c r="T738" s="185" t="str">
        <f t="shared" si="189"/>
        <v/>
      </c>
      <c r="U738" s="183" t="str">
        <f t="shared" si="201"/>
        <v/>
      </c>
      <c r="V738" s="186" t="str">
        <f t="shared" si="190"/>
        <v/>
      </c>
      <c r="W738" s="186" t="str">
        <f t="shared" si="191"/>
        <v/>
      </c>
      <c r="X738" s="187" t="str">
        <f t="shared" si="192"/>
        <v/>
      </c>
      <c r="Y738" s="182" t="str">
        <f t="shared" si="202"/>
        <v/>
      </c>
      <c r="Z738" s="209" t="str">
        <f t="shared" si="193"/>
        <v/>
      </c>
      <c r="AA738" s="209" t="str">
        <f t="shared" si="194"/>
        <v/>
      </c>
      <c r="AB738" s="200"/>
      <c r="AC738" s="192"/>
    </row>
    <row r="739" spans="1:29" ht="11.4">
      <c r="A739" s="211" t="str">
        <f t="shared" si="195"/>
        <v/>
      </c>
      <c r="B739" s="211"/>
      <c r="C739" s="215"/>
      <c r="D739" s="213" t="str">
        <f t="shared" si="196"/>
        <v/>
      </c>
      <c r="E739" s="213" t="str">
        <f t="shared" si="204"/>
        <v/>
      </c>
      <c r="F739" s="214" t="str">
        <f t="shared" si="197"/>
        <v/>
      </c>
      <c r="G739" s="180"/>
      <c r="H739" s="181" t="str">
        <f t="shared" si="198"/>
        <v/>
      </c>
      <c r="I739" s="227"/>
      <c r="J739" s="227"/>
      <c r="K739" s="227"/>
      <c r="L739" s="227"/>
      <c r="M739" s="210" t="str">
        <f t="shared" si="203"/>
        <v/>
      </c>
      <c r="N739" s="210"/>
      <c r="O739" s="207"/>
      <c r="P739" s="182" t="str">
        <f t="shared" si="188"/>
        <v/>
      </c>
      <c r="Q739" s="183" t="str">
        <f t="shared" si="199"/>
        <v/>
      </c>
      <c r="R739" s="182" t="str">
        <f>IF(M739&lt;&gt;"",IF(#REF!*F739*10=0,"",#REF!*F739*10),"")</f>
        <v/>
      </c>
      <c r="S739" s="184" t="str">
        <f t="shared" si="200"/>
        <v/>
      </c>
      <c r="T739" s="185" t="str">
        <f t="shared" si="189"/>
        <v/>
      </c>
      <c r="U739" s="183" t="str">
        <f t="shared" si="201"/>
        <v/>
      </c>
      <c r="V739" s="186" t="str">
        <f t="shared" si="190"/>
        <v/>
      </c>
      <c r="W739" s="186" t="str">
        <f t="shared" si="191"/>
        <v/>
      </c>
      <c r="X739" s="187" t="str">
        <f t="shared" si="192"/>
        <v/>
      </c>
      <c r="Y739" s="182" t="str">
        <f t="shared" si="202"/>
        <v/>
      </c>
      <c r="Z739" s="209" t="str">
        <f t="shared" si="193"/>
        <v/>
      </c>
      <c r="AA739" s="209" t="str">
        <f t="shared" si="194"/>
        <v/>
      </c>
      <c r="AB739" s="200"/>
      <c r="AC739" s="192"/>
    </row>
    <row r="740" spans="1:29" ht="11.4">
      <c r="A740" s="211" t="str">
        <f t="shared" si="195"/>
        <v/>
      </c>
      <c r="B740" s="211"/>
      <c r="C740" s="215"/>
      <c r="D740" s="213" t="str">
        <f t="shared" si="196"/>
        <v/>
      </c>
      <c r="E740" s="213" t="str">
        <f t="shared" si="204"/>
        <v/>
      </c>
      <c r="F740" s="214" t="str">
        <f t="shared" si="197"/>
        <v/>
      </c>
      <c r="G740" s="180"/>
      <c r="H740" s="181" t="str">
        <f t="shared" si="198"/>
        <v/>
      </c>
      <c r="I740" s="227"/>
      <c r="J740" s="227"/>
      <c r="K740" s="227"/>
      <c r="L740" s="227"/>
      <c r="M740" s="210" t="str">
        <f t="shared" si="203"/>
        <v/>
      </c>
      <c r="N740" s="210"/>
      <c r="O740" s="207"/>
      <c r="P740" s="182" t="str">
        <f t="shared" si="188"/>
        <v/>
      </c>
      <c r="Q740" s="183" t="str">
        <f t="shared" si="199"/>
        <v/>
      </c>
      <c r="R740" s="182" t="str">
        <f>IF(M740&lt;&gt;"",IF(#REF!*F740*10=0,"",#REF!*F740*10),"")</f>
        <v/>
      </c>
      <c r="S740" s="184" t="str">
        <f t="shared" si="200"/>
        <v/>
      </c>
      <c r="T740" s="185" t="str">
        <f t="shared" si="189"/>
        <v/>
      </c>
      <c r="U740" s="183" t="str">
        <f t="shared" si="201"/>
        <v/>
      </c>
      <c r="V740" s="186" t="str">
        <f t="shared" si="190"/>
        <v/>
      </c>
      <c r="W740" s="186" t="str">
        <f t="shared" si="191"/>
        <v/>
      </c>
      <c r="X740" s="187" t="str">
        <f t="shared" si="192"/>
        <v/>
      </c>
      <c r="Y740" s="182" t="str">
        <f t="shared" si="202"/>
        <v/>
      </c>
      <c r="Z740" s="209" t="str">
        <f t="shared" si="193"/>
        <v/>
      </c>
      <c r="AA740" s="209" t="str">
        <f t="shared" si="194"/>
        <v/>
      </c>
      <c r="AB740" s="200"/>
      <c r="AC740" s="192"/>
    </row>
    <row r="741" spans="1:29" ht="11.4">
      <c r="A741" s="211" t="str">
        <f t="shared" si="195"/>
        <v/>
      </c>
      <c r="B741" s="211"/>
      <c r="C741" s="215"/>
      <c r="D741" s="213" t="str">
        <f t="shared" si="196"/>
        <v/>
      </c>
      <c r="E741" s="213" t="str">
        <f t="shared" si="204"/>
        <v/>
      </c>
      <c r="F741" s="214" t="str">
        <f t="shared" si="197"/>
        <v/>
      </c>
      <c r="G741" s="180"/>
      <c r="H741" s="181" t="str">
        <f t="shared" si="198"/>
        <v/>
      </c>
      <c r="I741" s="227"/>
      <c r="J741" s="227"/>
      <c r="K741" s="227"/>
      <c r="L741" s="227"/>
      <c r="M741" s="210" t="str">
        <f t="shared" si="203"/>
        <v/>
      </c>
      <c r="N741" s="210"/>
      <c r="O741" s="207"/>
      <c r="P741" s="182" t="str">
        <f t="shared" si="188"/>
        <v/>
      </c>
      <c r="Q741" s="183" t="str">
        <f t="shared" si="199"/>
        <v/>
      </c>
      <c r="R741" s="182" t="str">
        <f>IF(M741&lt;&gt;"",IF(#REF!*F741*10=0,"",#REF!*F741*10),"")</f>
        <v/>
      </c>
      <c r="S741" s="184" t="str">
        <f t="shared" si="200"/>
        <v/>
      </c>
      <c r="T741" s="185" t="str">
        <f t="shared" si="189"/>
        <v/>
      </c>
      <c r="U741" s="183" t="str">
        <f t="shared" si="201"/>
        <v/>
      </c>
      <c r="V741" s="186" t="str">
        <f t="shared" si="190"/>
        <v/>
      </c>
      <c r="W741" s="186" t="str">
        <f t="shared" si="191"/>
        <v/>
      </c>
      <c r="X741" s="187" t="str">
        <f t="shared" si="192"/>
        <v/>
      </c>
      <c r="Y741" s="182" t="str">
        <f t="shared" si="202"/>
        <v/>
      </c>
      <c r="Z741" s="209" t="str">
        <f t="shared" si="193"/>
        <v/>
      </c>
      <c r="AA741" s="209" t="str">
        <f t="shared" si="194"/>
        <v/>
      </c>
      <c r="AB741" s="200"/>
      <c r="AC741" s="192"/>
    </row>
    <row r="742" spans="1:29" ht="11.4">
      <c r="A742" s="211" t="str">
        <f t="shared" si="195"/>
        <v/>
      </c>
      <c r="B742" s="211"/>
      <c r="C742" s="215"/>
      <c r="D742" s="213" t="str">
        <f t="shared" si="196"/>
        <v/>
      </c>
      <c r="E742" s="213" t="str">
        <f t="shared" si="204"/>
        <v/>
      </c>
      <c r="F742" s="214" t="str">
        <f t="shared" si="197"/>
        <v/>
      </c>
      <c r="G742" s="180"/>
      <c r="H742" s="181" t="str">
        <f t="shared" si="198"/>
        <v/>
      </c>
      <c r="I742" s="227"/>
      <c r="J742" s="227"/>
      <c r="K742" s="227"/>
      <c r="L742" s="227"/>
      <c r="M742" s="210" t="str">
        <f t="shared" si="203"/>
        <v/>
      </c>
      <c r="N742" s="210"/>
      <c r="O742" s="207"/>
      <c r="P742" s="182" t="str">
        <f t="shared" si="188"/>
        <v/>
      </c>
      <c r="Q742" s="183" t="str">
        <f t="shared" si="199"/>
        <v/>
      </c>
      <c r="R742" s="182" t="str">
        <f>IF(M742&lt;&gt;"",IF(#REF!*F742*10=0,"",#REF!*F742*10),"")</f>
        <v/>
      </c>
      <c r="S742" s="184" t="str">
        <f t="shared" si="200"/>
        <v/>
      </c>
      <c r="T742" s="185" t="str">
        <f t="shared" si="189"/>
        <v/>
      </c>
      <c r="U742" s="183" t="str">
        <f t="shared" si="201"/>
        <v/>
      </c>
      <c r="V742" s="186" t="str">
        <f t="shared" si="190"/>
        <v/>
      </c>
      <c r="W742" s="186" t="str">
        <f t="shared" si="191"/>
        <v/>
      </c>
      <c r="X742" s="187" t="str">
        <f t="shared" si="192"/>
        <v/>
      </c>
      <c r="Y742" s="182" t="str">
        <f t="shared" si="202"/>
        <v/>
      </c>
      <c r="Z742" s="209" t="str">
        <f t="shared" si="193"/>
        <v/>
      </c>
      <c r="AA742" s="209" t="str">
        <f t="shared" si="194"/>
        <v/>
      </c>
      <c r="AB742" s="200"/>
      <c r="AC742" s="192"/>
    </row>
    <row r="743" spans="1:29" ht="11.4">
      <c r="A743" s="211" t="str">
        <f t="shared" si="195"/>
        <v/>
      </c>
      <c r="B743" s="211"/>
      <c r="C743" s="215"/>
      <c r="D743" s="213" t="str">
        <f t="shared" si="196"/>
        <v/>
      </c>
      <c r="E743" s="213" t="str">
        <f t="shared" si="204"/>
        <v/>
      </c>
      <c r="F743" s="214" t="str">
        <f t="shared" si="197"/>
        <v/>
      </c>
      <c r="G743" s="180"/>
      <c r="H743" s="181" t="str">
        <f t="shared" si="198"/>
        <v/>
      </c>
      <c r="I743" s="227"/>
      <c r="J743" s="227"/>
      <c r="K743" s="227"/>
      <c r="L743" s="227"/>
      <c r="M743" s="210" t="str">
        <f t="shared" si="203"/>
        <v/>
      </c>
      <c r="N743" s="210"/>
      <c r="O743" s="207"/>
      <c r="P743" s="182" t="str">
        <f t="shared" si="188"/>
        <v/>
      </c>
      <c r="Q743" s="183" t="str">
        <f t="shared" si="199"/>
        <v/>
      </c>
      <c r="R743" s="182" t="str">
        <f>IF(M743&lt;&gt;"",IF(#REF!*F743*10=0,"",#REF!*F743*10),"")</f>
        <v/>
      </c>
      <c r="S743" s="184" t="str">
        <f t="shared" si="200"/>
        <v/>
      </c>
      <c r="T743" s="185" t="str">
        <f t="shared" si="189"/>
        <v/>
      </c>
      <c r="U743" s="183" t="str">
        <f t="shared" si="201"/>
        <v/>
      </c>
      <c r="V743" s="186" t="str">
        <f t="shared" si="190"/>
        <v/>
      </c>
      <c r="W743" s="186" t="str">
        <f t="shared" si="191"/>
        <v/>
      </c>
      <c r="X743" s="187" t="str">
        <f t="shared" si="192"/>
        <v/>
      </c>
      <c r="Y743" s="182" t="str">
        <f t="shared" si="202"/>
        <v/>
      </c>
      <c r="Z743" s="209" t="str">
        <f t="shared" si="193"/>
        <v/>
      </c>
      <c r="AA743" s="209" t="str">
        <f t="shared" si="194"/>
        <v/>
      </c>
      <c r="AB743" s="200"/>
      <c r="AC743" s="192"/>
    </row>
    <row r="744" spans="1:29" ht="11.4">
      <c r="A744" s="211" t="str">
        <f t="shared" si="195"/>
        <v/>
      </c>
      <c r="B744" s="211"/>
      <c r="C744" s="215"/>
      <c r="D744" s="213" t="str">
        <f t="shared" si="196"/>
        <v/>
      </c>
      <c r="E744" s="213" t="str">
        <f t="shared" si="204"/>
        <v/>
      </c>
      <c r="F744" s="214" t="str">
        <f t="shared" si="197"/>
        <v/>
      </c>
      <c r="G744" s="180"/>
      <c r="H744" s="181" t="str">
        <f t="shared" si="198"/>
        <v/>
      </c>
      <c r="I744" s="227"/>
      <c r="J744" s="227"/>
      <c r="K744" s="227"/>
      <c r="L744" s="227"/>
      <c r="M744" s="210" t="str">
        <f t="shared" si="203"/>
        <v/>
      </c>
      <c r="N744" s="210"/>
      <c r="O744" s="207"/>
      <c r="P744" s="182" t="str">
        <f t="shared" si="188"/>
        <v/>
      </c>
      <c r="Q744" s="183" t="str">
        <f t="shared" si="199"/>
        <v/>
      </c>
      <c r="R744" s="182" t="str">
        <f>IF(M744&lt;&gt;"",IF(#REF!*F744*10=0,"",#REF!*F744*10),"")</f>
        <v/>
      </c>
      <c r="S744" s="184" t="str">
        <f t="shared" si="200"/>
        <v/>
      </c>
      <c r="T744" s="185" t="str">
        <f t="shared" si="189"/>
        <v/>
      </c>
      <c r="U744" s="183" t="str">
        <f t="shared" si="201"/>
        <v/>
      </c>
      <c r="V744" s="186" t="str">
        <f t="shared" si="190"/>
        <v/>
      </c>
      <c r="W744" s="186" t="str">
        <f t="shared" si="191"/>
        <v/>
      </c>
      <c r="X744" s="187" t="str">
        <f t="shared" si="192"/>
        <v/>
      </c>
      <c r="Y744" s="182" t="str">
        <f t="shared" si="202"/>
        <v/>
      </c>
      <c r="Z744" s="209" t="str">
        <f t="shared" si="193"/>
        <v/>
      </c>
      <c r="AA744" s="209" t="str">
        <f t="shared" si="194"/>
        <v/>
      </c>
      <c r="AB744" s="200"/>
      <c r="AC744" s="192"/>
    </row>
    <row r="745" spans="1:29" ht="11.4">
      <c r="A745" s="211" t="str">
        <f t="shared" si="195"/>
        <v/>
      </c>
      <c r="B745" s="211"/>
      <c r="C745" s="215"/>
      <c r="D745" s="213" t="str">
        <f t="shared" si="196"/>
        <v/>
      </c>
      <c r="E745" s="213" t="str">
        <f t="shared" si="204"/>
        <v/>
      </c>
      <c r="F745" s="214" t="str">
        <f t="shared" si="197"/>
        <v/>
      </c>
      <c r="G745" s="180"/>
      <c r="H745" s="181" t="str">
        <f t="shared" si="198"/>
        <v/>
      </c>
      <c r="I745" s="227"/>
      <c r="J745" s="227"/>
      <c r="K745" s="227"/>
      <c r="L745" s="227"/>
      <c r="M745" s="210" t="str">
        <f t="shared" si="203"/>
        <v/>
      </c>
      <c r="N745" s="210"/>
      <c r="O745" s="207"/>
      <c r="P745" s="182" t="str">
        <f t="shared" si="188"/>
        <v/>
      </c>
      <c r="Q745" s="183" t="str">
        <f t="shared" si="199"/>
        <v/>
      </c>
      <c r="R745" s="182" t="str">
        <f>IF(M745&lt;&gt;"",IF(#REF!*F745*10=0,"",#REF!*F745*10),"")</f>
        <v/>
      </c>
      <c r="S745" s="184" t="str">
        <f t="shared" si="200"/>
        <v/>
      </c>
      <c r="T745" s="185" t="str">
        <f t="shared" si="189"/>
        <v/>
      </c>
      <c r="U745" s="183" t="str">
        <f t="shared" si="201"/>
        <v/>
      </c>
      <c r="V745" s="186" t="str">
        <f t="shared" si="190"/>
        <v/>
      </c>
      <c r="W745" s="186" t="str">
        <f t="shared" si="191"/>
        <v/>
      </c>
      <c r="X745" s="187" t="str">
        <f t="shared" si="192"/>
        <v/>
      </c>
      <c r="Y745" s="182" t="str">
        <f t="shared" si="202"/>
        <v/>
      </c>
      <c r="Z745" s="209" t="str">
        <f t="shared" si="193"/>
        <v/>
      </c>
      <c r="AA745" s="209" t="str">
        <f t="shared" si="194"/>
        <v/>
      </c>
      <c r="AB745" s="200"/>
      <c r="AC745" s="192"/>
    </row>
    <row r="746" spans="1:29" ht="11.4">
      <c r="A746" s="211" t="str">
        <f t="shared" si="195"/>
        <v/>
      </c>
      <c r="B746" s="211"/>
      <c r="C746" s="215"/>
      <c r="D746" s="213" t="str">
        <f t="shared" si="196"/>
        <v/>
      </c>
      <c r="E746" s="213" t="str">
        <f t="shared" si="204"/>
        <v/>
      </c>
      <c r="F746" s="214" t="str">
        <f t="shared" si="197"/>
        <v/>
      </c>
      <c r="G746" s="180"/>
      <c r="H746" s="181" t="str">
        <f t="shared" si="198"/>
        <v/>
      </c>
      <c r="I746" s="227"/>
      <c r="J746" s="227"/>
      <c r="K746" s="227"/>
      <c r="L746" s="227"/>
      <c r="M746" s="210" t="str">
        <f t="shared" si="203"/>
        <v/>
      </c>
      <c r="N746" s="210"/>
      <c r="O746" s="207"/>
      <c r="P746" s="182" t="str">
        <f t="shared" si="188"/>
        <v/>
      </c>
      <c r="Q746" s="183" t="str">
        <f t="shared" si="199"/>
        <v/>
      </c>
      <c r="R746" s="182" t="str">
        <f>IF(M746&lt;&gt;"",IF(#REF!*F746*10=0,"",#REF!*F746*10),"")</f>
        <v/>
      </c>
      <c r="S746" s="184" t="str">
        <f t="shared" si="200"/>
        <v/>
      </c>
      <c r="T746" s="185" t="str">
        <f t="shared" si="189"/>
        <v/>
      </c>
      <c r="U746" s="183" t="str">
        <f t="shared" si="201"/>
        <v/>
      </c>
      <c r="V746" s="186" t="str">
        <f t="shared" si="190"/>
        <v/>
      </c>
      <c r="W746" s="186" t="str">
        <f t="shared" si="191"/>
        <v/>
      </c>
      <c r="X746" s="187" t="str">
        <f t="shared" si="192"/>
        <v/>
      </c>
      <c r="Y746" s="182" t="str">
        <f t="shared" si="202"/>
        <v/>
      </c>
      <c r="Z746" s="209" t="str">
        <f t="shared" si="193"/>
        <v/>
      </c>
      <c r="AA746" s="209" t="str">
        <f t="shared" si="194"/>
        <v/>
      </c>
      <c r="AB746" s="200"/>
      <c r="AC746" s="192"/>
    </row>
    <row r="747" spans="1:29" ht="11.4">
      <c r="A747" s="211" t="str">
        <f t="shared" si="195"/>
        <v/>
      </c>
      <c r="B747" s="211"/>
      <c r="C747" s="215"/>
      <c r="D747" s="213" t="str">
        <f t="shared" si="196"/>
        <v/>
      </c>
      <c r="E747" s="213" t="str">
        <f t="shared" si="204"/>
        <v/>
      </c>
      <c r="F747" s="214" t="str">
        <f t="shared" si="197"/>
        <v/>
      </c>
      <c r="G747" s="180"/>
      <c r="H747" s="181" t="str">
        <f t="shared" si="198"/>
        <v/>
      </c>
      <c r="I747" s="227"/>
      <c r="J747" s="227"/>
      <c r="K747" s="227"/>
      <c r="L747" s="227"/>
      <c r="M747" s="210" t="str">
        <f t="shared" si="203"/>
        <v/>
      </c>
      <c r="N747" s="210"/>
      <c r="O747" s="207"/>
      <c r="P747" s="182" t="str">
        <f t="shared" si="188"/>
        <v/>
      </c>
      <c r="Q747" s="183" t="str">
        <f t="shared" si="199"/>
        <v/>
      </c>
      <c r="R747" s="182" t="str">
        <f>IF(M747&lt;&gt;"",IF(#REF!*F747*10=0,"",#REF!*F747*10),"")</f>
        <v/>
      </c>
      <c r="S747" s="184" t="str">
        <f t="shared" si="200"/>
        <v/>
      </c>
      <c r="T747" s="185" t="str">
        <f t="shared" si="189"/>
        <v/>
      </c>
      <c r="U747" s="183" t="str">
        <f t="shared" si="201"/>
        <v/>
      </c>
      <c r="V747" s="186" t="str">
        <f t="shared" si="190"/>
        <v/>
      </c>
      <c r="W747" s="186" t="str">
        <f t="shared" si="191"/>
        <v/>
      </c>
      <c r="X747" s="187" t="str">
        <f t="shared" si="192"/>
        <v/>
      </c>
      <c r="Y747" s="182" t="str">
        <f t="shared" si="202"/>
        <v/>
      </c>
      <c r="Z747" s="209" t="str">
        <f t="shared" si="193"/>
        <v/>
      </c>
      <c r="AA747" s="209" t="str">
        <f t="shared" si="194"/>
        <v/>
      </c>
      <c r="AB747" s="200"/>
      <c r="AC747" s="192"/>
    </row>
    <row r="748" spans="1:29" ht="11.4">
      <c r="A748" s="211" t="str">
        <f t="shared" si="195"/>
        <v/>
      </c>
      <c r="B748" s="211"/>
      <c r="C748" s="215"/>
      <c r="D748" s="213" t="str">
        <f t="shared" si="196"/>
        <v/>
      </c>
      <c r="E748" s="213" t="str">
        <f t="shared" si="204"/>
        <v/>
      </c>
      <c r="F748" s="214" t="str">
        <f t="shared" si="197"/>
        <v/>
      </c>
      <c r="G748" s="180"/>
      <c r="H748" s="181" t="str">
        <f t="shared" si="198"/>
        <v/>
      </c>
      <c r="I748" s="227"/>
      <c r="J748" s="227"/>
      <c r="K748" s="227"/>
      <c r="L748" s="227"/>
      <c r="M748" s="210" t="str">
        <f t="shared" si="203"/>
        <v/>
      </c>
      <c r="N748" s="210"/>
      <c r="O748" s="207"/>
      <c r="P748" s="182" t="str">
        <f t="shared" si="188"/>
        <v/>
      </c>
      <c r="Q748" s="183" t="str">
        <f t="shared" si="199"/>
        <v/>
      </c>
      <c r="R748" s="182" t="str">
        <f>IF(M748&lt;&gt;"",IF(#REF!*F748*10=0,"",#REF!*F748*10),"")</f>
        <v/>
      </c>
      <c r="S748" s="184" t="str">
        <f t="shared" si="200"/>
        <v/>
      </c>
      <c r="T748" s="185" t="str">
        <f t="shared" si="189"/>
        <v/>
      </c>
      <c r="U748" s="183" t="str">
        <f t="shared" si="201"/>
        <v/>
      </c>
      <c r="V748" s="186" t="str">
        <f t="shared" si="190"/>
        <v/>
      </c>
      <c r="W748" s="186" t="str">
        <f t="shared" si="191"/>
        <v/>
      </c>
      <c r="X748" s="187" t="str">
        <f t="shared" si="192"/>
        <v/>
      </c>
      <c r="Y748" s="182" t="str">
        <f t="shared" si="202"/>
        <v/>
      </c>
      <c r="Z748" s="209" t="str">
        <f t="shared" si="193"/>
        <v/>
      </c>
      <c r="AA748" s="209" t="str">
        <f t="shared" si="194"/>
        <v/>
      </c>
      <c r="AB748" s="200"/>
      <c r="AC748" s="192"/>
    </row>
    <row r="749" spans="1:29" ht="11.4">
      <c r="A749" s="211" t="str">
        <f t="shared" si="195"/>
        <v/>
      </c>
      <c r="B749" s="211"/>
      <c r="C749" s="215"/>
      <c r="D749" s="213" t="str">
        <f t="shared" si="196"/>
        <v/>
      </c>
      <c r="E749" s="213" t="str">
        <f t="shared" si="204"/>
        <v/>
      </c>
      <c r="F749" s="214" t="str">
        <f t="shared" si="197"/>
        <v/>
      </c>
      <c r="G749" s="180"/>
      <c r="H749" s="181" t="str">
        <f t="shared" si="198"/>
        <v/>
      </c>
      <c r="I749" s="227"/>
      <c r="J749" s="227"/>
      <c r="K749" s="227"/>
      <c r="L749" s="227"/>
      <c r="M749" s="210" t="str">
        <f t="shared" si="203"/>
        <v/>
      </c>
      <c r="N749" s="210"/>
      <c r="O749" s="207"/>
      <c r="P749" s="182" t="str">
        <f t="shared" si="188"/>
        <v/>
      </c>
      <c r="Q749" s="183" t="str">
        <f t="shared" si="199"/>
        <v/>
      </c>
      <c r="R749" s="182" t="str">
        <f>IF(M749&lt;&gt;"",IF(#REF!*F749*10=0,"",#REF!*F749*10),"")</f>
        <v/>
      </c>
      <c r="S749" s="184" t="str">
        <f t="shared" si="200"/>
        <v/>
      </c>
      <c r="T749" s="185" t="str">
        <f t="shared" si="189"/>
        <v/>
      </c>
      <c r="U749" s="183" t="str">
        <f t="shared" si="201"/>
        <v/>
      </c>
      <c r="V749" s="186" t="str">
        <f t="shared" si="190"/>
        <v/>
      </c>
      <c r="W749" s="186" t="str">
        <f t="shared" si="191"/>
        <v/>
      </c>
      <c r="X749" s="187" t="str">
        <f t="shared" si="192"/>
        <v/>
      </c>
      <c r="Y749" s="182" t="str">
        <f t="shared" si="202"/>
        <v/>
      </c>
      <c r="Z749" s="209" t="str">
        <f t="shared" si="193"/>
        <v/>
      </c>
      <c r="AA749" s="209" t="str">
        <f t="shared" si="194"/>
        <v/>
      </c>
      <c r="AB749" s="200"/>
      <c r="AC749" s="192"/>
    </row>
    <row r="750" spans="1:29" ht="11.4">
      <c r="A750" s="211" t="str">
        <f t="shared" si="195"/>
        <v/>
      </c>
      <c r="B750" s="211"/>
      <c r="C750" s="215"/>
      <c r="D750" s="213" t="str">
        <f t="shared" si="196"/>
        <v/>
      </c>
      <c r="E750" s="213" t="str">
        <f t="shared" si="204"/>
        <v/>
      </c>
      <c r="F750" s="214" t="str">
        <f t="shared" si="197"/>
        <v/>
      </c>
      <c r="G750" s="180"/>
      <c r="H750" s="181" t="str">
        <f t="shared" si="198"/>
        <v/>
      </c>
      <c r="I750" s="227"/>
      <c r="J750" s="227"/>
      <c r="K750" s="227"/>
      <c r="L750" s="227"/>
      <c r="M750" s="210" t="str">
        <f t="shared" si="203"/>
        <v/>
      </c>
      <c r="N750" s="210"/>
      <c r="O750" s="207"/>
      <c r="P750" s="182" t="str">
        <f t="shared" si="188"/>
        <v/>
      </c>
      <c r="Q750" s="183" t="str">
        <f t="shared" si="199"/>
        <v/>
      </c>
      <c r="R750" s="182" t="str">
        <f>IF(M750&lt;&gt;"",IF(#REF!*F750*10=0,"",#REF!*F750*10),"")</f>
        <v/>
      </c>
      <c r="S750" s="184" t="str">
        <f t="shared" si="200"/>
        <v/>
      </c>
      <c r="T750" s="185" t="str">
        <f t="shared" si="189"/>
        <v/>
      </c>
      <c r="U750" s="183" t="str">
        <f t="shared" si="201"/>
        <v/>
      </c>
      <c r="V750" s="186" t="str">
        <f t="shared" si="190"/>
        <v/>
      </c>
      <c r="W750" s="186" t="str">
        <f t="shared" si="191"/>
        <v/>
      </c>
      <c r="X750" s="187" t="str">
        <f t="shared" si="192"/>
        <v/>
      </c>
      <c r="Y750" s="182" t="str">
        <f t="shared" si="202"/>
        <v/>
      </c>
      <c r="Z750" s="209" t="str">
        <f t="shared" si="193"/>
        <v/>
      </c>
      <c r="AA750" s="209" t="str">
        <f t="shared" si="194"/>
        <v/>
      </c>
      <c r="AB750" s="200"/>
      <c r="AC750" s="192"/>
    </row>
    <row r="751" spans="1:29" ht="11.4">
      <c r="A751" s="211" t="str">
        <f t="shared" si="195"/>
        <v/>
      </c>
      <c r="B751" s="211"/>
      <c r="C751" s="215"/>
      <c r="D751" s="213" t="str">
        <f t="shared" si="196"/>
        <v/>
      </c>
      <c r="E751" s="213" t="str">
        <f t="shared" si="204"/>
        <v/>
      </c>
      <c r="F751" s="214" t="str">
        <f t="shared" si="197"/>
        <v/>
      </c>
      <c r="G751" s="180"/>
      <c r="H751" s="181" t="str">
        <f t="shared" si="198"/>
        <v/>
      </c>
      <c r="I751" s="227"/>
      <c r="J751" s="227"/>
      <c r="K751" s="227"/>
      <c r="L751" s="227"/>
      <c r="M751" s="210" t="str">
        <f t="shared" si="203"/>
        <v/>
      </c>
      <c r="N751" s="210"/>
      <c r="O751" s="207"/>
      <c r="P751" s="182" t="str">
        <f t="shared" si="188"/>
        <v/>
      </c>
      <c r="Q751" s="183" t="str">
        <f t="shared" si="199"/>
        <v/>
      </c>
      <c r="R751" s="182" t="str">
        <f>IF(M751&lt;&gt;"",IF(#REF!*F751*10=0,"",#REF!*F751*10),"")</f>
        <v/>
      </c>
      <c r="S751" s="184" t="str">
        <f t="shared" si="200"/>
        <v/>
      </c>
      <c r="T751" s="185" t="str">
        <f t="shared" si="189"/>
        <v/>
      </c>
      <c r="U751" s="183" t="str">
        <f t="shared" si="201"/>
        <v/>
      </c>
      <c r="V751" s="186" t="str">
        <f t="shared" si="190"/>
        <v/>
      </c>
      <c r="W751" s="186" t="str">
        <f t="shared" si="191"/>
        <v/>
      </c>
      <c r="X751" s="187" t="str">
        <f t="shared" si="192"/>
        <v/>
      </c>
      <c r="Y751" s="182" t="str">
        <f t="shared" si="202"/>
        <v/>
      </c>
      <c r="Z751" s="209" t="str">
        <f t="shared" si="193"/>
        <v/>
      </c>
      <c r="AA751" s="209" t="str">
        <f t="shared" si="194"/>
        <v/>
      </c>
      <c r="AB751" s="200"/>
      <c r="AC751" s="192"/>
    </row>
    <row r="752" spans="1:29" ht="11.4">
      <c r="A752" s="211" t="str">
        <f t="shared" si="195"/>
        <v/>
      </c>
      <c r="B752" s="211"/>
      <c r="C752" s="215"/>
      <c r="D752" s="213" t="str">
        <f t="shared" si="196"/>
        <v/>
      </c>
      <c r="E752" s="213" t="str">
        <f t="shared" si="204"/>
        <v/>
      </c>
      <c r="F752" s="214" t="str">
        <f t="shared" si="197"/>
        <v/>
      </c>
      <c r="G752" s="180"/>
      <c r="H752" s="181" t="str">
        <f t="shared" si="198"/>
        <v/>
      </c>
      <c r="I752" s="227"/>
      <c r="J752" s="227"/>
      <c r="K752" s="227"/>
      <c r="L752" s="227"/>
      <c r="M752" s="210" t="str">
        <f t="shared" si="203"/>
        <v/>
      </c>
      <c r="N752" s="210"/>
      <c r="O752" s="207"/>
      <c r="P752" s="182" t="str">
        <f t="shared" si="188"/>
        <v/>
      </c>
      <c r="Q752" s="183" t="str">
        <f t="shared" si="199"/>
        <v/>
      </c>
      <c r="R752" s="182" t="str">
        <f>IF(M752&lt;&gt;"",IF(#REF!*F752*10=0,"",#REF!*F752*10),"")</f>
        <v/>
      </c>
      <c r="S752" s="184" t="str">
        <f t="shared" si="200"/>
        <v/>
      </c>
      <c r="T752" s="185" t="str">
        <f t="shared" si="189"/>
        <v/>
      </c>
      <c r="U752" s="183" t="str">
        <f t="shared" si="201"/>
        <v/>
      </c>
      <c r="V752" s="186" t="str">
        <f t="shared" si="190"/>
        <v/>
      </c>
      <c r="W752" s="186" t="str">
        <f t="shared" si="191"/>
        <v/>
      </c>
      <c r="X752" s="187" t="str">
        <f t="shared" si="192"/>
        <v/>
      </c>
      <c r="Y752" s="182" t="str">
        <f t="shared" si="202"/>
        <v/>
      </c>
      <c r="Z752" s="209" t="str">
        <f t="shared" si="193"/>
        <v/>
      </c>
      <c r="AA752" s="209" t="str">
        <f t="shared" si="194"/>
        <v/>
      </c>
      <c r="AB752" s="200"/>
      <c r="AC752" s="192"/>
    </row>
    <row r="753" spans="1:29" ht="11.4">
      <c r="A753" s="211" t="str">
        <f t="shared" si="195"/>
        <v/>
      </c>
      <c r="B753" s="211"/>
      <c r="C753" s="215"/>
      <c r="D753" s="213" t="str">
        <f t="shared" si="196"/>
        <v/>
      </c>
      <c r="E753" s="213" t="str">
        <f t="shared" si="204"/>
        <v/>
      </c>
      <c r="F753" s="214" t="str">
        <f t="shared" si="197"/>
        <v/>
      </c>
      <c r="G753" s="180"/>
      <c r="H753" s="181" t="str">
        <f t="shared" si="198"/>
        <v/>
      </c>
      <c r="I753" s="227"/>
      <c r="J753" s="227"/>
      <c r="K753" s="227"/>
      <c r="L753" s="227"/>
      <c r="M753" s="210" t="str">
        <f t="shared" si="203"/>
        <v/>
      </c>
      <c r="N753" s="210"/>
      <c r="O753" s="207"/>
      <c r="P753" s="182" t="str">
        <f t="shared" si="188"/>
        <v/>
      </c>
      <c r="Q753" s="183" t="str">
        <f t="shared" si="199"/>
        <v/>
      </c>
      <c r="R753" s="182" t="str">
        <f>IF(M753&lt;&gt;"",IF(#REF!*F753*10=0,"",#REF!*F753*10),"")</f>
        <v/>
      </c>
      <c r="S753" s="184" t="str">
        <f t="shared" si="200"/>
        <v/>
      </c>
      <c r="T753" s="185" t="str">
        <f t="shared" si="189"/>
        <v/>
      </c>
      <c r="U753" s="183" t="str">
        <f t="shared" si="201"/>
        <v/>
      </c>
      <c r="V753" s="186" t="str">
        <f t="shared" si="190"/>
        <v/>
      </c>
      <c r="W753" s="186" t="str">
        <f t="shared" si="191"/>
        <v/>
      </c>
      <c r="X753" s="187" t="str">
        <f t="shared" si="192"/>
        <v/>
      </c>
      <c r="Y753" s="182" t="str">
        <f t="shared" si="202"/>
        <v/>
      </c>
      <c r="Z753" s="209" t="str">
        <f t="shared" si="193"/>
        <v/>
      </c>
      <c r="AA753" s="209" t="str">
        <f t="shared" si="194"/>
        <v/>
      </c>
      <c r="AB753" s="200"/>
      <c r="AC753" s="192"/>
    </row>
    <row r="754" spans="1:29" ht="11.4">
      <c r="A754" s="211" t="str">
        <f t="shared" si="195"/>
        <v/>
      </c>
      <c r="B754" s="211"/>
      <c r="C754" s="215"/>
      <c r="D754" s="213" t="str">
        <f t="shared" si="196"/>
        <v/>
      </c>
      <c r="E754" s="213" t="str">
        <f t="shared" si="204"/>
        <v/>
      </c>
      <c r="F754" s="214" t="str">
        <f t="shared" si="197"/>
        <v/>
      </c>
      <c r="G754" s="180"/>
      <c r="H754" s="181" t="str">
        <f t="shared" si="198"/>
        <v/>
      </c>
      <c r="I754" s="227"/>
      <c r="J754" s="227"/>
      <c r="K754" s="227"/>
      <c r="L754" s="227"/>
      <c r="M754" s="210" t="str">
        <f t="shared" si="203"/>
        <v/>
      </c>
      <c r="N754" s="210"/>
      <c r="O754" s="207"/>
      <c r="P754" s="182" t="str">
        <f t="shared" si="188"/>
        <v/>
      </c>
      <c r="Q754" s="183" t="str">
        <f t="shared" si="199"/>
        <v/>
      </c>
      <c r="R754" s="182" t="str">
        <f>IF(M754&lt;&gt;"",IF(#REF!*F754*10=0,"",#REF!*F754*10),"")</f>
        <v/>
      </c>
      <c r="S754" s="184" t="str">
        <f t="shared" si="200"/>
        <v/>
      </c>
      <c r="T754" s="185" t="str">
        <f t="shared" si="189"/>
        <v/>
      </c>
      <c r="U754" s="183" t="str">
        <f t="shared" si="201"/>
        <v/>
      </c>
      <c r="V754" s="186" t="str">
        <f t="shared" si="190"/>
        <v/>
      </c>
      <c r="W754" s="186" t="str">
        <f t="shared" si="191"/>
        <v/>
      </c>
      <c r="X754" s="187" t="str">
        <f t="shared" si="192"/>
        <v/>
      </c>
      <c r="Y754" s="182" t="str">
        <f t="shared" si="202"/>
        <v/>
      </c>
      <c r="Z754" s="209" t="str">
        <f t="shared" si="193"/>
        <v/>
      </c>
      <c r="AA754" s="209" t="str">
        <f t="shared" si="194"/>
        <v/>
      </c>
      <c r="AB754" s="200"/>
      <c r="AC754" s="192"/>
    </row>
    <row r="755" spans="1:29" ht="11.4">
      <c r="A755" s="211" t="str">
        <f t="shared" si="195"/>
        <v/>
      </c>
      <c r="B755" s="211"/>
      <c r="C755" s="215"/>
      <c r="D755" s="213" t="str">
        <f t="shared" si="196"/>
        <v/>
      </c>
      <c r="E755" s="213" t="str">
        <f t="shared" si="204"/>
        <v/>
      </c>
      <c r="F755" s="214" t="str">
        <f t="shared" si="197"/>
        <v/>
      </c>
      <c r="G755" s="180"/>
      <c r="H755" s="181" t="str">
        <f t="shared" si="198"/>
        <v/>
      </c>
      <c r="I755" s="227"/>
      <c r="J755" s="227"/>
      <c r="K755" s="227"/>
      <c r="L755" s="227"/>
      <c r="M755" s="210" t="str">
        <f t="shared" si="203"/>
        <v/>
      </c>
      <c r="N755" s="210"/>
      <c r="O755" s="207"/>
      <c r="P755" s="182" t="str">
        <f t="shared" si="188"/>
        <v/>
      </c>
      <c r="Q755" s="183" t="str">
        <f t="shared" si="199"/>
        <v/>
      </c>
      <c r="R755" s="182" t="str">
        <f>IF(M755&lt;&gt;"",IF(#REF!*F755*10=0,"",#REF!*F755*10),"")</f>
        <v/>
      </c>
      <c r="S755" s="184" t="str">
        <f t="shared" si="200"/>
        <v/>
      </c>
      <c r="T755" s="185" t="str">
        <f t="shared" si="189"/>
        <v/>
      </c>
      <c r="U755" s="183" t="str">
        <f t="shared" si="201"/>
        <v/>
      </c>
      <c r="V755" s="186" t="str">
        <f t="shared" si="190"/>
        <v/>
      </c>
      <c r="W755" s="186" t="str">
        <f t="shared" si="191"/>
        <v/>
      </c>
      <c r="X755" s="187" t="str">
        <f t="shared" si="192"/>
        <v/>
      </c>
      <c r="Y755" s="182" t="str">
        <f t="shared" si="202"/>
        <v/>
      </c>
      <c r="Z755" s="209" t="str">
        <f t="shared" si="193"/>
        <v/>
      </c>
      <c r="AA755" s="209" t="str">
        <f t="shared" si="194"/>
        <v/>
      </c>
      <c r="AB755" s="200"/>
      <c r="AC755" s="192"/>
    </row>
    <row r="756" spans="1:29" ht="11.4">
      <c r="A756" s="211" t="str">
        <f t="shared" si="195"/>
        <v/>
      </c>
      <c r="B756" s="211"/>
      <c r="C756" s="215"/>
      <c r="D756" s="213" t="str">
        <f t="shared" si="196"/>
        <v/>
      </c>
      <c r="E756" s="213" t="str">
        <f t="shared" si="204"/>
        <v/>
      </c>
      <c r="F756" s="214" t="str">
        <f t="shared" si="197"/>
        <v/>
      </c>
      <c r="G756" s="180"/>
      <c r="H756" s="181" t="str">
        <f t="shared" si="198"/>
        <v/>
      </c>
      <c r="I756" s="227"/>
      <c r="J756" s="227"/>
      <c r="K756" s="227"/>
      <c r="L756" s="227"/>
      <c r="M756" s="210" t="str">
        <f t="shared" si="203"/>
        <v/>
      </c>
      <c r="N756" s="210"/>
      <c r="O756" s="207"/>
      <c r="P756" s="182" t="str">
        <f t="shared" si="188"/>
        <v/>
      </c>
      <c r="Q756" s="183" t="str">
        <f t="shared" si="199"/>
        <v/>
      </c>
      <c r="R756" s="182" t="str">
        <f>IF(M756&lt;&gt;"",IF(#REF!*F756*10=0,"",#REF!*F756*10),"")</f>
        <v/>
      </c>
      <c r="S756" s="184" t="str">
        <f t="shared" si="200"/>
        <v/>
      </c>
      <c r="T756" s="185" t="str">
        <f t="shared" si="189"/>
        <v/>
      </c>
      <c r="U756" s="183" t="str">
        <f t="shared" si="201"/>
        <v/>
      </c>
      <c r="V756" s="186" t="str">
        <f t="shared" si="190"/>
        <v/>
      </c>
      <c r="W756" s="186" t="str">
        <f t="shared" si="191"/>
        <v/>
      </c>
      <c r="X756" s="187" t="str">
        <f t="shared" si="192"/>
        <v/>
      </c>
      <c r="Y756" s="182" t="str">
        <f t="shared" si="202"/>
        <v/>
      </c>
      <c r="Z756" s="209" t="str">
        <f t="shared" si="193"/>
        <v/>
      </c>
      <c r="AA756" s="209" t="str">
        <f t="shared" si="194"/>
        <v/>
      </c>
      <c r="AB756" s="200"/>
      <c r="AC756" s="192"/>
    </row>
    <row r="757" spans="1:29" ht="11.4">
      <c r="A757" s="211" t="str">
        <f t="shared" si="195"/>
        <v/>
      </c>
      <c r="B757" s="211"/>
      <c r="C757" s="215"/>
      <c r="D757" s="213" t="str">
        <f t="shared" si="196"/>
        <v/>
      </c>
      <c r="E757" s="213" t="str">
        <f t="shared" si="204"/>
        <v/>
      </c>
      <c r="F757" s="214" t="str">
        <f t="shared" si="197"/>
        <v/>
      </c>
      <c r="G757" s="180"/>
      <c r="H757" s="181" t="str">
        <f t="shared" si="198"/>
        <v/>
      </c>
      <c r="I757" s="227"/>
      <c r="J757" s="227"/>
      <c r="K757" s="227"/>
      <c r="L757" s="227"/>
      <c r="M757" s="210" t="str">
        <f t="shared" si="203"/>
        <v/>
      </c>
      <c r="N757" s="210"/>
      <c r="O757" s="207"/>
      <c r="P757" s="182" t="str">
        <f t="shared" si="188"/>
        <v/>
      </c>
      <c r="Q757" s="183" t="str">
        <f t="shared" si="199"/>
        <v/>
      </c>
      <c r="R757" s="182" t="str">
        <f>IF(M757&lt;&gt;"",IF(#REF!*F757*10=0,"",#REF!*F757*10),"")</f>
        <v/>
      </c>
      <c r="S757" s="184" t="str">
        <f t="shared" si="200"/>
        <v/>
      </c>
      <c r="T757" s="185" t="str">
        <f t="shared" si="189"/>
        <v/>
      </c>
      <c r="U757" s="183" t="str">
        <f t="shared" si="201"/>
        <v/>
      </c>
      <c r="V757" s="186" t="str">
        <f t="shared" si="190"/>
        <v/>
      </c>
      <c r="W757" s="186" t="str">
        <f t="shared" si="191"/>
        <v/>
      </c>
      <c r="X757" s="187" t="str">
        <f t="shared" si="192"/>
        <v/>
      </c>
      <c r="Y757" s="182" t="str">
        <f t="shared" si="202"/>
        <v/>
      </c>
      <c r="Z757" s="209" t="str">
        <f t="shared" si="193"/>
        <v/>
      </c>
      <c r="AA757" s="209" t="str">
        <f t="shared" si="194"/>
        <v/>
      </c>
      <c r="AB757" s="200"/>
      <c r="AC757" s="192"/>
    </row>
    <row r="758" spans="1:29" ht="11.4">
      <c r="A758" s="211" t="str">
        <f t="shared" si="195"/>
        <v/>
      </c>
      <c r="B758" s="211"/>
      <c r="C758" s="215"/>
      <c r="D758" s="213" t="str">
        <f t="shared" si="196"/>
        <v/>
      </c>
      <c r="E758" s="213" t="str">
        <f t="shared" si="204"/>
        <v/>
      </c>
      <c r="F758" s="214" t="str">
        <f t="shared" si="197"/>
        <v/>
      </c>
      <c r="G758" s="180"/>
      <c r="H758" s="181" t="str">
        <f t="shared" si="198"/>
        <v/>
      </c>
      <c r="I758" s="227"/>
      <c r="J758" s="227"/>
      <c r="K758" s="227"/>
      <c r="L758" s="227"/>
      <c r="M758" s="210" t="str">
        <f t="shared" si="203"/>
        <v/>
      </c>
      <c r="N758" s="210"/>
      <c r="O758" s="207"/>
      <c r="P758" s="182" t="str">
        <f t="shared" si="188"/>
        <v/>
      </c>
      <c r="Q758" s="183" t="str">
        <f t="shared" si="199"/>
        <v/>
      </c>
      <c r="R758" s="182" t="str">
        <f>IF(M758&lt;&gt;"",IF(#REF!*F758*10=0,"",#REF!*F758*10),"")</f>
        <v/>
      </c>
      <c r="S758" s="184" t="str">
        <f t="shared" si="200"/>
        <v/>
      </c>
      <c r="T758" s="185" t="str">
        <f t="shared" si="189"/>
        <v/>
      </c>
      <c r="U758" s="183" t="str">
        <f t="shared" si="201"/>
        <v/>
      </c>
      <c r="V758" s="186" t="str">
        <f t="shared" si="190"/>
        <v/>
      </c>
      <c r="W758" s="186" t="str">
        <f t="shared" si="191"/>
        <v/>
      </c>
      <c r="X758" s="187" t="str">
        <f t="shared" si="192"/>
        <v/>
      </c>
      <c r="Y758" s="182" t="str">
        <f t="shared" si="202"/>
        <v/>
      </c>
      <c r="Z758" s="209" t="str">
        <f t="shared" si="193"/>
        <v/>
      </c>
      <c r="AA758" s="209" t="str">
        <f t="shared" si="194"/>
        <v/>
      </c>
      <c r="AB758" s="200"/>
      <c r="AC758" s="192"/>
    </row>
    <row r="759" spans="1:29" ht="11.4">
      <c r="A759" s="211" t="str">
        <f t="shared" si="195"/>
        <v/>
      </c>
      <c r="B759" s="211"/>
      <c r="C759" s="215"/>
      <c r="D759" s="213" t="str">
        <f t="shared" si="196"/>
        <v/>
      </c>
      <c r="E759" s="213" t="str">
        <f t="shared" si="204"/>
        <v/>
      </c>
      <c r="F759" s="214" t="str">
        <f t="shared" si="197"/>
        <v/>
      </c>
      <c r="G759" s="180"/>
      <c r="H759" s="181" t="str">
        <f t="shared" si="198"/>
        <v/>
      </c>
      <c r="I759" s="227"/>
      <c r="J759" s="227"/>
      <c r="K759" s="227"/>
      <c r="L759" s="227"/>
      <c r="M759" s="210" t="str">
        <f t="shared" si="203"/>
        <v/>
      </c>
      <c r="N759" s="210"/>
      <c r="O759" s="207"/>
      <c r="P759" s="182" t="str">
        <f t="shared" si="188"/>
        <v/>
      </c>
      <c r="Q759" s="183" t="str">
        <f t="shared" si="199"/>
        <v/>
      </c>
      <c r="R759" s="182" t="str">
        <f>IF(M759&lt;&gt;"",IF(#REF!*F759*10=0,"",#REF!*F759*10),"")</f>
        <v/>
      </c>
      <c r="S759" s="184" t="str">
        <f t="shared" si="200"/>
        <v/>
      </c>
      <c r="T759" s="185" t="str">
        <f t="shared" si="189"/>
        <v/>
      </c>
      <c r="U759" s="183" t="str">
        <f t="shared" si="201"/>
        <v/>
      </c>
      <c r="V759" s="186" t="str">
        <f t="shared" si="190"/>
        <v/>
      </c>
      <c r="W759" s="186" t="str">
        <f t="shared" si="191"/>
        <v/>
      </c>
      <c r="X759" s="187" t="str">
        <f t="shared" si="192"/>
        <v/>
      </c>
      <c r="Y759" s="182" t="str">
        <f t="shared" si="202"/>
        <v/>
      </c>
      <c r="Z759" s="209" t="str">
        <f t="shared" si="193"/>
        <v/>
      </c>
      <c r="AA759" s="209" t="str">
        <f t="shared" si="194"/>
        <v/>
      </c>
      <c r="AB759" s="200"/>
      <c r="AC759" s="192"/>
    </row>
    <row r="760" spans="1:29" ht="11.4">
      <c r="A760" s="211" t="str">
        <f t="shared" si="195"/>
        <v/>
      </c>
      <c r="B760" s="211"/>
      <c r="C760" s="215"/>
      <c r="D760" s="213" t="str">
        <f t="shared" si="196"/>
        <v/>
      </c>
      <c r="E760" s="213" t="str">
        <f t="shared" si="204"/>
        <v/>
      </c>
      <c r="F760" s="214" t="str">
        <f t="shared" si="197"/>
        <v/>
      </c>
      <c r="G760" s="180"/>
      <c r="H760" s="181" t="str">
        <f t="shared" si="198"/>
        <v/>
      </c>
      <c r="I760" s="227"/>
      <c r="J760" s="227"/>
      <c r="K760" s="227"/>
      <c r="L760" s="227"/>
      <c r="M760" s="210" t="str">
        <f t="shared" si="203"/>
        <v/>
      </c>
      <c r="N760" s="210"/>
      <c r="O760" s="207"/>
      <c r="P760" s="182" t="str">
        <f t="shared" si="188"/>
        <v/>
      </c>
      <c r="Q760" s="183" t="str">
        <f t="shared" si="199"/>
        <v/>
      </c>
      <c r="R760" s="182" t="str">
        <f>IF(M760&lt;&gt;"",IF(#REF!*F760*10=0,"",#REF!*F760*10),"")</f>
        <v/>
      </c>
      <c r="S760" s="184" t="str">
        <f t="shared" si="200"/>
        <v/>
      </c>
      <c r="T760" s="185" t="str">
        <f t="shared" si="189"/>
        <v/>
      </c>
      <c r="U760" s="183" t="str">
        <f t="shared" si="201"/>
        <v/>
      </c>
      <c r="V760" s="186" t="str">
        <f t="shared" si="190"/>
        <v/>
      </c>
      <c r="W760" s="186" t="str">
        <f t="shared" si="191"/>
        <v/>
      </c>
      <c r="X760" s="187" t="str">
        <f t="shared" si="192"/>
        <v/>
      </c>
      <c r="Y760" s="182" t="str">
        <f t="shared" si="202"/>
        <v/>
      </c>
      <c r="Z760" s="209" t="str">
        <f t="shared" si="193"/>
        <v/>
      </c>
      <c r="AA760" s="209" t="str">
        <f t="shared" si="194"/>
        <v/>
      </c>
      <c r="AB760" s="200"/>
      <c r="AC760" s="192"/>
    </row>
    <row r="761" spans="1:29" ht="11.4">
      <c r="A761" s="211" t="str">
        <f t="shared" si="195"/>
        <v/>
      </c>
      <c r="B761" s="211"/>
      <c r="C761" s="215"/>
      <c r="D761" s="213" t="str">
        <f t="shared" si="196"/>
        <v/>
      </c>
      <c r="E761" s="213" t="str">
        <f t="shared" si="204"/>
        <v/>
      </c>
      <c r="F761" s="214" t="str">
        <f t="shared" si="197"/>
        <v/>
      </c>
      <c r="G761" s="180"/>
      <c r="H761" s="181" t="str">
        <f t="shared" si="198"/>
        <v/>
      </c>
      <c r="I761" s="227"/>
      <c r="J761" s="227"/>
      <c r="K761" s="227"/>
      <c r="L761" s="227"/>
      <c r="M761" s="210" t="str">
        <f t="shared" si="203"/>
        <v/>
      </c>
      <c r="N761" s="210"/>
      <c r="O761" s="207"/>
      <c r="P761" s="182" t="str">
        <f t="shared" si="188"/>
        <v/>
      </c>
      <c r="Q761" s="183" t="str">
        <f t="shared" si="199"/>
        <v/>
      </c>
      <c r="R761" s="182" t="str">
        <f>IF(M761&lt;&gt;"",IF(#REF!*F761*10=0,"",#REF!*F761*10),"")</f>
        <v/>
      </c>
      <c r="S761" s="184" t="str">
        <f t="shared" si="200"/>
        <v/>
      </c>
      <c r="T761" s="185" t="str">
        <f t="shared" si="189"/>
        <v/>
      </c>
      <c r="U761" s="183" t="str">
        <f t="shared" si="201"/>
        <v/>
      </c>
      <c r="V761" s="186" t="str">
        <f t="shared" si="190"/>
        <v/>
      </c>
      <c r="W761" s="186" t="str">
        <f t="shared" si="191"/>
        <v/>
      </c>
      <c r="X761" s="187" t="str">
        <f t="shared" si="192"/>
        <v/>
      </c>
      <c r="Y761" s="182" t="str">
        <f t="shared" si="202"/>
        <v/>
      </c>
      <c r="Z761" s="209" t="str">
        <f t="shared" si="193"/>
        <v/>
      </c>
      <c r="AA761" s="209" t="str">
        <f t="shared" si="194"/>
        <v/>
      </c>
      <c r="AB761" s="200"/>
      <c r="AC761" s="192"/>
    </row>
    <row r="762" spans="1:29" ht="11.4">
      <c r="A762" s="211" t="str">
        <f t="shared" si="195"/>
        <v/>
      </c>
      <c r="B762" s="211"/>
      <c r="C762" s="215"/>
      <c r="D762" s="213" t="str">
        <f t="shared" si="196"/>
        <v/>
      </c>
      <c r="E762" s="213" t="str">
        <f t="shared" si="204"/>
        <v/>
      </c>
      <c r="F762" s="214" t="str">
        <f t="shared" si="197"/>
        <v/>
      </c>
      <c r="G762" s="180"/>
      <c r="H762" s="181" t="str">
        <f t="shared" si="198"/>
        <v/>
      </c>
      <c r="I762" s="227"/>
      <c r="J762" s="227"/>
      <c r="K762" s="227"/>
      <c r="L762" s="227"/>
      <c r="M762" s="210" t="str">
        <f t="shared" si="203"/>
        <v/>
      </c>
      <c r="N762" s="210"/>
      <c r="O762" s="207"/>
      <c r="P762" s="182" t="str">
        <f t="shared" si="188"/>
        <v/>
      </c>
      <c r="Q762" s="183" t="str">
        <f t="shared" si="199"/>
        <v/>
      </c>
      <c r="R762" s="182" t="str">
        <f>IF(M762&lt;&gt;"",IF(#REF!*F762*10=0,"",#REF!*F762*10),"")</f>
        <v/>
      </c>
      <c r="S762" s="184" t="str">
        <f t="shared" si="200"/>
        <v/>
      </c>
      <c r="T762" s="185" t="str">
        <f t="shared" si="189"/>
        <v/>
      </c>
      <c r="U762" s="183" t="str">
        <f t="shared" si="201"/>
        <v/>
      </c>
      <c r="V762" s="186" t="str">
        <f t="shared" si="190"/>
        <v/>
      </c>
      <c r="W762" s="186" t="str">
        <f t="shared" si="191"/>
        <v/>
      </c>
      <c r="X762" s="187" t="str">
        <f t="shared" si="192"/>
        <v/>
      </c>
      <c r="Y762" s="182" t="str">
        <f t="shared" si="202"/>
        <v/>
      </c>
      <c r="Z762" s="209" t="str">
        <f t="shared" si="193"/>
        <v/>
      </c>
      <c r="AA762" s="209" t="str">
        <f t="shared" si="194"/>
        <v/>
      </c>
      <c r="AB762" s="200"/>
      <c r="AC762" s="192"/>
    </row>
    <row r="763" spans="1:29" ht="11.4">
      <c r="A763" s="211" t="str">
        <f t="shared" si="195"/>
        <v/>
      </c>
      <c r="B763" s="211"/>
      <c r="C763" s="215"/>
      <c r="D763" s="213" t="str">
        <f t="shared" si="196"/>
        <v/>
      </c>
      <c r="E763" s="213" t="str">
        <f t="shared" si="204"/>
        <v/>
      </c>
      <c r="F763" s="214" t="str">
        <f t="shared" si="197"/>
        <v/>
      </c>
      <c r="G763" s="180"/>
      <c r="H763" s="181" t="str">
        <f t="shared" si="198"/>
        <v/>
      </c>
      <c r="I763" s="227"/>
      <c r="J763" s="227"/>
      <c r="K763" s="227"/>
      <c r="L763" s="227"/>
      <c r="M763" s="210" t="str">
        <f t="shared" si="203"/>
        <v/>
      </c>
      <c r="N763" s="210"/>
      <c r="O763" s="207"/>
      <c r="P763" s="182" t="str">
        <f t="shared" si="188"/>
        <v/>
      </c>
      <c r="Q763" s="183" t="str">
        <f t="shared" si="199"/>
        <v/>
      </c>
      <c r="R763" s="182" t="str">
        <f>IF(M763&lt;&gt;"",IF(#REF!*F763*10=0,"",#REF!*F763*10),"")</f>
        <v/>
      </c>
      <c r="S763" s="184" t="str">
        <f t="shared" si="200"/>
        <v/>
      </c>
      <c r="T763" s="185" t="str">
        <f t="shared" si="189"/>
        <v/>
      </c>
      <c r="U763" s="183" t="str">
        <f t="shared" si="201"/>
        <v/>
      </c>
      <c r="V763" s="186" t="str">
        <f t="shared" si="190"/>
        <v/>
      </c>
      <c r="W763" s="186" t="str">
        <f t="shared" si="191"/>
        <v/>
      </c>
      <c r="X763" s="187" t="str">
        <f t="shared" si="192"/>
        <v/>
      </c>
      <c r="Y763" s="182" t="str">
        <f t="shared" si="202"/>
        <v/>
      </c>
      <c r="Z763" s="209" t="str">
        <f t="shared" si="193"/>
        <v/>
      </c>
      <c r="AA763" s="209" t="str">
        <f t="shared" si="194"/>
        <v/>
      </c>
      <c r="AB763" s="200"/>
      <c r="AC763" s="192"/>
    </row>
    <row r="764" spans="1:29" ht="11.4">
      <c r="A764" s="211" t="str">
        <f t="shared" si="195"/>
        <v/>
      </c>
      <c r="B764" s="211"/>
      <c r="C764" s="215"/>
      <c r="D764" s="213" t="str">
        <f t="shared" si="196"/>
        <v/>
      </c>
      <c r="E764" s="213" t="str">
        <f t="shared" si="204"/>
        <v/>
      </c>
      <c r="F764" s="214" t="str">
        <f t="shared" si="197"/>
        <v/>
      </c>
      <c r="G764" s="180"/>
      <c r="H764" s="181" t="str">
        <f t="shared" si="198"/>
        <v/>
      </c>
      <c r="I764" s="227"/>
      <c r="J764" s="227"/>
      <c r="K764" s="227"/>
      <c r="L764" s="227"/>
      <c r="M764" s="210" t="str">
        <f t="shared" si="203"/>
        <v/>
      </c>
      <c r="N764" s="210"/>
      <c r="O764" s="207"/>
      <c r="P764" s="182" t="str">
        <f t="shared" si="188"/>
        <v/>
      </c>
      <c r="Q764" s="183" t="str">
        <f t="shared" si="199"/>
        <v/>
      </c>
      <c r="R764" s="182" t="str">
        <f>IF(M764&lt;&gt;"",IF(#REF!*F764*10=0,"",#REF!*F764*10),"")</f>
        <v/>
      </c>
      <c r="S764" s="184" t="str">
        <f t="shared" si="200"/>
        <v/>
      </c>
      <c r="T764" s="185" t="str">
        <f t="shared" si="189"/>
        <v/>
      </c>
      <c r="U764" s="183" t="str">
        <f t="shared" si="201"/>
        <v/>
      </c>
      <c r="V764" s="186" t="str">
        <f t="shared" si="190"/>
        <v/>
      </c>
      <c r="W764" s="186" t="str">
        <f t="shared" si="191"/>
        <v/>
      </c>
      <c r="X764" s="187" t="str">
        <f t="shared" si="192"/>
        <v/>
      </c>
      <c r="Y764" s="182" t="str">
        <f t="shared" si="202"/>
        <v/>
      </c>
      <c r="Z764" s="209" t="str">
        <f t="shared" si="193"/>
        <v/>
      </c>
      <c r="AA764" s="209" t="str">
        <f t="shared" si="194"/>
        <v/>
      </c>
      <c r="AB764" s="200"/>
      <c r="AC764" s="192"/>
    </row>
    <row r="765" spans="1:29" ht="11.4">
      <c r="A765" s="211" t="str">
        <f t="shared" si="195"/>
        <v/>
      </c>
      <c r="B765" s="211"/>
      <c r="C765" s="215"/>
      <c r="D765" s="213" t="str">
        <f t="shared" si="196"/>
        <v/>
      </c>
      <c r="E765" s="213" t="str">
        <f t="shared" si="204"/>
        <v/>
      </c>
      <c r="F765" s="214" t="str">
        <f t="shared" si="197"/>
        <v/>
      </c>
      <c r="G765" s="180"/>
      <c r="H765" s="181" t="str">
        <f t="shared" si="198"/>
        <v/>
      </c>
      <c r="I765" s="227"/>
      <c r="J765" s="227"/>
      <c r="K765" s="227"/>
      <c r="L765" s="227"/>
      <c r="M765" s="210" t="str">
        <f t="shared" si="203"/>
        <v/>
      </c>
      <c r="N765" s="210"/>
      <c r="O765" s="207"/>
      <c r="P765" s="182" t="str">
        <f t="shared" si="188"/>
        <v/>
      </c>
      <c r="Q765" s="183" t="str">
        <f t="shared" si="199"/>
        <v/>
      </c>
      <c r="R765" s="182" t="str">
        <f>IF(M765&lt;&gt;"",IF(#REF!*F765*10=0,"",#REF!*F765*10),"")</f>
        <v/>
      </c>
      <c r="S765" s="184" t="str">
        <f t="shared" si="200"/>
        <v/>
      </c>
      <c r="T765" s="185" t="str">
        <f t="shared" si="189"/>
        <v/>
      </c>
      <c r="U765" s="183" t="str">
        <f t="shared" si="201"/>
        <v/>
      </c>
      <c r="V765" s="186" t="str">
        <f t="shared" si="190"/>
        <v/>
      </c>
      <c r="W765" s="186" t="str">
        <f t="shared" si="191"/>
        <v/>
      </c>
      <c r="X765" s="187" t="str">
        <f t="shared" si="192"/>
        <v/>
      </c>
      <c r="Y765" s="182" t="str">
        <f t="shared" si="202"/>
        <v/>
      </c>
      <c r="Z765" s="209" t="str">
        <f t="shared" si="193"/>
        <v/>
      </c>
      <c r="AA765" s="209" t="str">
        <f t="shared" si="194"/>
        <v/>
      </c>
      <c r="AB765" s="200"/>
      <c r="AC765" s="192"/>
    </row>
    <row r="766" spans="1:29" ht="11.4">
      <c r="A766" s="211" t="str">
        <f t="shared" si="195"/>
        <v/>
      </c>
      <c r="B766" s="211"/>
      <c r="C766" s="215"/>
      <c r="D766" s="213" t="str">
        <f t="shared" si="196"/>
        <v/>
      </c>
      <c r="E766" s="213" t="str">
        <f t="shared" si="204"/>
        <v/>
      </c>
      <c r="F766" s="214" t="str">
        <f t="shared" si="197"/>
        <v/>
      </c>
      <c r="G766" s="180"/>
      <c r="H766" s="181" t="str">
        <f t="shared" si="198"/>
        <v/>
      </c>
      <c r="I766" s="227"/>
      <c r="J766" s="227"/>
      <c r="K766" s="227"/>
      <c r="L766" s="227"/>
      <c r="M766" s="210" t="str">
        <f t="shared" si="203"/>
        <v/>
      </c>
      <c r="N766" s="210"/>
      <c r="O766" s="207"/>
      <c r="P766" s="182" t="str">
        <f t="shared" si="188"/>
        <v/>
      </c>
      <c r="Q766" s="183" t="str">
        <f t="shared" si="199"/>
        <v/>
      </c>
      <c r="R766" s="182" t="str">
        <f>IF(M766&lt;&gt;"",IF(#REF!*F766*10=0,"",#REF!*F766*10),"")</f>
        <v/>
      </c>
      <c r="S766" s="184" t="str">
        <f t="shared" si="200"/>
        <v/>
      </c>
      <c r="T766" s="185" t="str">
        <f t="shared" si="189"/>
        <v/>
      </c>
      <c r="U766" s="183" t="str">
        <f t="shared" si="201"/>
        <v/>
      </c>
      <c r="V766" s="186" t="str">
        <f t="shared" si="190"/>
        <v/>
      </c>
      <c r="W766" s="186" t="str">
        <f t="shared" si="191"/>
        <v/>
      </c>
      <c r="X766" s="187" t="str">
        <f t="shared" si="192"/>
        <v/>
      </c>
      <c r="Y766" s="182" t="str">
        <f t="shared" si="202"/>
        <v/>
      </c>
      <c r="Z766" s="209" t="str">
        <f t="shared" si="193"/>
        <v/>
      </c>
      <c r="AA766" s="209" t="str">
        <f t="shared" si="194"/>
        <v/>
      </c>
      <c r="AB766" s="200"/>
      <c r="AC766" s="192"/>
    </row>
    <row r="767" spans="1:29" ht="11.4">
      <c r="A767" s="211" t="str">
        <f t="shared" si="195"/>
        <v/>
      </c>
      <c r="B767" s="211"/>
      <c r="C767" s="215"/>
      <c r="D767" s="213" t="str">
        <f t="shared" si="196"/>
        <v/>
      </c>
      <c r="E767" s="213" t="str">
        <f t="shared" si="204"/>
        <v/>
      </c>
      <c r="F767" s="214" t="str">
        <f t="shared" si="197"/>
        <v/>
      </c>
      <c r="G767" s="180"/>
      <c r="H767" s="181" t="str">
        <f t="shared" si="198"/>
        <v/>
      </c>
      <c r="I767" s="227"/>
      <c r="J767" s="227"/>
      <c r="K767" s="227"/>
      <c r="L767" s="227"/>
      <c r="M767" s="210" t="str">
        <f t="shared" si="203"/>
        <v/>
      </c>
      <c r="N767" s="210"/>
      <c r="O767" s="207"/>
      <c r="P767" s="182" t="str">
        <f t="shared" si="188"/>
        <v/>
      </c>
      <c r="Q767" s="183" t="str">
        <f t="shared" si="199"/>
        <v/>
      </c>
      <c r="R767" s="182" t="str">
        <f>IF(M767&lt;&gt;"",IF(#REF!*F767*10=0,"",#REF!*F767*10),"")</f>
        <v/>
      </c>
      <c r="S767" s="184" t="str">
        <f t="shared" si="200"/>
        <v/>
      </c>
      <c r="T767" s="185" t="str">
        <f t="shared" si="189"/>
        <v/>
      </c>
      <c r="U767" s="183" t="str">
        <f t="shared" si="201"/>
        <v/>
      </c>
      <c r="V767" s="186" t="str">
        <f t="shared" si="190"/>
        <v/>
      </c>
      <c r="W767" s="186" t="str">
        <f t="shared" si="191"/>
        <v/>
      </c>
      <c r="X767" s="187" t="str">
        <f t="shared" si="192"/>
        <v/>
      </c>
      <c r="Y767" s="182" t="str">
        <f t="shared" si="202"/>
        <v/>
      </c>
      <c r="Z767" s="209" t="str">
        <f t="shared" si="193"/>
        <v/>
      </c>
      <c r="AA767" s="209" t="str">
        <f t="shared" si="194"/>
        <v/>
      </c>
      <c r="AB767" s="200"/>
      <c r="AC767" s="192"/>
    </row>
    <row r="768" spans="1:29" ht="11.4">
      <c r="A768" s="211" t="str">
        <f t="shared" si="195"/>
        <v/>
      </c>
      <c r="B768" s="211"/>
      <c r="C768" s="215"/>
      <c r="D768" s="213" t="str">
        <f t="shared" si="196"/>
        <v/>
      </c>
      <c r="E768" s="213" t="str">
        <f t="shared" si="204"/>
        <v/>
      </c>
      <c r="F768" s="214" t="str">
        <f t="shared" si="197"/>
        <v/>
      </c>
      <c r="G768" s="180"/>
      <c r="H768" s="181" t="str">
        <f t="shared" si="198"/>
        <v/>
      </c>
      <c r="I768" s="227"/>
      <c r="J768" s="227"/>
      <c r="K768" s="227"/>
      <c r="L768" s="227"/>
      <c r="M768" s="210" t="str">
        <f t="shared" si="203"/>
        <v/>
      </c>
      <c r="N768" s="210"/>
      <c r="O768" s="207"/>
      <c r="P768" s="182" t="str">
        <f t="shared" si="188"/>
        <v/>
      </c>
      <c r="Q768" s="183" t="str">
        <f t="shared" si="199"/>
        <v/>
      </c>
      <c r="R768" s="182" t="str">
        <f>IF(M768&lt;&gt;"",IF(#REF!*F768*10=0,"",#REF!*F768*10),"")</f>
        <v/>
      </c>
      <c r="S768" s="184" t="str">
        <f t="shared" si="200"/>
        <v/>
      </c>
      <c r="T768" s="185" t="str">
        <f t="shared" si="189"/>
        <v/>
      </c>
      <c r="U768" s="183" t="str">
        <f t="shared" si="201"/>
        <v/>
      </c>
      <c r="V768" s="186" t="str">
        <f t="shared" si="190"/>
        <v/>
      </c>
      <c r="W768" s="186" t="str">
        <f t="shared" si="191"/>
        <v/>
      </c>
      <c r="X768" s="187" t="str">
        <f t="shared" si="192"/>
        <v/>
      </c>
      <c r="Y768" s="182" t="str">
        <f t="shared" si="202"/>
        <v/>
      </c>
      <c r="Z768" s="209" t="str">
        <f t="shared" si="193"/>
        <v/>
      </c>
      <c r="AA768" s="209" t="str">
        <f t="shared" si="194"/>
        <v/>
      </c>
      <c r="AB768" s="200"/>
      <c r="AC768" s="192"/>
    </row>
    <row r="769" spans="1:29" ht="11.4">
      <c r="A769" s="211" t="str">
        <f t="shared" si="195"/>
        <v/>
      </c>
      <c r="B769" s="211"/>
      <c r="C769" s="215"/>
      <c r="D769" s="213" t="str">
        <f t="shared" si="196"/>
        <v/>
      </c>
      <c r="E769" s="213" t="str">
        <f t="shared" si="204"/>
        <v/>
      </c>
      <c r="F769" s="214" t="str">
        <f t="shared" si="197"/>
        <v/>
      </c>
      <c r="G769" s="180"/>
      <c r="H769" s="181" t="str">
        <f t="shared" si="198"/>
        <v/>
      </c>
      <c r="I769" s="227"/>
      <c r="J769" s="227"/>
      <c r="K769" s="227"/>
      <c r="L769" s="227"/>
      <c r="M769" s="210" t="str">
        <f t="shared" si="203"/>
        <v/>
      </c>
      <c r="N769" s="210"/>
      <c r="O769" s="207"/>
      <c r="P769" s="182" t="str">
        <f t="shared" si="188"/>
        <v/>
      </c>
      <c r="Q769" s="183" t="str">
        <f t="shared" si="199"/>
        <v/>
      </c>
      <c r="R769" s="182" t="str">
        <f>IF(M769&lt;&gt;"",IF(#REF!*F769*10=0,"",#REF!*F769*10),"")</f>
        <v/>
      </c>
      <c r="S769" s="184" t="str">
        <f t="shared" si="200"/>
        <v/>
      </c>
      <c r="T769" s="185" t="str">
        <f t="shared" si="189"/>
        <v/>
      </c>
      <c r="U769" s="183" t="str">
        <f t="shared" si="201"/>
        <v/>
      </c>
      <c r="V769" s="186" t="str">
        <f t="shared" si="190"/>
        <v/>
      </c>
      <c r="W769" s="186" t="str">
        <f t="shared" si="191"/>
        <v/>
      </c>
      <c r="X769" s="187" t="str">
        <f t="shared" si="192"/>
        <v/>
      </c>
      <c r="Y769" s="182" t="str">
        <f t="shared" si="202"/>
        <v/>
      </c>
      <c r="Z769" s="209" t="str">
        <f t="shared" si="193"/>
        <v/>
      </c>
      <c r="AA769" s="209" t="str">
        <f t="shared" si="194"/>
        <v/>
      </c>
      <c r="AB769" s="200"/>
      <c r="AC769" s="192"/>
    </row>
    <row r="770" spans="1:29" ht="11.4">
      <c r="A770" s="211" t="str">
        <f t="shared" si="195"/>
        <v/>
      </c>
      <c r="B770" s="211"/>
      <c r="C770" s="215"/>
      <c r="D770" s="213" t="str">
        <f t="shared" si="196"/>
        <v/>
      </c>
      <c r="E770" s="213" t="str">
        <f t="shared" si="204"/>
        <v/>
      </c>
      <c r="F770" s="214" t="str">
        <f t="shared" si="197"/>
        <v/>
      </c>
      <c r="G770" s="180"/>
      <c r="H770" s="181" t="str">
        <f t="shared" si="198"/>
        <v/>
      </c>
      <c r="I770" s="227"/>
      <c r="J770" s="227"/>
      <c r="K770" s="227"/>
      <c r="L770" s="227"/>
      <c r="M770" s="210" t="str">
        <f t="shared" si="203"/>
        <v/>
      </c>
      <c r="N770" s="210"/>
      <c r="O770" s="207"/>
      <c r="P770" s="182" t="str">
        <f t="shared" si="188"/>
        <v/>
      </c>
      <c r="Q770" s="183" t="str">
        <f t="shared" si="199"/>
        <v/>
      </c>
      <c r="R770" s="182" t="str">
        <f>IF(M770&lt;&gt;"",IF(#REF!*F770*10=0,"",#REF!*F770*10),"")</f>
        <v/>
      </c>
      <c r="S770" s="184" t="str">
        <f t="shared" si="200"/>
        <v/>
      </c>
      <c r="T770" s="185" t="str">
        <f t="shared" si="189"/>
        <v/>
      </c>
      <c r="U770" s="183" t="str">
        <f t="shared" si="201"/>
        <v/>
      </c>
      <c r="V770" s="186" t="str">
        <f t="shared" si="190"/>
        <v/>
      </c>
      <c r="W770" s="186" t="str">
        <f t="shared" si="191"/>
        <v/>
      </c>
      <c r="X770" s="187" t="str">
        <f t="shared" si="192"/>
        <v/>
      </c>
      <c r="Y770" s="182" t="str">
        <f t="shared" si="202"/>
        <v/>
      </c>
      <c r="Z770" s="209" t="str">
        <f t="shared" si="193"/>
        <v/>
      </c>
      <c r="AA770" s="209" t="str">
        <f t="shared" si="194"/>
        <v/>
      </c>
      <c r="AB770" s="200"/>
      <c r="AC770" s="192"/>
    </row>
    <row r="771" spans="1:29" ht="11.4">
      <c r="A771" s="211" t="str">
        <f t="shared" si="195"/>
        <v/>
      </c>
      <c r="B771" s="211"/>
      <c r="C771" s="215"/>
      <c r="D771" s="213" t="str">
        <f t="shared" si="196"/>
        <v/>
      </c>
      <c r="E771" s="213" t="str">
        <f t="shared" si="204"/>
        <v/>
      </c>
      <c r="F771" s="214" t="str">
        <f t="shared" si="197"/>
        <v/>
      </c>
      <c r="G771" s="180"/>
      <c r="H771" s="181" t="str">
        <f t="shared" si="198"/>
        <v/>
      </c>
      <c r="I771" s="227"/>
      <c r="J771" s="227"/>
      <c r="K771" s="227"/>
      <c r="L771" s="227"/>
      <c r="M771" s="210" t="str">
        <f t="shared" si="203"/>
        <v/>
      </c>
      <c r="N771" s="210"/>
      <c r="O771" s="207"/>
      <c r="P771" s="182" t="str">
        <f t="shared" si="188"/>
        <v/>
      </c>
      <c r="Q771" s="183" t="str">
        <f t="shared" si="199"/>
        <v/>
      </c>
      <c r="R771" s="182" t="str">
        <f>IF(M771&lt;&gt;"",IF(#REF!*F771*10=0,"",#REF!*F771*10),"")</f>
        <v/>
      </c>
      <c r="S771" s="184" t="str">
        <f t="shared" si="200"/>
        <v/>
      </c>
      <c r="T771" s="185" t="str">
        <f t="shared" si="189"/>
        <v/>
      </c>
      <c r="U771" s="183" t="str">
        <f t="shared" si="201"/>
        <v/>
      </c>
      <c r="V771" s="186" t="str">
        <f t="shared" si="190"/>
        <v/>
      </c>
      <c r="W771" s="186" t="str">
        <f t="shared" si="191"/>
        <v/>
      </c>
      <c r="X771" s="187" t="str">
        <f t="shared" si="192"/>
        <v/>
      </c>
      <c r="Y771" s="182" t="str">
        <f t="shared" si="202"/>
        <v/>
      </c>
      <c r="Z771" s="209" t="str">
        <f t="shared" si="193"/>
        <v/>
      </c>
      <c r="AA771" s="209" t="str">
        <f t="shared" si="194"/>
        <v/>
      </c>
      <c r="AB771" s="200"/>
      <c r="AC771" s="192"/>
    </row>
    <row r="772" spans="1:29" ht="11.4">
      <c r="A772" s="211" t="str">
        <f t="shared" si="195"/>
        <v/>
      </c>
      <c r="B772" s="211"/>
      <c r="C772" s="215"/>
      <c r="D772" s="213" t="str">
        <f t="shared" si="196"/>
        <v/>
      </c>
      <c r="E772" s="213" t="str">
        <f t="shared" si="204"/>
        <v/>
      </c>
      <c r="F772" s="214" t="str">
        <f t="shared" si="197"/>
        <v/>
      </c>
      <c r="G772" s="180"/>
      <c r="H772" s="181" t="str">
        <f t="shared" si="198"/>
        <v/>
      </c>
      <c r="I772" s="227"/>
      <c r="J772" s="227"/>
      <c r="K772" s="227"/>
      <c r="L772" s="227"/>
      <c r="M772" s="210" t="str">
        <f t="shared" si="203"/>
        <v/>
      </c>
      <c r="N772" s="210"/>
      <c r="O772" s="207"/>
      <c r="P772" s="182" t="str">
        <f t="shared" si="188"/>
        <v/>
      </c>
      <c r="Q772" s="183" t="str">
        <f t="shared" si="199"/>
        <v/>
      </c>
      <c r="R772" s="182" t="str">
        <f>IF(M772&lt;&gt;"",IF(#REF!*F772*10=0,"",#REF!*F772*10),"")</f>
        <v/>
      </c>
      <c r="S772" s="184" t="str">
        <f t="shared" si="200"/>
        <v/>
      </c>
      <c r="T772" s="185" t="str">
        <f t="shared" si="189"/>
        <v/>
      </c>
      <c r="U772" s="183" t="str">
        <f t="shared" si="201"/>
        <v/>
      </c>
      <c r="V772" s="186" t="str">
        <f t="shared" si="190"/>
        <v/>
      </c>
      <c r="W772" s="186" t="str">
        <f t="shared" si="191"/>
        <v/>
      </c>
      <c r="X772" s="187" t="str">
        <f t="shared" si="192"/>
        <v/>
      </c>
      <c r="Y772" s="182" t="str">
        <f t="shared" si="202"/>
        <v/>
      </c>
      <c r="Z772" s="209" t="str">
        <f t="shared" si="193"/>
        <v/>
      </c>
      <c r="AA772" s="209" t="str">
        <f t="shared" si="194"/>
        <v/>
      </c>
      <c r="AB772" s="200"/>
      <c r="AC772" s="192"/>
    </row>
    <row r="773" spans="1:29" ht="11.4">
      <c r="A773" s="211" t="str">
        <f t="shared" si="195"/>
        <v/>
      </c>
      <c r="B773" s="211"/>
      <c r="C773" s="215"/>
      <c r="D773" s="213" t="str">
        <f t="shared" si="196"/>
        <v/>
      </c>
      <c r="E773" s="213" t="str">
        <f t="shared" si="204"/>
        <v/>
      </c>
      <c r="F773" s="214" t="str">
        <f t="shared" si="197"/>
        <v/>
      </c>
      <c r="G773" s="180"/>
      <c r="H773" s="181" t="str">
        <f t="shared" si="198"/>
        <v/>
      </c>
      <c r="I773" s="227"/>
      <c r="J773" s="227"/>
      <c r="K773" s="227"/>
      <c r="L773" s="227"/>
      <c r="M773" s="210" t="str">
        <f t="shared" si="203"/>
        <v/>
      </c>
      <c r="N773" s="210"/>
      <c r="O773" s="207"/>
      <c r="P773" s="182" t="str">
        <f t="shared" si="188"/>
        <v/>
      </c>
      <c r="Q773" s="183" t="str">
        <f t="shared" si="199"/>
        <v/>
      </c>
      <c r="R773" s="182" t="str">
        <f>IF(M773&lt;&gt;"",IF(#REF!*F773*10=0,"",#REF!*F773*10),"")</f>
        <v/>
      </c>
      <c r="S773" s="184" t="str">
        <f t="shared" si="200"/>
        <v/>
      </c>
      <c r="T773" s="185" t="str">
        <f t="shared" si="189"/>
        <v/>
      </c>
      <c r="U773" s="183" t="str">
        <f t="shared" si="201"/>
        <v/>
      </c>
      <c r="V773" s="186" t="str">
        <f t="shared" si="190"/>
        <v/>
      </c>
      <c r="W773" s="186" t="str">
        <f t="shared" si="191"/>
        <v/>
      </c>
      <c r="X773" s="187" t="str">
        <f t="shared" si="192"/>
        <v/>
      </c>
      <c r="Y773" s="182" t="str">
        <f t="shared" si="202"/>
        <v/>
      </c>
      <c r="Z773" s="209" t="str">
        <f t="shared" si="193"/>
        <v/>
      </c>
      <c r="AA773" s="209" t="str">
        <f t="shared" si="194"/>
        <v/>
      </c>
      <c r="AB773" s="200"/>
      <c r="AC773" s="192"/>
    </row>
    <row r="774" spans="1:29" ht="11.4">
      <c r="A774" s="211" t="str">
        <f t="shared" si="195"/>
        <v/>
      </c>
      <c r="B774" s="211"/>
      <c r="C774" s="215"/>
      <c r="D774" s="213" t="str">
        <f t="shared" si="196"/>
        <v/>
      </c>
      <c r="E774" s="213" t="str">
        <f t="shared" si="204"/>
        <v/>
      </c>
      <c r="F774" s="214" t="str">
        <f t="shared" si="197"/>
        <v/>
      </c>
      <c r="G774" s="180"/>
      <c r="H774" s="181" t="str">
        <f t="shared" si="198"/>
        <v/>
      </c>
      <c r="I774" s="227"/>
      <c r="J774" s="227"/>
      <c r="K774" s="227"/>
      <c r="L774" s="227"/>
      <c r="M774" s="210" t="str">
        <f t="shared" si="203"/>
        <v/>
      </c>
      <c r="N774" s="210"/>
      <c r="O774" s="207"/>
      <c r="P774" s="182" t="str">
        <f t="shared" si="188"/>
        <v/>
      </c>
      <c r="Q774" s="183" t="str">
        <f t="shared" si="199"/>
        <v/>
      </c>
      <c r="R774" s="182" t="str">
        <f>IF(M774&lt;&gt;"",IF(#REF!*F774*10=0,"",#REF!*F774*10),"")</f>
        <v/>
      </c>
      <c r="S774" s="184" t="str">
        <f t="shared" si="200"/>
        <v/>
      </c>
      <c r="T774" s="185" t="str">
        <f t="shared" si="189"/>
        <v/>
      </c>
      <c r="U774" s="183" t="str">
        <f t="shared" si="201"/>
        <v/>
      </c>
      <c r="V774" s="186" t="str">
        <f t="shared" si="190"/>
        <v/>
      </c>
      <c r="W774" s="186" t="str">
        <f t="shared" si="191"/>
        <v/>
      </c>
      <c r="X774" s="187" t="str">
        <f t="shared" si="192"/>
        <v/>
      </c>
      <c r="Y774" s="182" t="str">
        <f t="shared" si="202"/>
        <v/>
      </c>
      <c r="Z774" s="209" t="str">
        <f t="shared" si="193"/>
        <v/>
      </c>
      <c r="AA774" s="209" t="str">
        <f t="shared" si="194"/>
        <v/>
      </c>
      <c r="AB774" s="200"/>
      <c r="AC774" s="192"/>
    </row>
    <row r="775" spans="1:29" ht="11.4">
      <c r="A775" s="211" t="str">
        <f t="shared" si="195"/>
        <v/>
      </c>
      <c r="B775" s="211"/>
      <c r="C775" s="215"/>
      <c r="D775" s="213" t="str">
        <f t="shared" si="196"/>
        <v/>
      </c>
      <c r="E775" s="213" t="str">
        <f t="shared" si="204"/>
        <v/>
      </c>
      <c r="F775" s="214" t="str">
        <f t="shared" si="197"/>
        <v/>
      </c>
      <c r="G775" s="180"/>
      <c r="H775" s="181" t="str">
        <f t="shared" si="198"/>
        <v/>
      </c>
      <c r="I775" s="227"/>
      <c r="J775" s="227"/>
      <c r="K775" s="227"/>
      <c r="L775" s="227"/>
      <c r="M775" s="210" t="str">
        <f t="shared" si="203"/>
        <v/>
      </c>
      <c r="N775" s="210"/>
      <c r="O775" s="207"/>
      <c r="P775" s="182" t="str">
        <f t="shared" si="188"/>
        <v/>
      </c>
      <c r="Q775" s="183" t="str">
        <f t="shared" si="199"/>
        <v/>
      </c>
      <c r="R775" s="182" t="str">
        <f>IF(M775&lt;&gt;"",IF(#REF!*F775*10=0,"",#REF!*F775*10),"")</f>
        <v/>
      </c>
      <c r="S775" s="184" t="str">
        <f t="shared" si="200"/>
        <v/>
      </c>
      <c r="T775" s="185" t="str">
        <f t="shared" si="189"/>
        <v/>
      </c>
      <c r="U775" s="183" t="str">
        <f t="shared" si="201"/>
        <v/>
      </c>
      <c r="V775" s="186" t="str">
        <f t="shared" si="190"/>
        <v/>
      </c>
      <c r="W775" s="186" t="str">
        <f t="shared" si="191"/>
        <v/>
      </c>
      <c r="X775" s="187" t="str">
        <f t="shared" si="192"/>
        <v/>
      </c>
      <c r="Y775" s="182" t="str">
        <f t="shared" si="202"/>
        <v/>
      </c>
      <c r="Z775" s="209" t="str">
        <f t="shared" si="193"/>
        <v/>
      </c>
      <c r="AA775" s="209" t="str">
        <f t="shared" si="194"/>
        <v/>
      </c>
      <c r="AB775" s="200"/>
      <c r="AC775" s="192"/>
    </row>
    <row r="776" spans="1:29" ht="11.4">
      <c r="A776" s="211" t="str">
        <f t="shared" si="195"/>
        <v/>
      </c>
      <c r="B776" s="211"/>
      <c r="C776" s="215"/>
      <c r="D776" s="213" t="str">
        <f t="shared" si="196"/>
        <v/>
      </c>
      <c r="E776" s="213" t="str">
        <f t="shared" si="204"/>
        <v/>
      </c>
      <c r="F776" s="214" t="str">
        <f t="shared" si="197"/>
        <v/>
      </c>
      <c r="G776" s="180"/>
      <c r="H776" s="181" t="str">
        <f t="shared" si="198"/>
        <v/>
      </c>
      <c r="I776" s="227"/>
      <c r="J776" s="227"/>
      <c r="K776" s="227"/>
      <c r="L776" s="227"/>
      <c r="M776" s="210" t="str">
        <f t="shared" si="203"/>
        <v/>
      </c>
      <c r="N776" s="210"/>
      <c r="O776" s="207"/>
      <c r="P776" s="182" t="str">
        <f t="shared" si="188"/>
        <v/>
      </c>
      <c r="Q776" s="183" t="str">
        <f t="shared" si="199"/>
        <v/>
      </c>
      <c r="R776" s="182" t="str">
        <f>IF(M776&lt;&gt;"",IF(#REF!*F776*10=0,"",#REF!*F776*10),"")</f>
        <v/>
      </c>
      <c r="S776" s="184" t="str">
        <f t="shared" si="200"/>
        <v/>
      </c>
      <c r="T776" s="185" t="str">
        <f t="shared" si="189"/>
        <v/>
      </c>
      <c r="U776" s="183" t="str">
        <f t="shared" si="201"/>
        <v/>
      </c>
      <c r="V776" s="186" t="str">
        <f t="shared" si="190"/>
        <v/>
      </c>
      <c r="W776" s="186" t="str">
        <f t="shared" si="191"/>
        <v/>
      </c>
      <c r="X776" s="187" t="str">
        <f t="shared" si="192"/>
        <v/>
      </c>
      <c r="Y776" s="182" t="str">
        <f t="shared" si="202"/>
        <v/>
      </c>
      <c r="Z776" s="209" t="str">
        <f t="shared" si="193"/>
        <v/>
      </c>
      <c r="AA776" s="209" t="str">
        <f t="shared" si="194"/>
        <v/>
      </c>
      <c r="AB776" s="200"/>
      <c r="AC776" s="192"/>
    </row>
    <row r="777" spans="1:29" ht="11.4">
      <c r="A777" s="211" t="str">
        <f t="shared" si="195"/>
        <v/>
      </c>
      <c r="B777" s="211"/>
      <c r="C777" s="215"/>
      <c r="D777" s="213" t="str">
        <f t="shared" si="196"/>
        <v/>
      </c>
      <c r="E777" s="213" t="str">
        <f t="shared" si="204"/>
        <v/>
      </c>
      <c r="F777" s="214" t="str">
        <f t="shared" si="197"/>
        <v/>
      </c>
      <c r="G777" s="180"/>
      <c r="H777" s="181" t="str">
        <f t="shared" si="198"/>
        <v/>
      </c>
      <c r="I777" s="227"/>
      <c r="J777" s="227"/>
      <c r="K777" s="227"/>
      <c r="L777" s="227"/>
      <c r="M777" s="210" t="str">
        <f t="shared" si="203"/>
        <v/>
      </c>
      <c r="N777" s="210"/>
      <c r="O777" s="207"/>
      <c r="P777" s="182" t="str">
        <f t="shared" si="188"/>
        <v/>
      </c>
      <c r="Q777" s="183" t="str">
        <f t="shared" si="199"/>
        <v/>
      </c>
      <c r="R777" s="182" t="str">
        <f>IF(M777&lt;&gt;"",IF(#REF!*F777*10=0,"",#REF!*F777*10),"")</f>
        <v/>
      </c>
      <c r="S777" s="184" t="str">
        <f t="shared" si="200"/>
        <v/>
      </c>
      <c r="T777" s="185" t="str">
        <f t="shared" si="189"/>
        <v/>
      </c>
      <c r="U777" s="183" t="str">
        <f t="shared" si="201"/>
        <v/>
      </c>
      <c r="V777" s="186" t="str">
        <f t="shared" si="190"/>
        <v/>
      </c>
      <c r="W777" s="186" t="str">
        <f t="shared" si="191"/>
        <v/>
      </c>
      <c r="X777" s="187" t="str">
        <f t="shared" si="192"/>
        <v/>
      </c>
      <c r="Y777" s="182" t="str">
        <f t="shared" si="202"/>
        <v/>
      </c>
      <c r="Z777" s="209" t="str">
        <f t="shared" si="193"/>
        <v/>
      </c>
      <c r="AA777" s="209" t="str">
        <f t="shared" si="194"/>
        <v/>
      </c>
      <c r="AB777" s="200"/>
      <c r="AC777" s="192"/>
    </row>
    <row r="778" spans="1:29" ht="11.4">
      <c r="A778" s="211" t="str">
        <f t="shared" si="195"/>
        <v/>
      </c>
      <c r="B778" s="211"/>
      <c r="C778" s="215"/>
      <c r="D778" s="213" t="str">
        <f t="shared" si="196"/>
        <v/>
      </c>
      <c r="E778" s="213" t="str">
        <f t="shared" si="204"/>
        <v/>
      </c>
      <c r="F778" s="214" t="str">
        <f t="shared" si="197"/>
        <v/>
      </c>
      <c r="G778" s="180"/>
      <c r="H778" s="181" t="str">
        <f t="shared" si="198"/>
        <v/>
      </c>
      <c r="I778" s="227"/>
      <c r="J778" s="227"/>
      <c r="K778" s="227"/>
      <c r="L778" s="227"/>
      <c r="M778" s="210" t="str">
        <f t="shared" si="203"/>
        <v/>
      </c>
      <c r="N778" s="210"/>
      <c r="O778" s="207"/>
      <c r="P778" s="182" t="str">
        <f t="shared" si="188"/>
        <v/>
      </c>
      <c r="Q778" s="183" t="str">
        <f t="shared" si="199"/>
        <v/>
      </c>
      <c r="R778" s="182" t="str">
        <f>IF(M778&lt;&gt;"",IF(#REF!*F778*10=0,"",#REF!*F778*10),"")</f>
        <v/>
      </c>
      <c r="S778" s="184" t="str">
        <f t="shared" si="200"/>
        <v/>
      </c>
      <c r="T778" s="185" t="str">
        <f t="shared" si="189"/>
        <v/>
      </c>
      <c r="U778" s="183" t="str">
        <f t="shared" si="201"/>
        <v/>
      </c>
      <c r="V778" s="186" t="str">
        <f t="shared" si="190"/>
        <v/>
      </c>
      <c r="W778" s="186" t="str">
        <f t="shared" si="191"/>
        <v/>
      </c>
      <c r="X778" s="187" t="str">
        <f t="shared" si="192"/>
        <v/>
      </c>
      <c r="Y778" s="182" t="str">
        <f t="shared" si="202"/>
        <v/>
      </c>
      <c r="Z778" s="209" t="str">
        <f t="shared" si="193"/>
        <v/>
      </c>
      <c r="AA778" s="209" t="str">
        <f t="shared" si="194"/>
        <v/>
      </c>
      <c r="AB778" s="200"/>
      <c r="AC778" s="192"/>
    </row>
    <row r="779" spans="1:29" ht="11.4">
      <c r="A779" s="211" t="str">
        <f t="shared" si="195"/>
        <v/>
      </c>
      <c r="B779" s="211"/>
      <c r="C779" s="215"/>
      <c r="D779" s="213" t="str">
        <f t="shared" si="196"/>
        <v/>
      </c>
      <c r="E779" s="213" t="str">
        <f t="shared" si="204"/>
        <v/>
      </c>
      <c r="F779" s="214" t="str">
        <f t="shared" si="197"/>
        <v/>
      </c>
      <c r="G779" s="180"/>
      <c r="H779" s="181" t="str">
        <f t="shared" si="198"/>
        <v/>
      </c>
      <c r="I779" s="227"/>
      <c r="J779" s="227"/>
      <c r="K779" s="227"/>
      <c r="L779" s="227"/>
      <c r="M779" s="210" t="str">
        <f t="shared" si="203"/>
        <v/>
      </c>
      <c r="N779" s="210"/>
      <c r="O779" s="207"/>
      <c r="P779" s="182" t="str">
        <f t="shared" si="188"/>
        <v/>
      </c>
      <c r="Q779" s="183" t="str">
        <f t="shared" si="199"/>
        <v/>
      </c>
      <c r="R779" s="182" t="str">
        <f>IF(M779&lt;&gt;"",IF(#REF!*F779*10=0,"",#REF!*F779*10),"")</f>
        <v/>
      </c>
      <c r="S779" s="184" t="str">
        <f t="shared" si="200"/>
        <v/>
      </c>
      <c r="T779" s="185" t="str">
        <f t="shared" si="189"/>
        <v/>
      </c>
      <c r="U779" s="183" t="str">
        <f t="shared" si="201"/>
        <v/>
      </c>
      <c r="V779" s="186" t="str">
        <f t="shared" si="190"/>
        <v/>
      </c>
      <c r="W779" s="186" t="str">
        <f t="shared" si="191"/>
        <v/>
      </c>
      <c r="X779" s="187" t="str">
        <f t="shared" si="192"/>
        <v/>
      </c>
      <c r="Y779" s="182" t="str">
        <f t="shared" si="202"/>
        <v/>
      </c>
      <c r="Z779" s="209" t="str">
        <f t="shared" si="193"/>
        <v/>
      </c>
      <c r="AA779" s="209" t="str">
        <f t="shared" si="194"/>
        <v/>
      </c>
      <c r="AB779" s="200"/>
      <c r="AC779" s="192"/>
    </row>
    <row r="780" spans="1:29" ht="11.4">
      <c r="A780" s="211" t="str">
        <f t="shared" si="195"/>
        <v/>
      </c>
      <c r="B780" s="211"/>
      <c r="C780" s="215"/>
      <c r="D780" s="213" t="str">
        <f t="shared" si="196"/>
        <v/>
      </c>
      <c r="E780" s="213" t="str">
        <f t="shared" si="204"/>
        <v/>
      </c>
      <c r="F780" s="214" t="str">
        <f t="shared" si="197"/>
        <v/>
      </c>
      <c r="G780" s="180"/>
      <c r="H780" s="181" t="str">
        <f t="shared" si="198"/>
        <v/>
      </c>
      <c r="I780" s="227"/>
      <c r="J780" s="227"/>
      <c r="K780" s="227"/>
      <c r="L780" s="227"/>
      <c r="M780" s="210" t="str">
        <f t="shared" si="203"/>
        <v/>
      </c>
      <c r="N780" s="210"/>
      <c r="O780" s="207"/>
      <c r="P780" s="182" t="str">
        <f t="shared" ref="P780:P843" si="205">IF(M780="","",IF(L780*F780*$D$3=0,0,L780*F780*$D$3))</f>
        <v/>
      </c>
      <c r="Q780" s="183" t="str">
        <f t="shared" si="199"/>
        <v/>
      </c>
      <c r="R780" s="182" t="str">
        <f>IF(M780&lt;&gt;"",IF(#REF!*F780*10=0,"",#REF!*F780*10),"")</f>
        <v/>
      </c>
      <c r="S780" s="184" t="str">
        <f t="shared" si="200"/>
        <v/>
      </c>
      <c r="T780" s="185" t="str">
        <f t="shared" ref="T780:T843" si="206">IF(X780="","",X780*F780*$D$3)</f>
        <v/>
      </c>
      <c r="U780" s="183" t="str">
        <f t="shared" si="201"/>
        <v/>
      </c>
      <c r="V780" s="186" t="str">
        <f t="shared" ref="V780:V843" si="207">IF(M780="","",IF(AND(M780&gt;I780,H780="L"),1, IF(AND(I780&gt;M780,H780="S"),1,0)))</f>
        <v/>
      </c>
      <c r="W780" s="186" t="str">
        <f t="shared" ref="W780:W843" si="208">IF(M780="","",IF(AND(M780&lt;I780,H780="L"),1, IF(AND(I780&lt;M780,H780="S"),1,0)))</f>
        <v/>
      </c>
      <c r="X780" s="187" t="str">
        <f t="shared" ref="X780:X843" si="209">IF((M780=""),"",IF(H780="Buy",1,-1)*(M780-I780)*IF(LEN(RIGHT(I780,LEN(I780)-FIND(".",I780)))&gt;3,10000,100))</f>
        <v/>
      </c>
      <c r="Y780" s="182" t="str">
        <f t="shared" si="202"/>
        <v/>
      </c>
      <c r="Z780" s="209" t="str">
        <f t="shared" ref="Z780:Z843" si="210">IF(C780="","",MONTH(LEFT(C780,8)))</f>
        <v/>
      </c>
      <c r="AA780" s="209" t="str">
        <f t="shared" ref="AA780:AA843" si="211">IF(C780="","",YEAR(LEFT(C780,8)))</f>
        <v/>
      </c>
      <c r="AB780" s="200"/>
      <c r="AC780" s="192"/>
    </row>
    <row r="781" spans="1:29" ht="11.4">
      <c r="A781" s="211" t="str">
        <f t="shared" ref="A781:A844" si="212">IF(D781="","",1)</f>
        <v/>
      </c>
      <c r="B781" s="211"/>
      <c r="C781" s="215"/>
      <c r="D781" s="213" t="str">
        <f t="shared" ref="D781:D844" si="213">IF(G781="","","SUGAR")</f>
        <v/>
      </c>
      <c r="E781" s="213" t="str">
        <f t="shared" si="204"/>
        <v/>
      </c>
      <c r="F781" s="214" t="str">
        <f t="shared" ref="F781:F844" si="214">IF(G781="","",0.01)</f>
        <v/>
      </c>
      <c r="G781" s="180"/>
      <c r="H781" s="181" t="str">
        <f t="shared" ref="H781:H844" si="215">IF(G781="","",IF(OR(G781="第二类买点",G781="第三类买点"),"Buy","Sell"))</f>
        <v/>
      </c>
      <c r="I781" s="227"/>
      <c r="J781" s="227"/>
      <c r="K781" s="227"/>
      <c r="L781" s="227"/>
      <c r="M781" s="210" t="str">
        <f t="shared" si="203"/>
        <v/>
      </c>
      <c r="N781" s="210"/>
      <c r="O781" s="207"/>
      <c r="P781" s="182" t="str">
        <f t="shared" si="205"/>
        <v/>
      </c>
      <c r="Q781" s="183" t="str">
        <f t="shared" ref="Q781:Q844" si="216">IF(P781="","",IF(P781=0,0,P781/$I$4))</f>
        <v/>
      </c>
      <c r="R781" s="182" t="str">
        <f>IF(M781&lt;&gt;"",IF(#REF!*F781*10=0,"",#REF!*F781*10),"")</f>
        <v/>
      </c>
      <c r="S781" s="184" t="str">
        <f t="shared" ref="S781:S844" si="217">IF(P781="","",IF(P781=0,0,R781/P781))</f>
        <v/>
      </c>
      <c r="T781" s="185" t="str">
        <f t="shared" si="206"/>
        <v/>
      </c>
      <c r="U781" s="183" t="str">
        <f t="shared" ref="U781:U844" si="218">IF(T781="","",IF($I$4="","",T781/$I$4))</f>
        <v/>
      </c>
      <c r="V781" s="186" t="str">
        <f t="shared" si="207"/>
        <v/>
      </c>
      <c r="W781" s="186" t="str">
        <f t="shared" si="208"/>
        <v/>
      </c>
      <c r="X781" s="187" t="str">
        <f t="shared" si="209"/>
        <v/>
      </c>
      <c r="Y781" s="182" t="str">
        <f t="shared" si="202"/>
        <v/>
      </c>
      <c r="Z781" s="209" t="str">
        <f t="shared" si="210"/>
        <v/>
      </c>
      <c r="AA781" s="209" t="str">
        <f t="shared" si="211"/>
        <v/>
      </c>
      <c r="AB781" s="200"/>
      <c r="AC781" s="192"/>
    </row>
    <row r="782" spans="1:29" ht="11.4">
      <c r="A782" s="211" t="str">
        <f t="shared" si="212"/>
        <v/>
      </c>
      <c r="B782" s="211"/>
      <c r="C782" s="215"/>
      <c r="D782" s="213" t="str">
        <f t="shared" si="213"/>
        <v/>
      </c>
      <c r="E782" s="213" t="str">
        <f t="shared" si="204"/>
        <v/>
      </c>
      <c r="F782" s="214" t="str">
        <f t="shared" si="214"/>
        <v/>
      </c>
      <c r="G782" s="180"/>
      <c r="H782" s="181" t="str">
        <f t="shared" si="215"/>
        <v/>
      </c>
      <c r="I782" s="227"/>
      <c r="J782" s="227"/>
      <c r="K782" s="227"/>
      <c r="L782" s="227"/>
      <c r="M782" s="210" t="str">
        <f t="shared" si="203"/>
        <v/>
      </c>
      <c r="N782" s="210"/>
      <c r="O782" s="207"/>
      <c r="P782" s="182" t="str">
        <f t="shared" si="205"/>
        <v/>
      </c>
      <c r="Q782" s="183" t="str">
        <f t="shared" si="216"/>
        <v/>
      </c>
      <c r="R782" s="182" t="str">
        <f>IF(M782&lt;&gt;"",IF(#REF!*F782*10=0,"",#REF!*F782*10),"")</f>
        <v/>
      </c>
      <c r="S782" s="184" t="str">
        <f t="shared" si="217"/>
        <v/>
      </c>
      <c r="T782" s="185" t="str">
        <f t="shared" si="206"/>
        <v/>
      </c>
      <c r="U782" s="183" t="str">
        <f t="shared" si="218"/>
        <v/>
      </c>
      <c r="V782" s="186" t="str">
        <f t="shared" si="207"/>
        <v/>
      </c>
      <c r="W782" s="186" t="str">
        <f t="shared" si="208"/>
        <v/>
      </c>
      <c r="X782" s="187" t="str">
        <f t="shared" si="209"/>
        <v/>
      </c>
      <c r="Y782" s="182" t="str">
        <f t="shared" ref="Y782:Y845" si="219">IF(Y781="","",IF(T782="","",Y781+T782))</f>
        <v/>
      </c>
      <c r="Z782" s="209" t="str">
        <f t="shared" si="210"/>
        <v/>
      </c>
      <c r="AA782" s="209" t="str">
        <f t="shared" si="211"/>
        <v/>
      </c>
      <c r="AB782" s="200"/>
      <c r="AC782" s="192"/>
    </row>
    <row r="783" spans="1:29" ht="11.4">
      <c r="A783" s="211" t="str">
        <f t="shared" si="212"/>
        <v/>
      </c>
      <c r="B783" s="211"/>
      <c r="C783" s="215"/>
      <c r="D783" s="213" t="str">
        <f t="shared" si="213"/>
        <v/>
      </c>
      <c r="E783" s="213" t="str">
        <f t="shared" si="204"/>
        <v/>
      </c>
      <c r="F783" s="214" t="str">
        <f t="shared" si="214"/>
        <v/>
      </c>
      <c r="G783" s="180"/>
      <c r="H783" s="181" t="str">
        <f t="shared" si="215"/>
        <v/>
      </c>
      <c r="I783" s="227"/>
      <c r="J783" s="227"/>
      <c r="K783" s="227"/>
      <c r="L783" s="227"/>
      <c r="M783" s="210" t="str">
        <f t="shared" ref="M783:M846" si="220">IF(J783="","",J783)</f>
        <v/>
      </c>
      <c r="N783" s="210"/>
      <c r="O783" s="207"/>
      <c r="P783" s="182" t="str">
        <f t="shared" si="205"/>
        <v/>
      </c>
      <c r="Q783" s="183" t="str">
        <f t="shared" si="216"/>
        <v/>
      </c>
      <c r="R783" s="182" t="str">
        <f>IF(M783&lt;&gt;"",IF(#REF!*F783*10=0,"",#REF!*F783*10),"")</f>
        <v/>
      </c>
      <c r="S783" s="184" t="str">
        <f t="shared" si="217"/>
        <v/>
      </c>
      <c r="T783" s="185" t="str">
        <f t="shared" si="206"/>
        <v/>
      </c>
      <c r="U783" s="183" t="str">
        <f t="shared" si="218"/>
        <v/>
      </c>
      <c r="V783" s="186" t="str">
        <f t="shared" si="207"/>
        <v/>
      </c>
      <c r="W783" s="186" t="str">
        <f t="shared" si="208"/>
        <v/>
      </c>
      <c r="X783" s="187" t="str">
        <f t="shared" si="209"/>
        <v/>
      </c>
      <c r="Y783" s="182" t="str">
        <f t="shared" si="219"/>
        <v/>
      </c>
      <c r="Z783" s="209" t="str">
        <f t="shared" si="210"/>
        <v/>
      </c>
      <c r="AA783" s="209" t="str">
        <f t="shared" si="211"/>
        <v/>
      </c>
      <c r="AB783" s="200"/>
      <c r="AC783" s="192"/>
    </row>
    <row r="784" spans="1:29" ht="11.4">
      <c r="A784" s="211" t="str">
        <f t="shared" si="212"/>
        <v/>
      </c>
      <c r="B784" s="211"/>
      <c r="C784" s="215"/>
      <c r="D784" s="213" t="str">
        <f t="shared" si="213"/>
        <v/>
      </c>
      <c r="E784" s="213" t="str">
        <f t="shared" ref="E784:E847" si="221">IF(G784="","","M30")</f>
        <v/>
      </c>
      <c r="F784" s="214" t="str">
        <f t="shared" si="214"/>
        <v/>
      </c>
      <c r="G784" s="180"/>
      <c r="H784" s="181" t="str">
        <f t="shared" si="215"/>
        <v/>
      </c>
      <c r="I784" s="227"/>
      <c r="J784" s="227"/>
      <c r="K784" s="227"/>
      <c r="L784" s="227"/>
      <c r="M784" s="210" t="str">
        <f t="shared" si="220"/>
        <v/>
      </c>
      <c r="N784" s="210"/>
      <c r="O784" s="207"/>
      <c r="P784" s="182" t="str">
        <f t="shared" si="205"/>
        <v/>
      </c>
      <c r="Q784" s="183" t="str">
        <f t="shared" si="216"/>
        <v/>
      </c>
      <c r="R784" s="182" t="str">
        <f>IF(M784&lt;&gt;"",IF(#REF!*F784*10=0,"",#REF!*F784*10),"")</f>
        <v/>
      </c>
      <c r="S784" s="184" t="str">
        <f t="shared" si="217"/>
        <v/>
      </c>
      <c r="T784" s="185" t="str">
        <f t="shared" si="206"/>
        <v/>
      </c>
      <c r="U784" s="183" t="str">
        <f t="shared" si="218"/>
        <v/>
      </c>
      <c r="V784" s="186" t="str">
        <f t="shared" si="207"/>
        <v/>
      </c>
      <c r="W784" s="186" t="str">
        <f t="shared" si="208"/>
        <v/>
      </c>
      <c r="X784" s="187" t="str">
        <f t="shared" si="209"/>
        <v/>
      </c>
      <c r="Y784" s="182" t="str">
        <f t="shared" si="219"/>
        <v/>
      </c>
      <c r="Z784" s="209" t="str">
        <f t="shared" si="210"/>
        <v/>
      </c>
      <c r="AA784" s="209" t="str">
        <f t="shared" si="211"/>
        <v/>
      </c>
      <c r="AB784" s="200"/>
      <c r="AC784" s="192"/>
    </row>
    <row r="785" spans="1:29" ht="11.4">
      <c r="A785" s="211" t="str">
        <f t="shared" si="212"/>
        <v/>
      </c>
      <c r="B785" s="211"/>
      <c r="C785" s="215"/>
      <c r="D785" s="213" t="str">
        <f t="shared" si="213"/>
        <v/>
      </c>
      <c r="E785" s="213" t="str">
        <f t="shared" si="221"/>
        <v/>
      </c>
      <c r="F785" s="214" t="str">
        <f t="shared" si="214"/>
        <v/>
      </c>
      <c r="G785" s="180"/>
      <c r="H785" s="181" t="str">
        <f t="shared" si="215"/>
        <v/>
      </c>
      <c r="I785" s="227"/>
      <c r="J785" s="227"/>
      <c r="K785" s="227"/>
      <c r="L785" s="227"/>
      <c r="M785" s="210" t="str">
        <f t="shared" si="220"/>
        <v/>
      </c>
      <c r="N785" s="210"/>
      <c r="O785" s="207"/>
      <c r="P785" s="182" t="str">
        <f t="shared" si="205"/>
        <v/>
      </c>
      <c r="Q785" s="183" t="str">
        <f t="shared" si="216"/>
        <v/>
      </c>
      <c r="R785" s="182" t="str">
        <f>IF(M785&lt;&gt;"",IF(#REF!*F785*10=0,"",#REF!*F785*10),"")</f>
        <v/>
      </c>
      <c r="S785" s="184" t="str">
        <f t="shared" si="217"/>
        <v/>
      </c>
      <c r="T785" s="185" t="str">
        <f t="shared" si="206"/>
        <v/>
      </c>
      <c r="U785" s="183" t="str">
        <f t="shared" si="218"/>
        <v/>
      </c>
      <c r="V785" s="186" t="str">
        <f t="shared" si="207"/>
        <v/>
      </c>
      <c r="W785" s="186" t="str">
        <f t="shared" si="208"/>
        <v/>
      </c>
      <c r="X785" s="187" t="str">
        <f t="shared" si="209"/>
        <v/>
      </c>
      <c r="Y785" s="182" t="str">
        <f t="shared" si="219"/>
        <v/>
      </c>
      <c r="Z785" s="209" t="str">
        <f t="shared" si="210"/>
        <v/>
      </c>
      <c r="AA785" s="209" t="str">
        <f t="shared" si="211"/>
        <v/>
      </c>
      <c r="AB785" s="200"/>
      <c r="AC785" s="192"/>
    </row>
    <row r="786" spans="1:29" ht="11.4">
      <c r="A786" s="211" t="str">
        <f t="shared" si="212"/>
        <v/>
      </c>
      <c r="B786" s="211"/>
      <c r="C786" s="215"/>
      <c r="D786" s="213" t="str">
        <f t="shared" si="213"/>
        <v/>
      </c>
      <c r="E786" s="213" t="str">
        <f t="shared" si="221"/>
        <v/>
      </c>
      <c r="F786" s="214" t="str">
        <f t="shared" si="214"/>
        <v/>
      </c>
      <c r="G786" s="180"/>
      <c r="H786" s="181" t="str">
        <f t="shared" si="215"/>
        <v/>
      </c>
      <c r="I786" s="227"/>
      <c r="J786" s="227"/>
      <c r="K786" s="227"/>
      <c r="L786" s="227"/>
      <c r="M786" s="210" t="str">
        <f t="shared" si="220"/>
        <v/>
      </c>
      <c r="N786" s="210"/>
      <c r="O786" s="207"/>
      <c r="P786" s="182" t="str">
        <f t="shared" si="205"/>
        <v/>
      </c>
      <c r="Q786" s="183" t="str">
        <f t="shared" si="216"/>
        <v/>
      </c>
      <c r="R786" s="182" t="str">
        <f>IF(M786&lt;&gt;"",IF(#REF!*F786*10=0,"",#REF!*F786*10),"")</f>
        <v/>
      </c>
      <c r="S786" s="184" t="str">
        <f t="shared" si="217"/>
        <v/>
      </c>
      <c r="T786" s="185" t="str">
        <f t="shared" si="206"/>
        <v/>
      </c>
      <c r="U786" s="183" t="str">
        <f t="shared" si="218"/>
        <v/>
      </c>
      <c r="V786" s="186" t="str">
        <f t="shared" si="207"/>
        <v/>
      </c>
      <c r="W786" s="186" t="str">
        <f t="shared" si="208"/>
        <v/>
      </c>
      <c r="X786" s="187" t="str">
        <f t="shared" si="209"/>
        <v/>
      </c>
      <c r="Y786" s="182" t="str">
        <f t="shared" si="219"/>
        <v/>
      </c>
      <c r="Z786" s="209" t="str">
        <f t="shared" si="210"/>
        <v/>
      </c>
      <c r="AA786" s="209" t="str">
        <f t="shared" si="211"/>
        <v/>
      </c>
      <c r="AB786" s="200"/>
      <c r="AC786" s="192"/>
    </row>
    <row r="787" spans="1:29" ht="11.4">
      <c r="A787" s="211" t="str">
        <f t="shared" si="212"/>
        <v/>
      </c>
      <c r="B787" s="211"/>
      <c r="C787" s="215"/>
      <c r="D787" s="213" t="str">
        <f t="shared" si="213"/>
        <v/>
      </c>
      <c r="E787" s="213" t="str">
        <f t="shared" si="221"/>
        <v/>
      </c>
      <c r="F787" s="214" t="str">
        <f t="shared" si="214"/>
        <v/>
      </c>
      <c r="G787" s="180"/>
      <c r="H787" s="181" t="str">
        <f t="shared" si="215"/>
        <v/>
      </c>
      <c r="I787" s="227"/>
      <c r="J787" s="227"/>
      <c r="K787" s="227"/>
      <c r="L787" s="227"/>
      <c r="M787" s="210" t="str">
        <f t="shared" si="220"/>
        <v/>
      </c>
      <c r="N787" s="210"/>
      <c r="O787" s="207"/>
      <c r="P787" s="182" t="str">
        <f t="shared" si="205"/>
        <v/>
      </c>
      <c r="Q787" s="183" t="str">
        <f t="shared" si="216"/>
        <v/>
      </c>
      <c r="R787" s="182" t="str">
        <f>IF(M787&lt;&gt;"",IF(#REF!*F787*10=0,"",#REF!*F787*10),"")</f>
        <v/>
      </c>
      <c r="S787" s="184" t="str">
        <f t="shared" si="217"/>
        <v/>
      </c>
      <c r="T787" s="185" t="str">
        <f t="shared" si="206"/>
        <v/>
      </c>
      <c r="U787" s="183" t="str">
        <f t="shared" si="218"/>
        <v/>
      </c>
      <c r="V787" s="186" t="str">
        <f t="shared" si="207"/>
        <v/>
      </c>
      <c r="W787" s="186" t="str">
        <f t="shared" si="208"/>
        <v/>
      </c>
      <c r="X787" s="187" t="str">
        <f t="shared" si="209"/>
        <v/>
      </c>
      <c r="Y787" s="182" t="str">
        <f t="shared" si="219"/>
        <v/>
      </c>
      <c r="Z787" s="209" t="str">
        <f t="shared" si="210"/>
        <v/>
      </c>
      <c r="AA787" s="209" t="str">
        <f t="shared" si="211"/>
        <v/>
      </c>
      <c r="AB787" s="200"/>
      <c r="AC787" s="192"/>
    </row>
    <row r="788" spans="1:29" ht="11.4">
      <c r="A788" s="211" t="str">
        <f t="shared" si="212"/>
        <v/>
      </c>
      <c r="B788" s="211"/>
      <c r="C788" s="215"/>
      <c r="D788" s="213" t="str">
        <f t="shared" si="213"/>
        <v/>
      </c>
      <c r="E788" s="213" t="str">
        <f t="shared" si="221"/>
        <v/>
      </c>
      <c r="F788" s="214" t="str">
        <f t="shared" si="214"/>
        <v/>
      </c>
      <c r="G788" s="180"/>
      <c r="H788" s="181" t="str">
        <f t="shared" si="215"/>
        <v/>
      </c>
      <c r="I788" s="227"/>
      <c r="J788" s="227"/>
      <c r="K788" s="227"/>
      <c r="L788" s="227"/>
      <c r="M788" s="210" t="str">
        <f t="shared" si="220"/>
        <v/>
      </c>
      <c r="N788" s="210"/>
      <c r="O788" s="207"/>
      <c r="P788" s="182" t="str">
        <f t="shared" si="205"/>
        <v/>
      </c>
      <c r="Q788" s="183" t="str">
        <f t="shared" si="216"/>
        <v/>
      </c>
      <c r="R788" s="182" t="str">
        <f>IF(M788&lt;&gt;"",IF(#REF!*F788*10=0,"",#REF!*F788*10),"")</f>
        <v/>
      </c>
      <c r="S788" s="184" t="str">
        <f t="shared" si="217"/>
        <v/>
      </c>
      <c r="T788" s="185" t="str">
        <f t="shared" si="206"/>
        <v/>
      </c>
      <c r="U788" s="183" t="str">
        <f t="shared" si="218"/>
        <v/>
      </c>
      <c r="V788" s="186" t="str">
        <f t="shared" si="207"/>
        <v/>
      </c>
      <c r="W788" s="186" t="str">
        <f t="shared" si="208"/>
        <v/>
      </c>
      <c r="X788" s="187" t="str">
        <f t="shared" si="209"/>
        <v/>
      </c>
      <c r="Y788" s="182" t="str">
        <f t="shared" si="219"/>
        <v/>
      </c>
      <c r="Z788" s="209" t="str">
        <f t="shared" si="210"/>
        <v/>
      </c>
      <c r="AA788" s="209" t="str">
        <f t="shared" si="211"/>
        <v/>
      </c>
      <c r="AB788" s="200"/>
      <c r="AC788" s="192"/>
    </row>
    <row r="789" spans="1:29" ht="11.4">
      <c r="A789" s="211" t="str">
        <f t="shared" si="212"/>
        <v/>
      </c>
      <c r="B789" s="211"/>
      <c r="C789" s="215"/>
      <c r="D789" s="213" t="str">
        <f t="shared" si="213"/>
        <v/>
      </c>
      <c r="E789" s="213" t="str">
        <f t="shared" si="221"/>
        <v/>
      </c>
      <c r="F789" s="214" t="str">
        <f t="shared" si="214"/>
        <v/>
      </c>
      <c r="G789" s="180"/>
      <c r="H789" s="181" t="str">
        <f t="shared" si="215"/>
        <v/>
      </c>
      <c r="I789" s="227"/>
      <c r="J789" s="227"/>
      <c r="K789" s="227"/>
      <c r="L789" s="227"/>
      <c r="M789" s="210" t="str">
        <f t="shared" si="220"/>
        <v/>
      </c>
      <c r="N789" s="210"/>
      <c r="O789" s="207"/>
      <c r="P789" s="182" t="str">
        <f t="shared" si="205"/>
        <v/>
      </c>
      <c r="Q789" s="183" t="str">
        <f t="shared" si="216"/>
        <v/>
      </c>
      <c r="R789" s="182" t="str">
        <f>IF(M789&lt;&gt;"",IF(#REF!*F789*10=0,"",#REF!*F789*10),"")</f>
        <v/>
      </c>
      <c r="S789" s="184" t="str">
        <f t="shared" si="217"/>
        <v/>
      </c>
      <c r="T789" s="185" t="str">
        <f t="shared" si="206"/>
        <v/>
      </c>
      <c r="U789" s="183" t="str">
        <f t="shared" si="218"/>
        <v/>
      </c>
      <c r="V789" s="186" t="str">
        <f t="shared" si="207"/>
        <v/>
      </c>
      <c r="W789" s="186" t="str">
        <f t="shared" si="208"/>
        <v/>
      </c>
      <c r="X789" s="187" t="str">
        <f t="shared" si="209"/>
        <v/>
      </c>
      <c r="Y789" s="182" t="str">
        <f t="shared" si="219"/>
        <v/>
      </c>
      <c r="Z789" s="209" t="str">
        <f t="shared" si="210"/>
        <v/>
      </c>
      <c r="AA789" s="209" t="str">
        <f t="shared" si="211"/>
        <v/>
      </c>
      <c r="AB789" s="200"/>
      <c r="AC789" s="192"/>
    </row>
    <row r="790" spans="1:29" ht="11.4">
      <c r="A790" s="211" t="str">
        <f t="shared" si="212"/>
        <v/>
      </c>
      <c r="B790" s="211"/>
      <c r="C790" s="215"/>
      <c r="D790" s="213" t="str">
        <f t="shared" si="213"/>
        <v/>
      </c>
      <c r="E790" s="213" t="str">
        <f t="shared" si="221"/>
        <v/>
      </c>
      <c r="F790" s="214" t="str">
        <f t="shared" si="214"/>
        <v/>
      </c>
      <c r="G790" s="180"/>
      <c r="H790" s="181" t="str">
        <f t="shared" si="215"/>
        <v/>
      </c>
      <c r="I790" s="227"/>
      <c r="J790" s="227"/>
      <c r="K790" s="227"/>
      <c r="L790" s="227"/>
      <c r="M790" s="210" t="str">
        <f t="shared" si="220"/>
        <v/>
      </c>
      <c r="N790" s="210"/>
      <c r="O790" s="207"/>
      <c r="P790" s="182" t="str">
        <f t="shared" si="205"/>
        <v/>
      </c>
      <c r="Q790" s="183" t="str">
        <f t="shared" si="216"/>
        <v/>
      </c>
      <c r="R790" s="182" t="str">
        <f>IF(M790&lt;&gt;"",IF(#REF!*F790*10=0,"",#REF!*F790*10),"")</f>
        <v/>
      </c>
      <c r="S790" s="184" t="str">
        <f t="shared" si="217"/>
        <v/>
      </c>
      <c r="T790" s="185" t="str">
        <f t="shared" si="206"/>
        <v/>
      </c>
      <c r="U790" s="183" t="str">
        <f t="shared" si="218"/>
        <v/>
      </c>
      <c r="V790" s="186" t="str">
        <f t="shared" si="207"/>
        <v/>
      </c>
      <c r="W790" s="186" t="str">
        <f t="shared" si="208"/>
        <v/>
      </c>
      <c r="X790" s="187" t="str">
        <f t="shared" si="209"/>
        <v/>
      </c>
      <c r="Y790" s="182" t="str">
        <f t="shared" si="219"/>
        <v/>
      </c>
      <c r="Z790" s="209" t="str">
        <f t="shared" si="210"/>
        <v/>
      </c>
      <c r="AA790" s="209" t="str">
        <f t="shared" si="211"/>
        <v/>
      </c>
      <c r="AB790" s="200"/>
      <c r="AC790" s="192"/>
    </row>
    <row r="791" spans="1:29" ht="11.4">
      <c r="A791" s="211" t="str">
        <f t="shared" si="212"/>
        <v/>
      </c>
      <c r="B791" s="211"/>
      <c r="C791" s="215"/>
      <c r="D791" s="213" t="str">
        <f t="shared" si="213"/>
        <v/>
      </c>
      <c r="E791" s="213" t="str">
        <f t="shared" si="221"/>
        <v/>
      </c>
      <c r="F791" s="214" t="str">
        <f t="shared" si="214"/>
        <v/>
      </c>
      <c r="G791" s="180"/>
      <c r="H791" s="181" t="str">
        <f t="shared" si="215"/>
        <v/>
      </c>
      <c r="I791" s="227"/>
      <c r="J791" s="227"/>
      <c r="K791" s="227"/>
      <c r="L791" s="227"/>
      <c r="M791" s="210" t="str">
        <f t="shared" si="220"/>
        <v/>
      </c>
      <c r="N791" s="210"/>
      <c r="O791" s="207"/>
      <c r="P791" s="182" t="str">
        <f t="shared" si="205"/>
        <v/>
      </c>
      <c r="Q791" s="183" t="str">
        <f t="shared" si="216"/>
        <v/>
      </c>
      <c r="R791" s="182" t="str">
        <f>IF(M791&lt;&gt;"",IF(#REF!*F791*10=0,"",#REF!*F791*10),"")</f>
        <v/>
      </c>
      <c r="S791" s="184" t="str">
        <f t="shared" si="217"/>
        <v/>
      </c>
      <c r="T791" s="185" t="str">
        <f t="shared" si="206"/>
        <v/>
      </c>
      <c r="U791" s="183" t="str">
        <f t="shared" si="218"/>
        <v/>
      </c>
      <c r="V791" s="186" t="str">
        <f t="shared" si="207"/>
        <v/>
      </c>
      <c r="W791" s="186" t="str">
        <f t="shared" si="208"/>
        <v/>
      </c>
      <c r="X791" s="187" t="str">
        <f t="shared" si="209"/>
        <v/>
      </c>
      <c r="Y791" s="182" t="str">
        <f t="shared" si="219"/>
        <v/>
      </c>
      <c r="Z791" s="209" t="str">
        <f t="shared" si="210"/>
        <v/>
      </c>
      <c r="AA791" s="209" t="str">
        <f t="shared" si="211"/>
        <v/>
      </c>
      <c r="AB791" s="200"/>
      <c r="AC791" s="192"/>
    </row>
    <row r="792" spans="1:29" ht="11.4">
      <c r="A792" s="211" t="str">
        <f t="shared" si="212"/>
        <v/>
      </c>
      <c r="B792" s="211"/>
      <c r="C792" s="215"/>
      <c r="D792" s="213" t="str">
        <f t="shared" si="213"/>
        <v/>
      </c>
      <c r="E792" s="213" t="str">
        <f t="shared" si="221"/>
        <v/>
      </c>
      <c r="F792" s="214" t="str">
        <f t="shared" si="214"/>
        <v/>
      </c>
      <c r="G792" s="180"/>
      <c r="H792" s="181" t="str">
        <f t="shared" si="215"/>
        <v/>
      </c>
      <c r="I792" s="227"/>
      <c r="J792" s="227"/>
      <c r="K792" s="227"/>
      <c r="L792" s="227"/>
      <c r="M792" s="210" t="str">
        <f t="shared" si="220"/>
        <v/>
      </c>
      <c r="N792" s="210"/>
      <c r="O792" s="207"/>
      <c r="P792" s="182" t="str">
        <f t="shared" si="205"/>
        <v/>
      </c>
      <c r="Q792" s="183" t="str">
        <f t="shared" si="216"/>
        <v/>
      </c>
      <c r="R792" s="182" t="str">
        <f>IF(M792&lt;&gt;"",IF(#REF!*F792*10=0,"",#REF!*F792*10),"")</f>
        <v/>
      </c>
      <c r="S792" s="184" t="str">
        <f t="shared" si="217"/>
        <v/>
      </c>
      <c r="T792" s="185" t="str">
        <f t="shared" si="206"/>
        <v/>
      </c>
      <c r="U792" s="183" t="str">
        <f t="shared" si="218"/>
        <v/>
      </c>
      <c r="V792" s="186" t="str">
        <f t="shared" si="207"/>
        <v/>
      </c>
      <c r="W792" s="186" t="str">
        <f t="shared" si="208"/>
        <v/>
      </c>
      <c r="X792" s="187" t="str">
        <f t="shared" si="209"/>
        <v/>
      </c>
      <c r="Y792" s="182" t="str">
        <f t="shared" si="219"/>
        <v/>
      </c>
      <c r="Z792" s="209" t="str">
        <f t="shared" si="210"/>
        <v/>
      </c>
      <c r="AA792" s="209" t="str">
        <f t="shared" si="211"/>
        <v/>
      </c>
      <c r="AB792" s="200"/>
      <c r="AC792" s="192"/>
    </row>
    <row r="793" spans="1:29" ht="11.4">
      <c r="A793" s="211" t="str">
        <f t="shared" si="212"/>
        <v/>
      </c>
      <c r="B793" s="211"/>
      <c r="C793" s="215"/>
      <c r="D793" s="213" t="str">
        <f t="shared" si="213"/>
        <v/>
      </c>
      <c r="E793" s="213" t="str">
        <f t="shared" si="221"/>
        <v/>
      </c>
      <c r="F793" s="214" t="str">
        <f t="shared" si="214"/>
        <v/>
      </c>
      <c r="G793" s="180"/>
      <c r="H793" s="181" t="str">
        <f t="shared" si="215"/>
        <v/>
      </c>
      <c r="I793" s="227"/>
      <c r="J793" s="227"/>
      <c r="K793" s="227"/>
      <c r="L793" s="227"/>
      <c r="M793" s="210" t="str">
        <f t="shared" si="220"/>
        <v/>
      </c>
      <c r="N793" s="210"/>
      <c r="O793" s="207"/>
      <c r="P793" s="182" t="str">
        <f t="shared" si="205"/>
        <v/>
      </c>
      <c r="Q793" s="183" t="str">
        <f t="shared" si="216"/>
        <v/>
      </c>
      <c r="R793" s="182" t="str">
        <f>IF(M793&lt;&gt;"",IF(#REF!*F793*10=0,"",#REF!*F793*10),"")</f>
        <v/>
      </c>
      <c r="S793" s="184" t="str">
        <f t="shared" si="217"/>
        <v/>
      </c>
      <c r="T793" s="185" t="str">
        <f t="shared" si="206"/>
        <v/>
      </c>
      <c r="U793" s="183" t="str">
        <f t="shared" si="218"/>
        <v/>
      </c>
      <c r="V793" s="186" t="str">
        <f t="shared" si="207"/>
        <v/>
      </c>
      <c r="W793" s="186" t="str">
        <f t="shared" si="208"/>
        <v/>
      </c>
      <c r="X793" s="187" t="str">
        <f t="shared" si="209"/>
        <v/>
      </c>
      <c r="Y793" s="182" t="str">
        <f t="shared" si="219"/>
        <v/>
      </c>
      <c r="Z793" s="209" t="str">
        <f t="shared" si="210"/>
        <v/>
      </c>
      <c r="AA793" s="209" t="str">
        <f t="shared" si="211"/>
        <v/>
      </c>
      <c r="AB793" s="200"/>
      <c r="AC793" s="192"/>
    </row>
    <row r="794" spans="1:29" ht="11.4">
      <c r="A794" s="211" t="str">
        <f t="shared" si="212"/>
        <v/>
      </c>
      <c r="B794" s="211"/>
      <c r="C794" s="215"/>
      <c r="D794" s="213" t="str">
        <f t="shared" si="213"/>
        <v/>
      </c>
      <c r="E794" s="213" t="str">
        <f t="shared" si="221"/>
        <v/>
      </c>
      <c r="F794" s="214" t="str">
        <f t="shared" si="214"/>
        <v/>
      </c>
      <c r="G794" s="180"/>
      <c r="H794" s="181" t="str">
        <f t="shared" si="215"/>
        <v/>
      </c>
      <c r="I794" s="227"/>
      <c r="J794" s="227"/>
      <c r="K794" s="227"/>
      <c r="L794" s="227"/>
      <c r="M794" s="210" t="str">
        <f t="shared" si="220"/>
        <v/>
      </c>
      <c r="N794" s="210"/>
      <c r="O794" s="207"/>
      <c r="P794" s="182" t="str">
        <f t="shared" si="205"/>
        <v/>
      </c>
      <c r="Q794" s="183" t="str">
        <f t="shared" si="216"/>
        <v/>
      </c>
      <c r="R794" s="182" t="str">
        <f>IF(M794&lt;&gt;"",IF(#REF!*F794*10=0,"",#REF!*F794*10),"")</f>
        <v/>
      </c>
      <c r="S794" s="184" t="str">
        <f t="shared" si="217"/>
        <v/>
      </c>
      <c r="T794" s="185" t="str">
        <f t="shared" si="206"/>
        <v/>
      </c>
      <c r="U794" s="183" t="str">
        <f t="shared" si="218"/>
        <v/>
      </c>
      <c r="V794" s="186" t="str">
        <f t="shared" si="207"/>
        <v/>
      </c>
      <c r="W794" s="186" t="str">
        <f t="shared" si="208"/>
        <v/>
      </c>
      <c r="X794" s="187" t="str">
        <f t="shared" si="209"/>
        <v/>
      </c>
      <c r="Y794" s="182" t="str">
        <f t="shared" si="219"/>
        <v/>
      </c>
      <c r="Z794" s="209" t="str">
        <f t="shared" si="210"/>
        <v/>
      </c>
      <c r="AA794" s="209" t="str">
        <f t="shared" si="211"/>
        <v/>
      </c>
      <c r="AB794" s="200"/>
      <c r="AC794" s="192"/>
    </row>
    <row r="795" spans="1:29" ht="11.4">
      <c r="A795" s="211" t="str">
        <f t="shared" si="212"/>
        <v/>
      </c>
      <c r="B795" s="211"/>
      <c r="C795" s="215"/>
      <c r="D795" s="213" t="str">
        <f t="shared" si="213"/>
        <v/>
      </c>
      <c r="E795" s="213" t="str">
        <f t="shared" si="221"/>
        <v/>
      </c>
      <c r="F795" s="214" t="str">
        <f t="shared" si="214"/>
        <v/>
      </c>
      <c r="G795" s="180"/>
      <c r="H795" s="181" t="str">
        <f t="shared" si="215"/>
        <v/>
      </c>
      <c r="I795" s="227"/>
      <c r="J795" s="227"/>
      <c r="K795" s="227"/>
      <c r="L795" s="227"/>
      <c r="M795" s="210" t="str">
        <f t="shared" si="220"/>
        <v/>
      </c>
      <c r="N795" s="210"/>
      <c r="O795" s="207"/>
      <c r="P795" s="182" t="str">
        <f t="shared" si="205"/>
        <v/>
      </c>
      <c r="Q795" s="183" t="str">
        <f t="shared" si="216"/>
        <v/>
      </c>
      <c r="R795" s="182" t="str">
        <f>IF(M795&lt;&gt;"",IF(#REF!*F795*10=0,"",#REF!*F795*10),"")</f>
        <v/>
      </c>
      <c r="S795" s="184" t="str">
        <f t="shared" si="217"/>
        <v/>
      </c>
      <c r="T795" s="185" t="str">
        <f t="shared" si="206"/>
        <v/>
      </c>
      <c r="U795" s="183" t="str">
        <f t="shared" si="218"/>
        <v/>
      </c>
      <c r="V795" s="186" t="str">
        <f t="shared" si="207"/>
        <v/>
      </c>
      <c r="W795" s="186" t="str">
        <f t="shared" si="208"/>
        <v/>
      </c>
      <c r="X795" s="187" t="str">
        <f t="shared" si="209"/>
        <v/>
      </c>
      <c r="Y795" s="182" t="str">
        <f t="shared" si="219"/>
        <v/>
      </c>
      <c r="Z795" s="209" t="str">
        <f t="shared" si="210"/>
        <v/>
      </c>
      <c r="AA795" s="209" t="str">
        <f t="shared" si="211"/>
        <v/>
      </c>
      <c r="AB795" s="200"/>
      <c r="AC795" s="192"/>
    </row>
    <row r="796" spans="1:29" ht="11.4">
      <c r="A796" s="211" t="str">
        <f t="shared" si="212"/>
        <v/>
      </c>
      <c r="B796" s="211"/>
      <c r="C796" s="215"/>
      <c r="D796" s="213" t="str">
        <f t="shared" si="213"/>
        <v/>
      </c>
      <c r="E796" s="213" t="str">
        <f t="shared" si="221"/>
        <v/>
      </c>
      <c r="F796" s="214" t="str">
        <f t="shared" si="214"/>
        <v/>
      </c>
      <c r="G796" s="180"/>
      <c r="H796" s="181" t="str">
        <f t="shared" si="215"/>
        <v/>
      </c>
      <c r="I796" s="227"/>
      <c r="J796" s="227"/>
      <c r="K796" s="227"/>
      <c r="L796" s="227"/>
      <c r="M796" s="210" t="str">
        <f t="shared" si="220"/>
        <v/>
      </c>
      <c r="N796" s="210"/>
      <c r="O796" s="207"/>
      <c r="P796" s="182" t="str">
        <f t="shared" si="205"/>
        <v/>
      </c>
      <c r="Q796" s="183" t="str">
        <f t="shared" si="216"/>
        <v/>
      </c>
      <c r="R796" s="182" t="str">
        <f>IF(M796&lt;&gt;"",IF(#REF!*F796*10=0,"",#REF!*F796*10),"")</f>
        <v/>
      </c>
      <c r="S796" s="184" t="str">
        <f t="shared" si="217"/>
        <v/>
      </c>
      <c r="T796" s="185" t="str">
        <f t="shared" si="206"/>
        <v/>
      </c>
      <c r="U796" s="183" t="str">
        <f t="shared" si="218"/>
        <v/>
      </c>
      <c r="V796" s="186" t="str">
        <f t="shared" si="207"/>
        <v/>
      </c>
      <c r="W796" s="186" t="str">
        <f t="shared" si="208"/>
        <v/>
      </c>
      <c r="X796" s="187" t="str">
        <f t="shared" si="209"/>
        <v/>
      </c>
      <c r="Y796" s="182" t="str">
        <f t="shared" si="219"/>
        <v/>
      </c>
      <c r="Z796" s="209" t="str">
        <f t="shared" si="210"/>
        <v/>
      </c>
      <c r="AA796" s="209" t="str">
        <f t="shared" si="211"/>
        <v/>
      </c>
      <c r="AB796" s="200"/>
      <c r="AC796" s="192"/>
    </row>
    <row r="797" spans="1:29" ht="11.4">
      <c r="A797" s="211" t="str">
        <f t="shared" si="212"/>
        <v/>
      </c>
      <c r="B797" s="211"/>
      <c r="C797" s="215"/>
      <c r="D797" s="213" t="str">
        <f t="shared" si="213"/>
        <v/>
      </c>
      <c r="E797" s="213" t="str">
        <f t="shared" si="221"/>
        <v/>
      </c>
      <c r="F797" s="214" t="str">
        <f t="shared" si="214"/>
        <v/>
      </c>
      <c r="G797" s="180"/>
      <c r="H797" s="181" t="str">
        <f t="shared" si="215"/>
        <v/>
      </c>
      <c r="I797" s="227"/>
      <c r="J797" s="227"/>
      <c r="K797" s="227"/>
      <c r="L797" s="227"/>
      <c r="M797" s="210" t="str">
        <f t="shared" si="220"/>
        <v/>
      </c>
      <c r="N797" s="210"/>
      <c r="O797" s="207"/>
      <c r="P797" s="182" t="str">
        <f t="shared" si="205"/>
        <v/>
      </c>
      <c r="Q797" s="183" t="str">
        <f t="shared" si="216"/>
        <v/>
      </c>
      <c r="R797" s="182" t="str">
        <f>IF(M797&lt;&gt;"",IF(#REF!*F797*10=0,"",#REF!*F797*10),"")</f>
        <v/>
      </c>
      <c r="S797" s="184" t="str">
        <f t="shared" si="217"/>
        <v/>
      </c>
      <c r="T797" s="185" t="str">
        <f t="shared" si="206"/>
        <v/>
      </c>
      <c r="U797" s="183" t="str">
        <f t="shared" si="218"/>
        <v/>
      </c>
      <c r="V797" s="186" t="str">
        <f t="shared" si="207"/>
        <v/>
      </c>
      <c r="W797" s="186" t="str">
        <f t="shared" si="208"/>
        <v/>
      </c>
      <c r="X797" s="187" t="str">
        <f t="shared" si="209"/>
        <v/>
      </c>
      <c r="Y797" s="182" t="str">
        <f t="shared" si="219"/>
        <v/>
      </c>
      <c r="Z797" s="209" t="str">
        <f t="shared" si="210"/>
        <v/>
      </c>
      <c r="AA797" s="209" t="str">
        <f t="shared" si="211"/>
        <v/>
      </c>
      <c r="AB797" s="200"/>
      <c r="AC797" s="192"/>
    </row>
    <row r="798" spans="1:29" ht="11.4">
      <c r="A798" s="211" t="str">
        <f t="shared" si="212"/>
        <v/>
      </c>
      <c r="B798" s="211"/>
      <c r="C798" s="215"/>
      <c r="D798" s="213" t="str">
        <f t="shared" si="213"/>
        <v/>
      </c>
      <c r="E798" s="213" t="str">
        <f t="shared" si="221"/>
        <v/>
      </c>
      <c r="F798" s="214" t="str">
        <f t="shared" si="214"/>
        <v/>
      </c>
      <c r="G798" s="180"/>
      <c r="H798" s="181" t="str">
        <f t="shared" si="215"/>
        <v/>
      </c>
      <c r="I798" s="227"/>
      <c r="J798" s="227"/>
      <c r="K798" s="227"/>
      <c r="L798" s="227"/>
      <c r="M798" s="210" t="str">
        <f t="shared" si="220"/>
        <v/>
      </c>
      <c r="N798" s="210"/>
      <c r="O798" s="207"/>
      <c r="P798" s="182" t="str">
        <f t="shared" si="205"/>
        <v/>
      </c>
      <c r="Q798" s="183" t="str">
        <f t="shared" si="216"/>
        <v/>
      </c>
      <c r="R798" s="182" t="str">
        <f>IF(M798&lt;&gt;"",IF(#REF!*F798*10=0,"",#REF!*F798*10),"")</f>
        <v/>
      </c>
      <c r="S798" s="184" t="str">
        <f t="shared" si="217"/>
        <v/>
      </c>
      <c r="T798" s="185" t="str">
        <f t="shared" si="206"/>
        <v/>
      </c>
      <c r="U798" s="183" t="str">
        <f t="shared" si="218"/>
        <v/>
      </c>
      <c r="V798" s="186" t="str">
        <f t="shared" si="207"/>
        <v/>
      </c>
      <c r="W798" s="186" t="str">
        <f t="shared" si="208"/>
        <v/>
      </c>
      <c r="X798" s="187" t="str">
        <f t="shared" si="209"/>
        <v/>
      </c>
      <c r="Y798" s="182" t="str">
        <f t="shared" si="219"/>
        <v/>
      </c>
      <c r="Z798" s="209" t="str">
        <f t="shared" si="210"/>
        <v/>
      </c>
      <c r="AA798" s="209" t="str">
        <f t="shared" si="211"/>
        <v/>
      </c>
      <c r="AB798" s="200"/>
      <c r="AC798" s="192"/>
    </row>
    <row r="799" spans="1:29" ht="11.4">
      <c r="A799" s="211" t="str">
        <f t="shared" si="212"/>
        <v/>
      </c>
      <c r="B799" s="211"/>
      <c r="C799" s="215"/>
      <c r="D799" s="213" t="str">
        <f t="shared" si="213"/>
        <v/>
      </c>
      <c r="E799" s="213" t="str">
        <f t="shared" si="221"/>
        <v/>
      </c>
      <c r="F799" s="214" t="str">
        <f t="shared" si="214"/>
        <v/>
      </c>
      <c r="G799" s="180"/>
      <c r="H799" s="181" t="str">
        <f t="shared" si="215"/>
        <v/>
      </c>
      <c r="I799" s="227"/>
      <c r="J799" s="227"/>
      <c r="K799" s="227"/>
      <c r="L799" s="227"/>
      <c r="M799" s="210" t="str">
        <f t="shared" si="220"/>
        <v/>
      </c>
      <c r="N799" s="210"/>
      <c r="O799" s="207"/>
      <c r="P799" s="182" t="str">
        <f t="shared" si="205"/>
        <v/>
      </c>
      <c r="Q799" s="183" t="str">
        <f t="shared" si="216"/>
        <v/>
      </c>
      <c r="R799" s="182" t="str">
        <f>IF(M799&lt;&gt;"",IF(#REF!*F799*10=0,"",#REF!*F799*10),"")</f>
        <v/>
      </c>
      <c r="S799" s="184" t="str">
        <f t="shared" si="217"/>
        <v/>
      </c>
      <c r="T799" s="185" t="str">
        <f t="shared" si="206"/>
        <v/>
      </c>
      <c r="U799" s="183" t="str">
        <f t="shared" si="218"/>
        <v/>
      </c>
      <c r="V799" s="186" t="str">
        <f t="shared" si="207"/>
        <v/>
      </c>
      <c r="W799" s="186" t="str">
        <f t="shared" si="208"/>
        <v/>
      </c>
      <c r="X799" s="187" t="str">
        <f t="shared" si="209"/>
        <v/>
      </c>
      <c r="Y799" s="182" t="str">
        <f t="shared" si="219"/>
        <v/>
      </c>
      <c r="Z799" s="209" t="str">
        <f t="shared" si="210"/>
        <v/>
      </c>
      <c r="AA799" s="209" t="str">
        <f t="shared" si="211"/>
        <v/>
      </c>
      <c r="AB799" s="200"/>
      <c r="AC799" s="192"/>
    </row>
    <row r="800" spans="1:29" ht="11.4">
      <c r="A800" s="211" t="str">
        <f t="shared" si="212"/>
        <v/>
      </c>
      <c r="B800" s="211"/>
      <c r="C800" s="215"/>
      <c r="D800" s="213" t="str">
        <f t="shared" si="213"/>
        <v/>
      </c>
      <c r="E800" s="213" t="str">
        <f t="shared" si="221"/>
        <v/>
      </c>
      <c r="F800" s="214" t="str">
        <f t="shared" si="214"/>
        <v/>
      </c>
      <c r="G800" s="180"/>
      <c r="H800" s="181" t="str">
        <f t="shared" si="215"/>
        <v/>
      </c>
      <c r="I800" s="227"/>
      <c r="J800" s="227"/>
      <c r="K800" s="227"/>
      <c r="L800" s="227"/>
      <c r="M800" s="210" t="str">
        <f t="shared" si="220"/>
        <v/>
      </c>
      <c r="N800" s="210"/>
      <c r="O800" s="207"/>
      <c r="P800" s="182" t="str">
        <f t="shared" si="205"/>
        <v/>
      </c>
      <c r="Q800" s="183" t="str">
        <f t="shared" si="216"/>
        <v/>
      </c>
      <c r="R800" s="182" t="str">
        <f>IF(M800&lt;&gt;"",IF(#REF!*F800*10=0,"",#REF!*F800*10),"")</f>
        <v/>
      </c>
      <c r="S800" s="184" t="str">
        <f t="shared" si="217"/>
        <v/>
      </c>
      <c r="T800" s="185" t="str">
        <f t="shared" si="206"/>
        <v/>
      </c>
      <c r="U800" s="183" t="str">
        <f t="shared" si="218"/>
        <v/>
      </c>
      <c r="V800" s="186" t="str">
        <f t="shared" si="207"/>
        <v/>
      </c>
      <c r="W800" s="186" t="str">
        <f t="shared" si="208"/>
        <v/>
      </c>
      <c r="X800" s="187" t="str">
        <f t="shared" si="209"/>
        <v/>
      </c>
      <c r="Y800" s="182" t="str">
        <f t="shared" si="219"/>
        <v/>
      </c>
      <c r="Z800" s="209" t="str">
        <f t="shared" si="210"/>
        <v/>
      </c>
      <c r="AA800" s="209" t="str">
        <f t="shared" si="211"/>
        <v/>
      </c>
      <c r="AB800" s="200"/>
      <c r="AC800" s="192"/>
    </row>
    <row r="801" spans="1:29" ht="11.4">
      <c r="A801" s="211" t="str">
        <f t="shared" si="212"/>
        <v/>
      </c>
      <c r="B801" s="211"/>
      <c r="C801" s="215"/>
      <c r="D801" s="213" t="str">
        <f t="shared" si="213"/>
        <v/>
      </c>
      <c r="E801" s="213" t="str">
        <f t="shared" si="221"/>
        <v/>
      </c>
      <c r="F801" s="214" t="str">
        <f t="shared" si="214"/>
        <v/>
      </c>
      <c r="G801" s="180"/>
      <c r="H801" s="181" t="str">
        <f t="shared" si="215"/>
        <v/>
      </c>
      <c r="I801" s="227"/>
      <c r="J801" s="227"/>
      <c r="K801" s="227"/>
      <c r="L801" s="227"/>
      <c r="M801" s="210" t="str">
        <f t="shared" si="220"/>
        <v/>
      </c>
      <c r="N801" s="210"/>
      <c r="O801" s="207"/>
      <c r="P801" s="182" t="str">
        <f t="shared" si="205"/>
        <v/>
      </c>
      <c r="Q801" s="183" t="str">
        <f t="shared" si="216"/>
        <v/>
      </c>
      <c r="R801" s="182" t="str">
        <f>IF(M801&lt;&gt;"",IF(#REF!*F801*10=0,"",#REF!*F801*10),"")</f>
        <v/>
      </c>
      <c r="S801" s="184" t="str">
        <f t="shared" si="217"/>
        <v/>
      </c>
      <c r="T801" s="185" t="str">
        <f t="shared" si="206"/>
        <v/>
      </c>
      <c r="U801" s="183" t="str">
        <f t="shared" si="218"/>
        <v/>
      </c>
      <c r="V801" s="186" t="str">
        <f t="shared" si="207"/>
        <v/>
      </c>
      <c r="W801" s="186" t="str">
        <f t="shared" si="208"/>
        <v/>
      </c>
      <c r="X801" s="187" t="str">
        <f t="shared" si="209"/>
        <v/>
      </c>
      <c r="Y801" s="182" t="str">
        <f t="shared" si="219"/>
        <v/>
      </c>
      <c r="Z801" s="209" t="str">
        <f t="shared" si="210"/>
        <v/>
      </c>
      <c r="AA801" s="209" t="str">
        <f t="shared" si="211"/>
        <v/>
      </c>
      <c r="AB801" s="200"/>
      <c r="AC801" s="192"/>
    </row>
    <row r="802" spans="1:29" ht="11.4">
      <c r="A802" s="211" t="str">
        <f t="shared" si="212"/>
        <v/>
      </c>
      <c r="B802" s="211"/>
      <c r="C802" s="215"/>
      <c r="D802" s="213" t="str">
        <f t="shared" si="213"/>
        <v/>
      </c>
      <c r="E802" s="213" t="str">
        <f t="shared" si="221"/>
        <v/>
      </c>
      <c r="F802" s="214" t="str">
        <f t="shared" si="214"/>
        <v/>
      </c>
      <c r="G802" s="180"/>
      <c r="H802" s="181" t="str">
        <f t="shared" si="215"/>
        <v/>
      </c>
      <c r="I802" s="227"/>
      <c r="J802" s="227"/>
      <c r="K802" s="227"/>
      <c r="L802" s="227"/>
      <c r="M802" s="210" t="str">
        <f t="shared" si="220"/>
        <v/>
      </c>
      <c r="N802" s="210"/>
      <c r="O802" s="207"/>
      <c r="P802" s="182" t="str">
        <f t="shared" si="205"/>
        <v/>
      </c>
      <c r="Q802" s="183" t="str">
        <f t="shared" si="216"/>
        <v/>
      </c>
      <c r="R802" s="182" t="str">
        <f>IF(M802&lt;&gt;"",IF(#REF!*F802*10=0,"",#REF!*F802*10),"")</f>
        <v/>
      </c>
      <c r="S802" s="184" t="str">
        <f t="shared" si="217"/>
        <v/>
      </c>
      <c r="T802" s="185" t="str">
        <f t="shared" si="206"/>
        <v/>
      </c>
      <c r="U802" s="183" t="str">
        <f t="shared" si="218"/>
        <v/>
      </c>
      <c r="V802" s="186" t="str">
        <f t="shared" si="207"/>
        <v/>
      </c>
      <c r="W802" s="186" t="str">
        <f t="shared" si="208"/>
        <v/>
      </c>
      <c r="X802" s="187" t="str">
        <f t="shared" si="209"/>
        <v/>
      </c>
      <c r="Y802" s="182" t="str">
        <f t="shared" si="219"/>
        <v/>
      </c>
      <c r="Z802" s="209" t="str">
        <f t="shared" si="210"/>
        <v/>
      </c>
      <c r="AA802" s="209" t="str">
        <f t="shared" si="211"/>
        <v/>
      </c>
      <c r="AB802" s="200"/>
      <c r="AC802" s="192"/>
    </row>
    <row r="803" spans="1:29" ht="11.4">
      <c r="A803" s="211" t="str">
        <f t="shared" si="212"/>
        <v/>
      </c>
      <c r="B803" s="211"/>
      <c r="C803" s="215"/>
      <c r="D803" s="213" t="str">
        <f t="shared" si="213"/>
        <v/>
      </c>
      <c r="E803" s="213" t="str">
        <f t="shared" si="221"/>
        <v/>
      </c>
      <c r="F803" s="214" t="str">
        <f t="shared" si="214"/>
        <v/>
      </c>
      <c r="G803" s="180"/>
      <c r="H803" s="181" t="str">
        <f t="shared" si="215"/>
        <v/>
      </c>
      <c r="I803" s="227"/>
      <c r="J803" s="227"/>
      <c r="K803" s="227"/>
      <c r="L803" s="227"/>
      <c r="M803" s="210" t="str">
        <f t="shared" si="220"/>
        <v/>
      </c>
      <c r="N803" s="210"/>
      <c r="O803" s="207"/>
      <c r="P803" s="182" t="str">
        <f t="shared" si="205"/>
        <v/>
      </c>
      <c r="Q803" s="183" t="str">
        <f t="shared" si="216"/>
        <v/>
      </c>
      <c r="R803" s="182" t="str">
        <f>IF(M803&lt;&gt;"",IF(#REF!*F803*10=0,"",#REF!*F803*10),"")</f>
        <v/>
      </c>
      <c r="S803" s="184" t="str">
        <f t="shared" si="217"/>
        <v/>
      </c>
      <c r="T803" s="185" t="str">
        <f t="shared" si="206"/>
        <v/>
      </c>
      <c r="U803" s="183" t="str">
        <f t="shared" si="218"/>
        <v/>
      </c>
      <c r="V803" s="186" t="str">
        <f t="shared" si="207"/>
        <v/>
      </c>
      <c r="W803" s="186" t="str">
        <f t="shared" si="208"/>
        <v/>
      </c>
      <c r="X803" s="187" t="str">
        <f t="shared" si="209"/>
        <v/>
      </c>
      <c r="Y803" s="182" t="str">
        <f t="shared" si="219"/>
        <v/>
      </c>
      <c r="Z803" s="209" t="str">
        <f t="shared" si="210"/>
        <v/>
      </c>
      <c r="AA803" s="209" t="str">
        <f t="shared" si="211"/>
        <v/>
      </c>
      <c r="AB803" s="200"/>
      <c r="AC803" s="192"/>
    </row>
    <row r="804" spans="1:29" ht="11.4">
      <c r="A804" s="211" t="str">
        <f t="shared" si="212"/>
        <v/>
      </c>
      <c r="B804" s="211"/>
      <c r="C804" s="215"/>
      <c r="D804" s="213" t="str">
        <f t="shared" si="213"/>
        <v/>
      </c>
      <c r="E804" s="213" t="str">
        <f t="shared" si="221"/>
        <v/>
      </c>
      <c r="F804" s="214" t="str">
        <f t="shared" si="214"/>
        <v/>
      </c>
      <c r="G804" s="180"/>
      <c r="H804" s="181" t="str">
        <f t="shared" si="215"/>
        <v/>
      </c>
      <c r="I804" s="227"/>
      <c r="J804" s="227"/>
      <c r="K804" s="227"/>
      <c r="L804" s="227"/>
      <c r="M804" s="210" t="str">
        <f t="shared" si="220"/>
        <v/>
      </c>
      <c r="N804" s="210"/>
      <c r="O804" s="207"/>
      <c r="P804" s="182" t="str">
        <f t="shared" si="205"/>
        <v/>
      </c>
      <c r="Q804" s="183" t="str">
        <f t="shared" si="216"/>
        <v/>
      </c>
      <c r="R804" s="182" t="str">
        <f>IF(M804&lt;&gt;"",IF(#REF!*F804*10=0,"",#REF!*F804*10),"")</f>
        <v/>
      </c>
      <c r="S804" s="184" t="str">
        <f t="shared" si="217"/>
        <v/>
      </c>
      <c r="T804" s="185" t="str">
        <f t="shared" si="206"/>
        <v/>
      </c>
      <c r="U804" s="183" t="str">
        <f t="shared" si="218"/>
        <v/>
      </c>
      <c r="V804" s="186" t="str">
        <f t="shared" si="207"/>
        <v/>
      </c>
      <c r="W804" s="186" t="str">
        <f t="shared" si="208"/>
        <v/>
      </c>
      <c r="X804" s="187" t="str">
        <f t="shared" si="209"/>
        <v/>
      </c>
      <c r="Y804" s="182" t="str">
        <f t="shared" si="219"/>
        <v/>
      </c>
      <c r="Z804" s="209" t="str">
        <f t="shared" si="210"/>
        <v/>
      </c>
      <c r="AA804" s="209" t="str">
        <f t="shared" si="211"/>
        <v/>
      </c>
      <c r="AB804" s="200"/>
      <c r="AC804" s="192"/>
    </row>
    <row r="805" spans="1:29" ht="11.4">
      <c r="A805" s="211" t="str">
        <f t="shared" si="212"/>
        <v/>
      </c>
      <c r="B805" s="211"/>
      <c r="C805" s="215"/>
      <c r="D805" s="213" t="str">
        <f t="shared" si="213"/>
        <v/>
      </c>
      <c r="E805" s="213" t="str">
        <f t="shared" si="221"/>
        <v/>
      </c>
      <c r="F805" s="214" t="str">
        <f t="shared" si="214"/>
        <v/>
      </c>
      <c r="G805" s="180"/>
      <c r="H805" s="181" t="str">
        <f t="shared" si="215"/>
        <v/>
      </c>
      <c r="I805" s="227"/>
      <c r="J805" s="227"/>
      <c r="K805" s="227"/>
      <c r="L805" s="227"/>
      <c r="M805" s="210" t="str">
        <f t="shared" si="220"/>
        <v/>
      </c>
      <c r="N805" s="210"/>
      <c r="O805" s="207"/>
      <c r="P805" s="182" t="str">
        <f t="shared" si="205"/>
        <v/>
      </c>
      <c r="Q805" s="183" t="str">
        <f t="shared" si="216"/>
        <v/>
      </c>
      <c r="R805" s="182" t="str">
        <f>IF(M805&lt;&gt;"",IF(#REF!*F805*10=0,"",#REF!*F805*10),"")</f>
        <v/>
      </c>
      <c r="S805" s="184" t="str">
        <f t="shared" si="217"/>
        <v/>
      </c>
      <c r="T805" s="185" t="str">
        <f t="shared" si="206"/>
        <v/>
      </c>
      <c r="U805" s="183" t="str">
        <f t="shared" si="218"/>
        <v/>
      </c>
      <c r="V805" s="186" t="str">
        <f t="shared" si="207"/>
        <v/>
      </c>
      <c r="W805" s="186" t="str">
        <f t="shared" si="208"/>
        <v/>
      </c>
      <c r="X805" s="187" t="str">
        <f t="shared" si="209"/>
        <v/>
      </c>
      <c r="Y805" s="182" t="str">
        <f t="shared" si="219"/>
        <v/>
      </c>
      <c r="Z805" s="209" t="str">
        <f t="shared" si="210"/>
        <v/>
      </c>
      <c r="AA805" s="209" t="str">
        <f t="shared" si="211"/>
        <v/>
      </c>
      <c r="AB805" s="200"/>
      <c r="AC805" s="192"/>
    </row>
    <row r="806" spans="1:29" ht="11.4">
      <c r="A806" s="211" t="str">
        <f t="shared" si="212"/>
        <v/>
      </c>
      <c r="B806" s="211"/>
      <c r="C806" s="215"/>
      <c r="D806" s="213" t="str">
        <f t="shared" si="213"/>
        <v/>
      </c>
      <c r="E806" s="213" t="str">
        <f t="shared" si="221"/>
        <v/>
      </c>
      <c r="F806" s="214" t="str">
        <f t="shared" si="214"/>
        <v/>
      </c>
      <c r="G806" s="180"/>
      <c r="H806" s="181" t="str">
        <f t="shared" si="215"/>
        <v/>
      </c>
      <c r="I806" s="227"/>
      <c r="J806" s="227"/>
      <c r="K806" s="227"/>
      <c r="L806" s="227"/>
      <c r="M806" s="210" t="str">
        <f t="shared" si="220"/>
        <v/>
      </c>
      <c r="N806" s="210"/>
      <c r="O806" s="207"/>
      <c r="P806" s="182" t="str">
        <f t="shared" si="205"/>
        <v/>
      </c>
      <c r="Q806" s="183" t="str">
        <f t="shared" si="216"/>
        <v/>
      </c>
      <c r="R806" s="182" t="str">
        <f>IF(M806&lt;&gt;"",IF(#REF!*F806*10=0,"",#REF!*F806*10),"")</f>
        <v/>
      </c>
      <c r="S806" s="184" t="str">
        <f t="shared" si="217"/>
        <v/>
      </c>
      <c r="T806" s="185" t="str">
        <f t="shared" si="206"/>
        <v/>
      </c>
      <c r="U806" s="183" t="str">
        <f t="shared" si="218"/>
        <v/>
      </c>
      <c r="V806" s="186" t="str">
        <f t="shared" si="207"/>
        <v/>
      </c>
      <c r="W806" s="186" t="str">
        <f t="shared" si="208"/>
        <v/>
      </c>
      <c r="X806" s="187" t="str">
        <f t="shared" si="209"/>
        <v/>
      </c>
      <c r="Y806" s="182" t="str">
        <f t="shared" si="219"/>
        <v/>
      </c>
      <c r="Z806" s="209" t="str">
        <f t="shared" si="210"/>
        <v/>
      </c>
      <c r="AA806" s="209" t="str">
        <f t="shared" si="211"/>
        <v/>
      </c>
      <c r="AB806" s="200"/>
      <c r="AC806" s="192"/>
    </row>
    <row r="807" spans="1:29" ht="11.4">
      <c r="A807" s="211" t="str">
        <f t="shared" si="212"/>
        <v/>
      </c>
      <c r="B807" s="211"/>
      <c r="C807" s="215"/>
      <c r="D807" s="213" t="str">
        <f t="shared" si="213"/>
        <v/>
      </c>
      <c r="E807" s="213" t="str">
        <f t="shared" si="221"/>
        <v/>
      </c>
      <c r="F807" s="214" t="str">
        <f t="shared" si="214"/>
        <v/>
      </c>
      <c r="G807" s="180"/>
      <c r="H807" s="181" t="str">
        <f t="shared" si="215"/>
        <v/>
      </c>
      <c r="I807" s="227"/>
      <c r="J807" s="227"/>
      <c r="K807" s="227"/>
      <c r="L807" s="227"/>
      <c r="M807" s="210" t="str">
        <f t="shared" si="220"/>
        <v/>
      </c>
      <c r="N807" s="210"/>
      <c r="O807" s="207"/>
      <c r="P807" s="182" t="str">
        <f t="shared" si="205"/>
        <v/>
      </c>
      <c r="Q807" s="183" t="str">
        <f t="shared" si="216"/>
        <v/>
      </c>
      <c r="R807" s="182" t="str">
        <f>IF(M807&lt;&gt;"",IF(#REF!*F807*10=0,"",#REF!*F807*10),"")</f>
        <v/>
      </c>
      <c r="S807" s="184" t="str">
        <f t="shared" si="217"/>
        <v/>
      </c>
      <c r="T807" s="185" t="str">
        <f t="shared" si="206"/>
        <v/>
      </c>
      <c r="U807" s="183" t="str">
        <f t="shared" si="218"/>
        <v/>
      </c>
      <c r="V807" s="186" t="str">
        <f t="shared" si="207"/>
        <v/>
      </c>
      <c r="W807" s="186" t="str">
        <f t="shared" si="208"/>
        <v/>
      </c>
      <c r="X807" s="187" t="str">
        <f t="shared" si="209"/>
        <v/>
      </c>
      <c r="Y807" s="182" t="str">
        <f t="shared" si="219"/>
        <v/>
      </c>
      <c r="Z807" s="209" t="str">
        <f t="shared" si="210"/>
        <v/>
      </c>
      <c r="AA807" s="209" t="str">
        <f t="shared" si="211"/>
        <v/>
      </c>
      <c r="AB807" s="200"/>
      <c r="AC807" s="192"/>
    </row>
    <row r="808" spans="1:29" ht="11.4">
      <c r="A808" s="211" t="str">
        <f t="shared" si="212"/>
        <v/>
      </c>
      <c r="B808" s="211"/>
      <c r="C808" s="215"/>
      <c r="D808" s="213" t="str">
        <f t="shared" si="213"/>
        <v/>
      </c>
      <c r="E808" s="213" t="str">
        <f t="shared" si="221"/>
        <v/>
      </c>
      <c r="F808" s="214" t="str">
        <f t="shared" si="214"/>
        <v/>
      </c>
      <c r="G808" s="180"/>
      <c r="H808" s="181" t="str">
        <f t="shared" si="215"/>
        <v/>
      </c>
      <c r="I808" s="227"/>
      <c r="J808" s="227"/>
      <c r="K808" s="227"/>
      <c r="L808" s="227"/>
      <c r="M808" s="210" t="str">
        <f t="shared" si="220"/>
        <v/>
      </c>
      <c r="N808" s="210"/>
      <c r="O808" s="207"/>
      <c r="P808" s="182" t="str">
        <f t="shared" si="205"/>
        <v/>
      </c>
      <c r="Q808" s="183" t="str">
        <f t="shared" si="216"/>
        <v/>
      </c>
      <c r="R808" s="182" t="str">
        <f>IF(M808&lt;&gt;"",IF(#REF!*F808*10=0,"",#REF!*F808*10),"")</f>
        <v/>
      </c>
      <c r="S808" s="184" t="str">
        <f t="shared" si="217"/>
        <v/>
      </c>
      <c r="T808" s="185" t="str">
        <f t="shared" si="206"/>
        <v/>
      </c>
      <c r="U808" s="183" t="str">
        <f t="shared" si="218"/>
        <v/>
      </c>
      <c r="V808" s="186" t="str">
        <f t="shared" si="207"/>
        <v/>
      </c>
      <c r="W808" s="186" t="str">
        <f t="shared" si="208"/>
        <v/>
      </c>
      <c r="X808" s="187" t="str">
        <f t="shared" si="209"/>
        <v/>
      </c>
      <c r="Y808" s="182" t="str">
        <f t="shared" si="219"/>
        <v/>
      </c>
      <c r="Z808" s="209" t="str">
        <f t="shared" si="210"/>
        <v/>
      </c>
      <c r="AA808" s="209" t="str">
        <f t="shared" si="211"/>
        <v/>
      </c>
      <c r="AB808" s="200"/>
      <c r="AC808" s="192"/>
    </row>
    <row r="809" spans="1:29" ht="11.4">
      <c r="A809" s="211" t="str">
        <f t="shared" si="212"/>
        <v/>
      </c>
      <c r="B809" s="211"/>
      <c r="C809" s="215"/>
      <c r="D809" s="213" t="str">
        <f t="shared" si="213"/>
        <v/>
      </c>
      <c r="E809" s="213" t="str">
        <f t="shared" si="221"/>
        <v/>
      </c>
      <c r="F809" s="214" t="str">
        <f t="shared" si="214"/>
        <v/>
      </c>
      <c r="G809" s="180"/>
      <c r="H809" s="181" t="str">
        <f t="shared" si="215"/>
        <v/>
      </c>
      <c r="I809" s="227"/>
      <c r="J809" s="227"/>
      <c r="K809" s="227"/>
      <c r="L809" s="227"/>
      <c r="M809" s="210" t="str">
        <f t="shared" si="220"/>
        <v/>
      </c>
      <c r="N809" s="210"/>
      <c r="O809" s="207"/>
      <c r="P809" s="182" t="str">
        <f t="shared" si="205"/>
        <v/>
      </c>
      <c r="Q809" s="183" t="str">
        <f t="shared" si="216"/>
        <v/>
      </c>
      <c r="R809" s="182" t="str">
        <f>IF(M809&lt;&gt;"",IF(#REF!*F809*10=0,"",#REF!*F809*10),"")</f>
        <v/>
      </c>
      <c r="S809" s="184" t="str">
        <f t="shared" si="217"/>
        <v/>
      </c>
      <c r="T809" s="185" t="str">
        <f t="shared" si="206"/>
        <v/>
      </c>
      <c r="U809" s="183" t="str">
        <f t="shared" si="218"/>
        <v/>
      </c>
      <c r="V809" s="186" t="str">
        <f t="shared" si="207"/>
        <v/>
      </c>
      <c r="W809" s="186" t="str">
        <f t="shared" si="208"/>
        <v/>
      </c>
      <c r="X809" s="187" t="str">
        <f t="shared" si="209"/>
        <v/>
      </c>
      <c r="Y809" s="182" t="str">
        <f t="shared" si="219"/>
        <v/>
      </c>
      <c r="Z809" s="209" t="str">
        <f t="shared" si="210"/>
        <v/>
      </c>
      <c r="AA809" s="209" t="str">
        <f t="shared" si="211"/>
        <v/>
      </c>
      <c r="AB809" s="200"/>
      <c r="AC809" s="192"/>
    </row>
    <row r="810" spans="1:29" ht="11.4">
      <c r="A810" s="211" t="str">
        <f t="shared" si="212"/>
        <v/>
      </c>
      <c r="B810" s="211"/>
      <c r="C810" s="215"/>
      <c r="D810" s="213" t="str">
        <f t="shared" si="213"/>
        <v/>
      </c>
      <c r="E810" s="213" t="str">
        <f t="shared" si="221"/>
        <v/>
      </c>
      <c r="F810" s="214" t="str">
        <f t="shared" si="214"/>
        <v/>
      </c>
      <c r="G810" s="180"/>
      <c r="H810" s="181" t="str">
        <f t="shared" si="215"/>
        <v/>
      </c>
      <c r="I810" s="227"/>
      <c r="J810" s="227"/>
      <c r="K810" s="227"/>
      <c r="L810" s="227"/>
      <c r="M810" s="210" t="str">
        <f t="shared" si="220"/>
        <v/>
      </c>
      <c r="N810" s="210"/>
      <c r="O810" s="207"/>
      <c r="P810" s="182" t="str">
        <f t="shared" si="205"/>
        <v/>
      </c>
      <c r="Q810" s="183" t="str">
        <f t="shared" si="216"/>
        <v/>
      </c>
      <c r="R810" s="182" t="str">
        <f>IF(M810&lt;&gt;"",IF(#REF!*F810*10=0,"",#REF!*F810*10),"")</f>
        <v/>
      </c>
      <c r="S810" s="184" t="str">
        <f t="shared" si="217"/>
        <v/>
      </c>
      <c r="T810" s="185" t="str">
        <f t="shared" si="206"/>
        <v/>
      </c>
      <c r="U810" s="183" t="str">
        <f t="shared" si="218"/>
        <v/>
      </c>
      <c r="V810" s="186" t="str">
        <f t="shared" si="207"/>
        <v/>
      </c>
      <c r="W810" s="186" t="str">
        <f t="shared" si="208"/>
        <v/>
      </c>
      <c r="X810" s="187" t="str">
        <f t="shared" si="209"/>
        <v/>
      </c>
      <c r="Y810" s="182" t="str">
        <f t="shared" si="219"/>
        <v/>
      </c>
      <c r="Z810" s="209" t="str">
        <f t="shared" si="210"/>
        <v/>
      </c>
      <c r="AA810" s="209" t="str">
        <f t="shared" si="211"/>
        <v/>
      </c>
      <c r="AB810" s="200"/>
      <c r="AC810" s="192"/>
    </row>
    <row r="811" spans="1:29" ht="11.4">
      <c r="A811" s="211" t="str">
        <f t="shared" si="212"/>
        <v/>
      </c>
      <c r="B811" s="211"/>
      <c r="C811" s="215"/>
      <c r="D811" s="213" t="str">
        <f t="shared" si="213"/>
        <v/>
      </c>
      <c r="E811" s="213" t="str">
        <f t="shared" si="221"/>
        <v/>
      </c>
      <c r="F811" s="214" t="str">
        <f t="shared" si="214"/>
        <v/>
      </c>
      <c r="G811" s="180"/>
      <c r="H811" s="181" t="str">
        <f t="shared" si="215"/>
        <v/>
      </c>
      <c r="I811" s="227"/>
      <c r="J811" s="227"/>
      <c r="K811" s="227"/>
      <c r="L811" s="227"/>
      <c r="M811" s="210" t="str">
        <f t="shared" si="220"/>
        <v/>
      </c>
      <c r="N811" s="210"/>
      <c r="O811" s="207"/>
      <c r="P811" s="182" t="str">
        <f t="shared" si="205"/>
        <v/>
      </c>
      <c r="Q811" s="183" t="str">
        <f t="shared" si="216"/>
        <v/>
      </c>
      <c r="R811" s="182" t="str">
        <f>IF(M811&lt;&gt;"",IF(#REF!*F811*10=0,"",#REF!*F811*10),"")</f>
        <v/>
      </c>
      <c r="S811" s="184" t="str">
        <f t="shared" si="217"/>
        <v/>
      </c>
      <c r="T811" s="185" t="str">
        <f t="shared" si="206"/>
        <v/>
      </c>
      <c r="U811" s="183" t="str">
        <f t="shared" si="218"/>
        <v/>
      </c>
      <c r="V811" s="186" t="str">
        <f t="shared" si="207"/>
        <v/>
      </c>
      <c r="W811" s="186" t="str">
        <f t="shared" si="208"/>
        <v/>
      </c>
      <c r="X811" s="187" t="str">
        <f t="shared" si="209"/>
        <v/>
      </c>
      <c r="Y811" s="182" t="str">
        <f t="shared" si="219"/>
        <v/>
      </c>
      <c r="Z811" s="209" t="str">
        <f t="shared" si="210"/>
        <v/>
      </c>
      <c r="AA811" s="209" t="str">
        <f t="shared" si="211"/>
        <v/>
      </c>
      <c r="AB811" s="200"/>
      <c r="AC811" s="192"/>
    </row>
    <row r="812" spans="1:29" ht="11.4">
      <c r="A812" s="211" t="str">
        <f t="shared" si="212"/>
        <v/>
      </c>
      <c r="B812" s="211"/>
      <c r="C812" s="215"/>
      <c r="D812" s="213" t="str">
        <f t="shared" si="213"/>
        <v/>
      </c>
      <c r="E812" s="213" t="str">
        <f t="shared" si="221"/>
        <v/>
      </c>
      <c r="F812" s="214" t="str">
        <f t="shared" si="214"/>
        <v/>
      </c>
      <c r="G812" s="180"/>
      <c r="H812" s="181" t="str">
        <f t="shared" si="215"/>
        <v/>
      </c>
      <c r="I812" s="227"/>
      <c r="J812" s="227"/>
      <c r="K812" s="227"/>
      <c r="L812" s="227"/>
      <c r="M812" s="210" t="str">
        <f t="shared" si="220"/>
        <v/>
      </c>
      <c r="N812" s="210"/>
      <c r="O812" s="207"/>
      <c r="P812" s="182" t="str">
        <f t="shared" si="205"/>
        <v/>
      </c>
      <c r="Q812" s="183" t="str">
        <f t="shared" si="216"/>
        <v/>
      </c>
      <c r="R812" s="182" t="str">
        <f>IF(M812&lt;&gt;"",IF(#REF!*F812*10=0,"",#REF!*F812*10),"")</f>
        <v/>
      </c>
      <c r="S812" s="184" t="str">
        <f t="shared" si="217"/>
        <v/>
      </c>
      <c r="T812" s="185" t="str">
        <f t="shared" si="206"/>
        <v/>
      </c>
      <c r="U812" s="183" t="str">
        <f t="shared" si="218"/>
        <v/>
      </c>
      <c r="V812" s="186" t="str">
        <f t="shared" si="207"/>
        <v/>
      </c>
      <c r="W812" s="186" t="str">
        <f t="shared" si="208"/>
        <v/>
      </c>
      <c r="X812" s="187" t="str">
        <f t="shared" si="209"/>
        <v/>
      </c>
      <c r="Y812" s="182" t="str">
        <f t="shared" si="219"/>
        <v/>
      </c>
      <c r="Z812" s="209" t="str">
        <f t="shared" si="210"/>
        <v/>
      </c>
      <c r="AA812" s="209" t="str">
        <f t="shared" si="211"/>
        <v/>
      </c>
      <c r="AB812" s="200"/>
      <c r="AC812" s="192"/>
    </row>
    <row r="813" spans="1:29" ht="11.4">
      <c r="A813" s="211" t="str">
        <f t="shared" si="212"/>
        <v/>
      </c>
      <c r="B813" s="211"/>
      <c r="C813" s="215"/>
      <c r="D813" s="213" t="str">
        <f t="shared" si="213"/>
        <v/>
      </c>
      <c r="E813" s="213" t="str">
        <f t="shared" si="221"/>
        <v/>
      </c>
      <c r="F813" s="214" t="str">
        <f t="shared" si="214"/>
        <v/>
      </c>
      <c r="G813" s="180"/>
      <c r="H813" s="181" t="str">
        <f t="shared" si="215"/>
        <v/>
      </c>
      <c r="I813" s="227"/>
      <c r="J813" s="227"/>
      <c r="K813" s="227"/>
      <c r="L813" s="227"/>
      <c r="M813" s="210" t="str">
        <f t="shared" si="220"/>
        <v/>
      </c>
      <c r="N813" s="210"/>
      <c r="O813" s="207"/>
      <c r="P813" s="182" t="str">
        <f t="shared" si="205"/>
        <v/>
      </c>
      <c r="Q813" s="183" t="str">
        <f t="shared" si="216"/>
        <v/>
      </c>
      <c r="R813" s="182" t="str">
        <f>IF(M813&lt;&gt;"",IF(#REF!*F813*10=0,"",#REF!*F813*10),"")</f>
        <v/>
      </c>
      <c r="S813" s="184" t="str">
        <f t="shared" si="217"/>
        <v/>
      </c>
      <c r="T813" s="185" t="str">
        <f t="shared" si="206"/>
        <v/>
      </c>
      <c r="U813" s="183" t="str">
        <f t="shared" si="218"/>
        <v/>
      </c>
      <c r="V813" s="186" t="str">
        <f t="shared" si="207"/>
        <v/>
      </c>
      <c r="W813" s="186" t="str">
        <f t="shared" si="208"/>
        <v/>
      </c>
      <c r="X813" s="187" t="str">
        <f t="shared" si="209"/>
        <v/>
      </c>
      <c r="Y813" s="182" t="str">
        <f t="shared" si="219"/>
        <v/>
      </c>
      <c r="Z813" s="209" t="str">
        <f t="shared" si="210"/>
        <v/>
      </c>
      <c r="AA813" s="209" t="str">
        <f t="shared" si="211"/>
        <v/>
      </c>
      <c r="AB813" s="200"/>
      <c r="AC813" s="192"/>
    </row>
    <row r="814" spans="1:29" ht="11.4">
      <c r="A814" s="211" t="str">
        <f t="shared" si="212"/>
        <v/>
      </c>
      <c r="B814" s="211"/>
      <c r="C814" s="215"/>
      <c r="D814" s="213" t="str">
        <f t="shared" si="213"/>
        <v/>
      </c>
      <c r="E814" s="213" t="str">
        <f t="shared" si="221"/>
        <v/>
      </c>
      <c r="F814" s="214" t="str">
        <f t="shared" si="214"/>
        <v/>
      </c>
      <c r="G814" s="180"/>
      <c r="H814" s="181" t="str">
        <f t="shared" si="215"/>
        <v/>
      </c>
      <c r="I814" s="227"/>
      <c r="J814" s="227"/>
      <c r="K814" s="227"/>
      <c r="L814" s="227"/>
      <c r="M814" s="210" t="str">
        <f t="shared" si="220"/>
        <v/>
      </c>
      <c r="N814" s="210"/>
      <c r="O814" s="207"/>
      <c r="P814" s="182" t="str">
        <f t="shared" si="205"/>
        <v/>
      </c>
      <c r="Q814" s="183" t="str">
        <f t="shared" si="216"/>
        <v/>
      </c>
      <c r="R814" s="182" t="str">
        <f>IF(M814&lt;&gt;"",IF(#REF!*F814*10=0,"",#REF!*F814*10),"")</f>
        <v/>
      </c>
      <c r="S814" s="184" t="str">
        <f t="shared" si="217"/>
        <v/>
      </c>
      <c r="T814" s="185" t="str">
        <f t="shared" si="206"/>
        <v/>
      </c>
      <c r="U814" s="183" t="str">
        <f t="shared" si="218"/>
        <v/>
      </c>
      <c r="V814" s="186" t="str">
        <f t="shared" si="207"/>
        <v/>
      </c>
      <c r="W814" s="186" t="str">
        <f t="shared" si="208"/>
        <v/>
      </c>
      <c r="X814" s="187" t="str">
        <f t="shared" si="209"/>
        <v/>
      </c>
      <c r="Y814" s="182" t="str">
        <f t="shared" si="219"/>
        <v/>
      </c>
      <c r="Z814" s="209" t="str">
        <f t="shared" si="210"/>
        <v/>
      </c>
      <c r="AA814" s="209" t="str">
        <f t="shared" si="211"/>
        <v/>
      </c>
      <c r="AB814" s="200"/>
      <c r="AC814" s="192"/>
    </row>
    <row r="815" spans="1:29" ht="11.4">
      <c r="A815" s="211" t="str">
        <f t="shared" si="212"/>
        <v/>
      </c>
      <c r="B815" s="211"/>
      <c r="C815" s="215"/>
      <c r="D815" s="213" t="str">
        <f t="shared" si="213"/>
        <v/>
      </c>
      <c r="E815" s="213" t="str">
        <f t="shared" si="221"/>
        <v/>
      </c>
      <c r="F815" s="214" t="str">
        <f t="shared" si="214"/>
        <v/>
      </c>
      <c r="G815" s="180"/>
      <c r="H815" s="181" t="str">
        <f t="shared" si="215"/>
        <v/>
      </c>
      <c r="I815" s="227"/>
      <c r="J815" s="227"/>
      <c r="K815" s="227"/>
      <c r="L815" s="227"/>
      <c r="M815" s="210" t="str">
        <f t="shared" si="220"/>
        <v/>
      </c>
      <c r="N815" s="210"/>
      <c r="O815" s="207"/>
      <c r="P815" s="182" t="str">
        <f t="shared" si="205"/>
        <v/>
      </c>
      <c r="Q815" s="183" t="str">
        <f t="shared" si="216"/>
        <v/>
      </c>
      <c r="R815" s="182" t="str">
        <f>IF(M815&lt;&gt;"",IF(#REF!*F815*10=0,"",#REF!*F815*10),"")</f>
        <v/>
      </c>
      <c r="S815" s="184" t="str">
        <f t="shared" si="217"/>
        <v/>
      </c>
      <c r="T815" s="185" t="str">
        <f t="shared" si="206"/>
        <v/>
      </c>
      <c r="U815" s="183" t="str">
        <f t="shared" si="218"/>
        <v/>
      </c>
      <c r="V815" s="186" t="str">
        <f t="shared" si="207"/>
        <v/>
      </c>
      <c r="W815" s="186" t="str">
        <f t="shared" si="208"/>
        <v/>
      </c>
      <c r="X815" s="187" t="str">
        <f t="shared" si="209"/>
        <v/>
      </c>
      <c r="Y815" s="182" t="str">
        <f t="shared" si="219"/>
        <v/>
      </c>
      <c r="Z815" s="209" t="str">
        <f t="shared" si="210"/>
        <v/>
      </c>
      <c r="AA815" s="209" t="str">
        <f t="shared" si="211"/>
        <v/>
      </c>
      <c r="AB815" s="200"/>
      <c r="AC815" s="192"/>
    </row>
    <row r="816" spans="1:29" ht="11.4">
      <c r="A816" s="211" t="str">
        <f t="shared" si="212"/>
        <v/>
      </c>
      <c r="B816" s="211"/>
      <c r="C816" s="215"/>
      <c r="D816" s="213" t="str">
        <f t="shared" si="213"/>
        <v/>
      </c>
      <c r="E816" s="213" t="str">
        <f t="shared" si="221"/>
        <v/>
      </c>
      <c r="F816" s="214" t="str">
        <f t="shared" si="214"/>
        <v/>
      </c>
      <c r="G816" s="180"/>
      <c r="H816" s="181" t="str">
        <f t="shared" si="215"/>
        <v/>
      </c>
      <c r="I816" s="227"/>
      <c r="J816" s="227"/>
      <c r="K816" s="227"/>
      <c r="L816" s="227"/>
      <c r="M816" s="210" t="str">
        <f t="shared" si="220"/>
        <v/>
      </c>
      <c r="N816" s="210"/>
      <c r="O816" s="207"/>
      <c r="P816" s="182" t="str">
        <f t="shared" si="205"/>
        <v/>
      </c>
      <c r="Q816" s="183" t="str">
        <f t="shared" si="216"/>
        <v/>
      </c>
      <c r="R816" s="182" t="str">
        <f>IF(M816&lt;&gt;"",IF(#REF!*F816*10=0,"",#REF!*F816*10),"")</f>
        <v/>
      </c>
      <c r="S816" s="184" t="str">
        <f t="shared" si="217"/>
        <v/>
      </c>
      <c r="T816" s="185" t="str">
        <f t="shared" si="206"/>
        <v/>
      </c>
      <c r="U816" s="183" t="str">
        <f t="shared" si="218"/>
        <v/>
      </c>
      <c r="V816" s="186" t="str">
        <f t="shared" si="207"/>
        <v/>
      </c>
      <c r="W816" s="186" t="str">
        <f t="shared" si="208"/>
        <v/>
      </c>
      <c r="X816" s="187" t="str">
        <f t="shared" si="209"/>
        <v/>
      </c>
      <c r="Y816" s="182" t="str">
        <f t="shared" si="219"/>
        <v/>
      </c>
      <c r="Z816" s="209" t="str">
        <f t="shared" si="210"/>
        <v/>
      </c>
      <c r="AA816" s="209" t="str">
        <f t="shared" si="211"/>
        <v/>
      </c>
      <c r="AB816" s="200"/>
      <c r="AC816" s="192"/>
    </row>
    <row r="817" spans="1:29" ht="11.4">
      <c r="A817" s="211" t="str">
        <f t="shared" si="212"/>
        <v/>
      </c>
      <c r="B817" s="211"/>
      <c r="C817" s="215"/>
      <c r="D817" s="213" t="str">
        <f t="shared" si="213"/>
        <v/>
      </c>
      <c r="E817" s="213" t="str">
        <f t="shared" si="221"/>
        <v/>
      </c>
      <c r="F817" s="214" t="str">
        <f t="shared" si="214"/>
        <v/>
      </c>
      <c r="G817" s="180"/>
      <c r="H817" s="181" t="str">
        <f t="shared" si="215"/>
        <v/>
      </c>
      <c r="I817" s="227"/>
      <c r="J817" s="227"/>
      <c r="K817" s="227"/>
      <c r="L817" s="227"/>
      <c r="M817" s="210" t="str">
        <f t="shared" si="220"/>
        <v/>
      </c>
      <c r="N817" s="210"/>
      <c r="O817" s="207"/>
      <c r="P817" s="182" t="str">
        <f t="shared" si="205"/>
        <v/>
      </c>
      <c r="Q817" s="183" t="str">
        <f t="shared" si="216"/>
        <v/>
      </c>
      <c r="R817" s="182" t="str">
        <f>IF(M817&lt;&gt;"",IF(#REF!*F817*10=0,"",#REF!*F817*10),"")</f>
        <v/>
      </c>
      <c r="S817" s="184" t="str">
        <f t="shared" si="217"/>
        <v/>
      </c>
      <c r="T817" s="185" t="str">
        <f t="shared" si="206"/>
        <v/>
      </c>
      <c r="U817" s="183" t="str">
        <f t="shared" si="218"/>
        <v/>
      </c>
      <c r="V817" s="186" t="str">
        <f t="shared" si="207"/>
        <v/>
      </c>
      <c r="W817" s="186" t="str">
        <f t="shared" si="208"/>
        <v/>
      </c>
      <c r="X817" s="187" t="str">
        <f t="shared" si="209"/>
        <v/>
      </c>
      <c r="Y817" s="182" t="str">
        <f t="shared" si="219"/>
        <v/>
      </c>
      <c r="Z817" s="209" t="str">
        <f t="shared" si="210"/>
        <v/>
      </c>
      <c r="AA817" s="209" t="str">
        <f t="shared" si="211"/>
        <v/>
      </c>
      <c r="AB817" s="200"/>
      <c r="AC817" s="192"/>
    </row>
    <row r="818" spans="1:29" ht="11.4">
      <c r="A818" s="211" t="str">
        <f t="shared" si="212"/>
        <v/>
      </c>
      <c r="B818" s="211"/>
      <c r="C818" s="215"/>
      <c r="D818" s="213" t="str">
        <f t="shared" si="213"/>
        <v/>
      </c>
      <c r="E818" s="213" t="str">
        <f t="shared" si="221"/>
        <v/>
      </c>
      <c r="F818" s="214" t="str">
        <f t="shared" si="214"/>
        <v/>
      </c>
      <c r="G818" s="180"/>
      <c r="H818" s="181" t="str">
        <f t="shared" si="215"/>
        <v/>
      </c>
      <c r="I818" s="227"/>
      <c r="J818" s="227"/>
      <c r="K818" s="227"/>
      <c r="L818" s="227"/>
      <c r="M818" s="210" t="str">
        <f t="shared" si="220"/>
        <v/>
      </c>
      <c r="N818" s="210"/>
      <c r="O818" s="207"/>
      <c r="P818" s="182" t="str">
        <f t="shared" si="205"/>
        <v/>
      </c>
      <c r="Q818" s="183" t="str">
        <f t="shared" si="216"/>
        <v/>
      </c>
      <c r="R818" s="182" t="str">
        <f>IF(M818&lt;&gt;"",IF(#REF!*F818*10=0,"",#REF!*F818*10),"")</f>
        <v/>
      </c>
      <c r="S818" s="184" t="str">
        <f t="shared" si="217"/>
        <v/>
      </c>
      <c r="T818" s="185" t="str">
        <f t="shared" si="206"/>
        <v/>
      </c>
      <c r="U818" s="183" t="str">
        <f t="shared" si="218"/>
        <v/>
      </c>
      <c r="V818" s="186" t="str">
        <f t="shared" si="207"/>
        <v/>
      </c>
      <c r="W818" s="186" t="str">
        <f t="shared" si="208"/>
        <v/>
      </c>
      <c r="X818" s="187" t="str">
        <f t="shared" si="209"/>
        <v/>
      </c>
      <c r="Y818" s="182" t="str">
        <f t="shared" si="219"/>
        <v/>
      </c>
      <c r="Z818" s="209" t="str">
        <f t="shared" si="210"/>
        <v/>
      </c>
      <c r="AA818" s="209" t="str">
        <f t="shared" si="211"/>
        <v/>
      </c>
      <c r="AB818" s="200"/>
      <c r="AC818" s="192"/>
    </row>
    <row r="819" spans="1:29" ht="11.4">
      <c r="A819" s="211" t="str">
        <f t="shared" si="212"/>
        <v/>
      </c>
      <c r="B819" s="211"/>
      <c r="C819" s="215"/>
      <c r="D819" s="213" t="str">
        <f t="shared" si="213"/>
        <v/>
      </c>
      <c r="E819" s="213" t="str">
        <f t="shared" si="221"/>
        <v/>
      </c>
      <c r="F819" s="214" t="str">
        <f t="shared" si="214"/>
        <v/>
      </c>
      <c r="G819" s="180"/>
      <c r="H819" s="181" t="str">
        <f t="shared" si="215"/>
        <v/>
      </c>
      <c r="I819" s="227"/>
      <c r="J819" s="227"/>
      <c r="K819" s="227"/>
      <c r="L819" s="227"/>
      <c r="M819" s="210" t="str">
        <f t="shared" si="220"/>
        <v/>
      </c>
      <c r="N819" s="210"/>
      <c r="O819" s="207"/>
      <c r="P819" s="182" t="str">
        <f t="shared" si="205"/>
        <v/>
      </c>
      <c r="Q819" s="183" t="str">
        <f t="shared" si="216"/>
        <v/>
      </c>
      <c r="R819" s="182" t="str">
        <f>IF(M819&lt;&gt;"",IF(#REF!*F819*10=0,"",#REF!*F819*10),"")</f>
        <v/>
      </c>
      <c r="S819" s="184" t="str">
        <f t="shared" si="217"/>
        <v/>
      </c>
      <c r="T819" s="185" t="str">
        <f t="shared" si="206"/>
        <v/>
      </c>
      <c r="U819" s="183" t="str">
        <f t="shared" si="218"/>
        <v/>
      </c>
      <c r="V819" s="186" t="str">
        <f t="shared" si="207"/>
        <v/>
      </c>
      <c r="W819" s="186" t="str">
        <f t="shared" si="208"/>
        <v/>
      </c>
      <c r="X819" s="187" t="str">
        <f t="shared" si="209"/>
        <v/>
      </c>
      <c r="Y819" s="182" t="str">
        <f t="shared" si="219"/>
        <v/>
      </c>
      <c r="Z819" s="209" t="str">
        <f t="shared" si="210"/>
        <v/>
      </c>
      <c r="AA819" s="209" t="str">
        <f t="shared" si="211"/>
        <v/>
      </c>
      <c r="AB819" s="200"/>
      <c r="AC819" s="192"/>
    </row>
    <row r="820" spans="1:29" ht="11.4">
      <c r="A820" s="211" t="str">
        <f t="shared" si="212"/>
        <v/>
      </c>
      <c r="B820" s="211"/>
      <c r="C820" s="215"/>
      <c r="D820" s="213" t="str">
        <f t="shared" si="213"/>
        <v/>
      </c>
      <c r="E820" s="213" t="str">
        <f t="shared" si="221"/>
        <v/>
      </c>
      <c r="F820" s="214" t="str">
        <f t="shared" si="214"/>
        <v/>
      </c>
      <c r="G820" s="180"/>
      <c r="H820" s="181" t="str">
        <f t="shared" si="215"/>
        <v/>
      </c>
      <c r="I820" s="227"/>
      <c r="J820" s="227"/>
      <c r="K820" s="227"/>
      <c r="L820" s="227"/>
      <c r="M820" s="210" t="str">
        <f t="shared" si="220"/>
        <v/>
      </c>
      <c r="N820" s="210"/>
      <c r="O820" s="207"/>
      <c r="P820" s="182" t="str">
        <f t="shared" si="205"/>
        <v/>
      </c>
      <c r="Q820" s="183" t="str">
        <f t="shared" si="216"/>
        <v/>
      </c>
      <c r="R820" s="182" t="str">
        <f>IF(M820&lt;&gt;"",IF(#REF!*F820*10=0,"",#REF!*F820*10),"")</f>
        <v/>
      </c>
      <c r="S820" s="184" t="str">
        <f t="shared" si="217"/>
        <v/>
      </c>
      <c r="T820" s="185" t="str">
        <f t="shared" si="206"/>
        <v/>
      </c>
      <c r="U820" s="183" t="str">
        <f t="shared" si="218"/>
        <v/>
      </c>
      <c r="V820" s="186" t="str">
        <f t="shared" si="207"/>
        <v/>
      </c>
      <c r="W820" s="186" t="str">
        <f t="shared" si="208"/>
        <v/>
      </c>
      <c r="X820" s="187" t="str">
        <f t="shared" si="209"/>
        <v/>
      </c>
      <c r="Y820" s="182" t="str">
        <f t="shared" si="219"/>
        <v/>
      </c>
      <c r="Z820" s="209" t="str">
        <f t="shared" si="210"/>
        <v/>
      </c>
      <c r="AA820" s="209" t="str">
        <f t="shared" si="211"/>
        <v/>
      </c>
      <c r="AB820" s="200"/>
      <c r="AC820" s="192"/>
    </row>
    <row r="821" spans="1:29" ht="11.4">
      <c r="A821" s="211" t="str">
        <f t="shared" si="212"/>
        <v/>
      </c>
      <c r="B821" s="211"/>
      <c r="C821" s="215"/>
      <c r="D821" s="213" t="str">
        <f t="shared" si="213"/>
        <v/>
      </c>
      <c r="E821" s="213" t="str">
        <f t="shared" si="221"/>
        <v/>
      </c>
      <c r="F821" s="214" t="str">
        <f t="shared" si="214"/>
        <v/>
      </c>
      <c r="G821" s="180"/>
      <c r="H821" s="181" t="str">
        <f t="shared" si="215"/>
        <v/>
      </c>
      <c r="I821" s="227"/>
      <c r="J821" s="227"/>
      <c r="K821" s="227"/>
      <c r="L821" s="227"/>
      <c r="M821" s="210" t="str">
        <f t="shared" si="220"/>
        <v/>
      </c>
      <c r="N821" s="210"/>
      <c r="O821" s="207"/>
      <c r="P821" s="182" t="str">
        <f t="shared" si="205"/>
        <v/>
      </c>
      <c r="Q821" s="183" t="str">
        <f t="shared" si="216"/>
        <v/>
      </c>
      <c r="R821" s="182" t="str">
        <f>IF(M821&lt;&gt;"",IF(#REF!*F821*10=0,"",#REF!*F821*10),"")</f>
        <v/>
      </c>
      <c r="S821" s="184" t="str">
        <f t="shared" si="217"/>
        <v/>
      </c>
      <c r="T821" s="185" t="str">
        <f t="shared" si="206"/>
        <v/>
      </c>
      <c r="U821" s="183" t="str">
        <f t="shared" si="218"/>
        <v/>
      </c>
      <c r="V821" s="186" t="str">
        <f t="shared" si="207"/>
        <v/>
      </c>
      <c r="W821" s="186" t="str">
        <f t="shared" si="208"/>
        <v/>
      </c>
      <c r="X821" s="187" t="str">
        <f t="shared" si="209"/>
        <v/>
      </c>
      <c r="Y821" s="182" t="str">
        <f t="shared" si="219"/>
        <v/>
      </c>
      <c r="Z821" s="209" t="str">
        <f t="shared" si="210"/>
        <v/>
      </c>
      <c r="AA821" s="209" t="str">
        <f t="shared" si="211"/>
        <v/>
      </c>
      <c r="AB821" s="200"/>
      <c r="AC821" s="192"/>
    </row>
    <row r="822" spans="1:29" ht="11.4">
      <c r="A822" s="211" t="str">
        <f t="shared" si="212"/>
        <v/>
      </c>
      <c r="B822" s="211"/>
      <c r="C822" s="215"/>
      <c r="D822" s="213" t="str">
        <f t="shared" si="213"/>
        <v/>
      </c>
      <c r="E822" s="213" t="str">
        <f t="shared" si="221"/>
        <v/>
      </c>
      <c r="F822" s="214" t="str">
        <f t="shared" si="214"/>
        <v/>
      </c>
      <c r="G822" s="180"/>
      <c r="H822" s="181" t="str">
        <f t="shared" si="215"/>
        <v/>
      </c>
      <c r="I822" s="227"/>
      <c r="J822" s="227"/>
      <c r="K822" s="227"/>
      <c r="L822" s="227"/>
      <c r="M822" s="210" t="str">
        <f t="shared" si="220"/>
        <v/>
      </c>
      <c r="N822" s="210"/>
      <c r="O822" s="207"/>
      <c r="P822" s="182" t="str">
        <f t="shared" si="205"/>
        <v/>
      </c>
      <c r="Q822" s="183" t="str">
        <f t="shared" si="216"/>
        <v/>
      </c>
      <c r="R822" s="182" t="str">
        <f>IF(M822&lt;&gt;"",IF(#REF!*F822*10=0,"",#REF!*F822*10),"")</f>
        <v/>
      </c>
      <c r="S822" s="184" t="str">
        <f t="shared" si="217"/>
        <v/>
      </c>
      <c r="T822" s="185" t="str">
        <f t="shared" si="206"/>
        <v/>
      </c>
      <c r="U822" s="183" t="str">
        <f t="shared" si="218"/>
        <v/>
      </c>
      <c r="V822" s="186" t="str">
        <f t="shared" si="207"/>
        <v/>
      </c>
      <c r="W822" s="186" t="str">
        <f t="shared" si="208"/>
        <v/>
      </c>
      <c r="X822" s="187" t="str">
        <f t="shared" si="209"/>
        <v/>
      </c>
      <c r="Y822" s="182" t="str">
        <f t="shared" si="219"/>
        <v/>
      </c>
      <c r="Z822" s="209" t="str">
        <f t="shared" si="210"/>
        <v/>
      </c>
      <c r="AA822" s="209" t="str">
        <f t="shared" si="211"/>
        <v/>
      </c>
      <c r="AB822" s="200"/>
      <c r="AC822" s="192"/>
    </row>
    <row r="823" spans="1:29" ht="11.4">
      <c r="A823" s="211" t="str">
        <f t="shared" si="212"/>
        <v/>
      </c>
      <c r="B823" s="211"/>
      <c r="C823" s="215"/>
      <c r="D823" s="213" t="str">
        <f t="shared" si="213"/>
        <v/>
      </c>
      <c r="E823" s="213" t="str">
        <f t="shared" si="221"/>
        <v/>
      </c>
      <c r="F823" s="214" t="str">
        <f t="shared" si="214"/>
        <v/>
      </c>
      <c r="G823" s="180"/>
      <c r="H823" s="181" t="str">
        <f t="shared" si="215"/>
        <v/>
      </c>
      <c r="I823" s="227"/>
      <c r="J823" s="227"/>
      <c r="K823" s="227"/>
      <c r="L823" s="227"/>
      <c r="M823" s="210" t="str">
        <f t="shared" si="220"/>
        <v/>
      </c>
      <c r="N823" s="210"/>
      <c r="O823" s="207"/>
      <c r="P823" s="182" t="str">
        <f t="shared" si="205"/>
        <v/>
      </c>
      <c r="Q823" s="183" t="str">
        <f t="shared" si="216"/>
        <v/>
      </c>
      <c r="R823" s="182" t="str">
        <f>IF(M823&lt;&gt;"",IF(#REF!*F823*10=0,"",#REF!*F823*10),"")</f>
        <v/>
      </c>
      <c r="S823" s="184" t="str">
        <f t="shared" si="217"/>
        <v/>
      </c>
      <c r="T823" s="185" t="str">
        <f t="shared" si="206"/>
        <v/>
      </c>
      <c r="U823" s="183" t="str">
        <f t="shared" si="218"/>
        <v/>
      </c>
      <c r="V823" s="186" t="str">
        <f t="shared" si="207"/>
        <v/>
      </c>
      <c r="W823" s="186" t="str">
        <f t="shared" si="208"/>
        <v/>
      </c>
      <c r="X823" s="187" t="str">
        <f t="shared" si="209"/>
        <v/>
      </c>
      <c r="Y823" s="182" t="str">
        <f t="shared" si="219"/>
        <v/>
      </c>
      <c r="Z823" s="209" t="str">
        <f t="shared" si="210"/>
        <v/>
      </c>
      <c r="AA823" s="209" t="str">
        <f t="shared" si="211"/>
        <v/>
      </c>
      <c r="AB823" s="200"/>
      <c r="AC823" s="192"/>
    </row>
    <row r="824" spans="1:29" ht="11.4">
      <c r="A824" s="211" t="str">
        <f t="shared" si="212"/>
        <v/>
      </c>
      <c r="B824" s="211"/>
      <c r="C824" s="215"/>
      <c r="D824" s="213" t="str">
        <f t="shared" si="213"/>
        <v/>
      </c>
      <c r="E824" s="213" t="str">
        <f t="shared" si="221"/>
        <v/>
      </c>
      <c r="F824" s="214" t="str">
        <f t="shared" si="214"/>
        <v/>
      </c>
      <c r="G824" s="180"/>
      <c r="H824" s="181" t="str">
        <f t="shared" si="215"/>
        <v/>
      </c>
      <c r="I824" s="227"/>
      <c r="J824" s="227"/>
      <c r="K824" s="227"/>
      <c r="L824" s="227"/>
      <c r="M824" s="210" t="str">
        <f t="shared" si="220"/>
        <v/>
      </c>
      <c r="N824" s="210"/>
      <c r="O824" s="207"/>
      <c r="P824" s="182" t="str">
        <f t="shared" si="205"/>
        <v/>
      </c>
      <c r="Q824" s="183" t="str">
        <f t="shared" si="216"/>
        <v/>
      </c>
      <c r="R824" s="182" t="str">
        <f>IF(M824&lt;&gt;"",IF(#REF!*F824*10=0,"",#REF!*F824*10),"")</f>
        <v/>
      </c>
      <c r="S824" s="184" t="str">
        <f t="shared" si="217"/>
        <v/>
      </c>
      <c r="T824" s="185" t="str">
        <f t="shared" si="206"/>
        <v/>
      </c>
      <c r="U824" s="183" t="str">
        <f t="shared" si="218"/>
        <v/>
      </c>
      <c r="V824" s="186" t="str">
        <f t="shared" si="207"/>
        <v/>
      </c>
      <c r="W824" s="186" t="str">
        <f t="shared" si="208"/>
        <v/>
      </c>
      <c r="X824" s="187" t="str">
        <f t="shared" si="209"/>
        <v/>
      </c>
      <c r="Y824" s="182" t="str">
        <f t="shared" si="219"/>
        <v/>
      </c>
      <c r="Z824" s="209" t="str">
        <f t="shared" si="210"/>
        <v/>
      </c>
      <c r="AA824" s="209" t="str">
        <f t="shared" si="211"/>
        <v/>
      </c>
      <c r="AB824" s="200"/>
      <c r="AC824" s="192"/>
    </row>
    <row r="825" spans="1:29" ht="11.4">
      <c r="A825" s="211" t="str">
        <f t="shared" si="212"/>
        <v/>
      </c>
      <c r="B825" s="211"/>
      <c r="C825" s="215"/>
      <c r="D825" s="213" t="str">
        <f t="shared" si="213"/>
        <v/>
      </c>
      <c r="E825" s="213" t="str">
        <f t="shared" si="221"/>
        <v/>
      </c>
      <c r="F825" s="214" t="str">
        <f t="shared" si="214"/>
        <v/>
      </c>
      <c r="G825" s="180"/>
      <c r="H825" s="181" t="str">
        <f t="shared" si="215"/>
        <v/>
      </c>
      <c r="I825" s="227"/>
      <c r="J825" s="227"/>
      <c r="K825" s="227"/>
      <c r="L825" s="227"/>
      <c r="M825" s="210" t="str">
        <f t="shared" si="220"/>
        <v/>
      </c>
      <c r="N825" s="210"/>
      <c r="O825" s="207"/>
      <c r="P825" s="182" t="str">
        <f t="shared" si="205"/>
        <v/>
      </c>
      <c r="Q825" s="183" t="str">
        <f t="shared" si="216"/>
        <v/>
      </c>
      <c r="R825" s="182" t="str">
        <f>IF(M825&lt;&gt;"",IF(#REF!*F825*10=0,"",#REF!*F825*10),"")</f>
        <v/>
      </c>
      <c r="S825" s="184" t="str">
        <f t="shared" si="217"/>
        <v/>
      </c>
      <c r="T825" s="185" t="str">
        <f t="shared" si="206"/>
        <v/>
      </c>
      <c r="U825" s="183" t="str">
        <f t="shared" si="218"/>
        <v/>
      </c>
      <c r="V825" s="186" t="str">
        <f t="shared" si="207"/>
        <v/>
      </c>
      <c r="W825" s="186" t="str">
        <f t="shared" si="208"/>
        <v/>
      </c>
      <c r="X825" s="187" t="str">
        <f t="shared" si="209"/>
        <v/>
      </c>
      <c r="Y825" s="182" t="str">
        <f t="shared" si="219"/>
        <v/>
      </c>
      <c r="Z825" s="209" t="str">
        <f t="shared" si="210"/>
        <v/>
      </c>
      <c r="AA825" s="209" t="str">
        <f t="shared" si="211"/>
        <v/>
      </c>
      <c r="AB825" s="200"/>
      <c r="AC825" s="192"/>
    </row>
    <row r="826" spans="1:29" ht="11.4">
      <c r="A826" s="211" t="str">
        <f t="shared" si="212"/>
        <v/>
      </c>
      <c r="B826" s="211"/>
      <c r="C826" s="215"/>
      <c r="D826" s="213" t="str">
        <f t="shared" si="213"/>
        <v/>
      </c>
      <c r="E826" s="213" t="str">
        <f t="shared" si="221"/>
        <v/>
      </c>
      <c r="F826" s="214" t="str">
        <f t="shared" si="214"/>
        <v/>
      </c>
      <c r="G826" s="180"/>
      <c r="H826" s="181" t="str">
        <f t="shared" si="215"/>
        <v/>
      </c>
      <c r="I826" s="227"/>
      <c r="J826" s="227"/>
      <c r="K826" s="227"/>
      <c r="L826" s="227"/>
      <c r="M826" s="210" t="str">
        <f t="shared" si="220"/>
        <v/>
      </c>
      <c r="N826" s="210"/>
      <c r="O826" s="207"/>
      <c r="P826" s="182" t="str">
        <f t="shared" si="205"/>
        <v/>
      </c>
      <c r="Q826" s="183" t="str">
        <f t="shared" si="216"/>
        <v/>
      </c>
      <c r="R826" s="182" t="str">
        <f>IF(M826&lt;&gt;"",IF(#REF!*F826*10=0,"",#REF!*F826*10),"")</f>
        <v/>
      </c>
      <c r="S826" s="184" t="str">
        <f t="shared" si="217"/>
        <v/>
      </c>
      <c r="T826" s="185" t="str">
        <f t="shared" si="206"/>
        <v/>
      </c>
      <c r="U826" s="183" t="str">
        <f t="shared" si="218"/>
        <v/>
      </c>
      <c r="V826" s="186" t="str">
        <f t="shared" si="207"/>
        <v/>
      </c>
      <c r="W826" s="186" t="str">
        <f t="shared" si="208"/>
        <v/>
      </c>
      <c r="X826" s="187" t="str">
        <f t="shared" si="209"/>
        <v/>
      </c>
      <c r="Y826" s="182" t="str">
        <f t="shared" si="219"/>
        <v/>
      </c>
      <c r="Z826" s="209" t="str">
        <f t="shared" si="210"/>
        <v/>
      </c>
      <c r="AA826" s="209" t="str">
        <f t="shared" si="211"/>
        <v/>
      </c>
      <c r="AB826" s="200"/>
      <c r="AC826" s="192"/>
    </row>
    <row r="827" spans="1:29" ht="11.4">
      <c r="A827" s="211" t="str">
        <f t="shared" si="212"/>
        <v/>
      </c>
      <c r="B827" s="211"/>
      <c r="C827" s="215"/>
      <c r="D827" s="213" t="str">
        <f t="shared" si="213"/>
        <v/>
      </c>
      <c r="E827" s="213" t="str">
        <f t="shared" si="221"/>
        <v/>
      </c>
      <c r="F827" s="214" t="str">
        <f t="shared" si="214"/>
        <v/>
      </c>
      <c r="G827" s="180"/>
      <c r="H827" s="181" t="str">
        <f t="shared" si="215"/>
        <v/>
      </c>
      <c r="I827" s="227"/>
      <c r="J827" s="227"/>
      <c r="K827" s="227"/>
      <c r="L827" s="227"/>
      <c r="M827" s="210" t="str">
        <f t="shared" si="220"/>
        <v/>
      </c>
      <c r="N827" s="210"/>
      <c r="O827" s="207"/>
      <c r="P827" s="182" t="str">
        <f t="shared" si="205"/>
        <v/>
      </c>
      <c r="Q827" s="183" t="str">
        <f t="shared" si="216"/>
        <v/>
      </c>
      <c r="R827" s="182" t="str">
        <f>IF(M827&lt;&gt;"",IF(#REF!*F827*10=0,"",#REF!*F827*10),"")</f>
        <v/>
      </c>
      <c r="S827" s="184" t="str">
        <f t="shared" si="217"/>
        <v/>
      </c>
      <c r="T827" s="185" t="str">
        <f t="shared" si="206"/>
        <v/>
      </c>
      <c r="U827" s="183" t="str">
        <f t="shared" si="218"/>
        <v/>
      </c>
      <c r="V827" s="186" t="str">
        <f t="shared" si="207"/>
        <v/>
      </c>
      <c r="W827" s="186" t="str">
        <f t="shared" si="208"/>
        <v/>
      </c>
      <c r="X827" s="187" t="str">
        <f t="shared" si="209"/>
        <v/>
      </c>
      <c r="Y827" s="182" t="str">
        <f t="shared" si="219"/>
        <v/>
      </c>
      <c r="Z827" s="209" t="str">
        <f t="shared" si="210"/>
        <v/>
      </c>
      <c r="AA827" s="209" t="str">
        <f t="shared" si="211"/>
        <v/>
      </c>
      <c r="AB827" s="200"/>
      <c r="AC827" s="192"/>
    </row>
    <row r="828" spans="1:29" ht="11.4">
      <c r="A828" s="211" t="str">
        <f t="shared" si="212"/>
        <v/>
      </c>
      <c r="B828" s="211"/>
      <c r="C828" s="215"/>
      <c r="D828" s="213" t="str">
        <f t="shared" si="213"/>
        <v/>
      </c>
      <c r="E828" s="213" t="str">
        <f t="shared" si="221"/>
        <v/>
      </c>
      <c r="F828" s="214" t="str">
        <f t="shared" si="214"/>
        <v/>
      </c>
      <c r="G828" s="180"/>
      <c r="H828" s="181" t="str">
        <f t="shared" si="215"/>
        <v/>
      </c>
      <c r="I828" s="227"/>
      <c r="J828" s="227"/>
      <c r="K828" s="227"/>
      <c r="L828" s="227"/>
      <c r="M828" s="210" t="str">
        <f t="shared" si="220"/>
        <v/>
      </c>
      <c r="N828" s="210"/>
      <c r="O828" s="207"/>
      <c r="P828" s="182" t="str">
        <f t="shared" si="205"/>
        <v/>
      </c>
      <c r="Q828" s="183" t="str">
        <f t="shared" si="216"/>
        <v/>
      </c>
      <c r="R828" s="182" t="str">
        <f>IF(M828&lt;&gt;"",IF(#REF!*F828*10=0,"",#REF!*F828*10),"")</f>
        <v/>
      </c>
      <c r="S828" s="184" t="str">
        <f t="shared" si="217"/>
        <v/>
      </c>
      <c r="T828" s="185" t="str">
        <f t="shared" si="206"/>
        <v/>
      </c>
      <c r="U828" s="183" t="str">
        <f t="shared" si="218"/>
        <v/>
      </c>
      <c r="V828" s="186" t="str">
        <f t="shared" si="207"/>
        <v/>
      </c>
      <c r="W828" s="186" t="str">
        <f t="shared" si="208"/>
        <v/>
      </c>
      <c r="X828" s="187" t="str">
        <f t="shared" si="209"/>
        <v/>
      </c>
      <c r="Y828" s="182" t="str">
        <f t="shared" si="219"/>
        <v/>
      </c>
      <c r="Z828" s="209" t="str">
        <f t="shared" si="210"/>
        <v/>
      </c>
      <c r="AA828" s="209" t="str">
        <f t="shared" si="211"/>
        <v/>
      </c>
      <c r="AB828" s="200"/>
      <c r="AC828" s="192"/>
    </row>
    <row r="829" spans="1:29" ht="11.4">
      <c r="A829" s="211" t="str">
        <f t="shared" si="212"/>
        <v/>
      </c>
      <c r="B829" s="211"/>
      <c r="C829" s="215"/>
      <c r="D829" s="213" t="str">
        <f t="shared" si="213"/>
        <v/>
      </c>
      <c r="E829" s="213" t="str">
        <f t="shared" si="221"/>
        <v/>
      </c>
      <c r="F829" s="214" t="str">
        <f t="shared" si="214"/>
        <v/>
      </c>
      <c r="G829" s="180"/>
      <c r="H829" s="181" t="str">
        <f t="shared" si="215"/>
        <v/>
      </c>
      <c r="I829" s="227"/>
      <c r="J829" s="227"/>
      <c r="K829" s="227"/>
      <c r="L829" s="227"/>
      <c r="M829" s="210" t="str">
        <f t="shared" si="220"/>
        <v/>
      </c>
      <c r="N829" s="210"/>
      <c r="O829" s="207"/>
      <c r="P829" s="182" t="str">
        <f t="shared" si="205"/>
        <v/>
      </c>
      <c r="Q829" s="183" t="str">
        <f t="shared" si="216"/>
        <v/>
      </c>
      <c r="R829" s="182" t="str">
        <f>IF(M829&lt;&gt;"",IF(#REF!*F829*10=0,"",#REF!*F829*10),"")</f>
        <v/>
      </c>
      <c r="S829" s="184" t="str">
        <f t="shared" si="217"/>
        <v/>
      </c>
      <c r="T829" s="185" t="str">
        <f t="shared" si="206"/>
        <v/>
      </c>
      <c r="U829" s="183" t="str">
        <f t="shared" si="218"/>
        <v/>
      </c>
      <c r="V829" s="186" t="str">
        <f t="shared" si="207"/>
        <v/>
      </c>
      <c r="W829" s="186" t="str">
        <f t="shared" si="208"/>
        <v/>
      </c>
      <c r="X829" s="187" t="str">
        <f t="shared" si="209"/>
        <v/>
      </c>
      <c r="Y829" s="182" t="str">
        <f t="shared" si="219"/>
        <v/>
      </c>
      <c r="Z829" s="209" t="str">
        <f t="shared" si="210"/>
        <v/>
      </c>
      <c r="AA829" s="209" t="str">
        <f t="shared" si="211"/>
        <v/>
      </c>
      <c r="AB829" s="200"/>
      <c r="AC829" s="192"/>
    </row>
    <row r="830" spans="1:29" ht="11.4">
      <c r="A830" s="211" t="str">
        <f t="shared" si="212"/>
        <v/>
      </c>
      <c r="B830" s="211"/>
      <c r="C830" s="215"/>
      <c r="D830" s="213" t="str">
        <f t="shared" si="213"/>
        <v/>
      </c>
      <c r="E830" s="213" t="str">
        <f t="shared" si="221"/>
        <v/>
      </c>
      <c r="F830" s="214" t="str">
        <f t="shared" si="214"/>
        <v/>
      </c>
      <c r="G830" s="180"/>
      <c r="H830" s="181" t="str">
        <f t="shared" si="215"/>
        <v/>
      </c>
      <c r="I830" s="227"/>
      <c r="J830" s="227"/>
      <c r="K830" s="227"/>
      <c r="L830" s="227"/>
      <c r="M830" s="210" t="str">
        <f t="shared" si="220"/>
        <v/>
      </c>
      <c r="N830" s="210"/>
      <c r="O830" s="207"/>
      <c r="P830" s="182" t="str">
        <f t="shared" si="205"/>
        <v/>
      </c>
      <c r="Q830" s="183" t="str">
        <f t="shared" si="216"/>
        <v/>
      </c>
      <c r="R830" s="182" t="str">
        <f>IF(M830&lt;&gt;"",IF(#REF!*F830*10=0,"",#REF!*F830*10),"")</f>
        <v/>
      </c>
      <c r="S830" s="184" t="str">
        <f t="shared" si="217"/>
        <v/>
      </c>
      <c r="T830" s="185" t="str">
        <f t="shared" si="206"/>
        <v/>
      </c>
      <c r="U830" s="183" t="str">
        <f t="shared" si="218"/>
        <v/>
      </c>
      <c r="V830" s="186" t="str">
        <f t="shared" si="207"/>
        <v/>
      </c>
      <c r="W830" s="186" t="str">
        <f t="shared" si="208"/>
        <v/>
      </c>
      <c r="X830" s="187" t="str">
        <f t="shared" si="209"/>
        <v/>
      </c>
      <c r="Y830" s="182" t="str">
        <f t="shared" si="219"/>
        <v/>
      </c>
      <c r="Z830" s="209" t="str">
        <f t="shared" si="210"/>
        <v/>
      </c>
      <c r="AA830" s="209" t="str">
        <f t="shared" si="211"/>
        <v/>
      </c>
      <c r="AB830" s="200"/>
      <c r="AC830" s="192"/>
    </row>
    <row r="831" spans="1:29" ht="11.4">
      <c r="A831" s="211" t="str">
        <f t="shared" si="212"/>
        <v/>
      </c>
      <c r="B831" s="211"/>
      <c r="C831" s="215"/>
      <c r="D831" s="213" t="str">
        <f t="shared" si="213"/>
        <v/>
      </c>
      <c r="E831" s="213" t="str">
        <f t="shared" si="221"/>
        <v/>
      </c>
      <c r="F831" s="214" t="str">
        <f t="shared" si="214"/>
        <v/>
      </c>
      <c r="G831" s="180"/>
      <c r="H831" s="181" t="str">
        <f t="shared" si="215"/>
        <v/>
      </c>
      <c r="I831" s="227"/>
      <c r="J831" s="227"/>
      <c r="K831" s="227"/>
      <c r="L831" s="227"/>
      <c r="M831" s="210" t="str">
        <f t="shared" si="220"/>
        <v/>
      </c>
      <c r="N831" s="210"/>
      <c r="O831" s="207"/>
      <c r="P831" s="182" t="str">
        <f t="shared" si="205"/>
        <v/>
      </c>
      <c r="Q831" s="183" t="str">
        <f t="shared" si="216"/>
        <v/>
      </c>
      <c r="R831" s="182" t="str">
        <f>IF(M831&lt;&gt;"",IF(#REF!*F831*10=0,"",#REF!*F831*10),"")</f>
        <v/>
      </c>
      <c r="S831" s="184" t="str">
        <f t="shared" si="217"/>
        <v/>
      </c>
      <c r="T831" s="185" t="str">
        <f t="shared" si="206"/>
        <v/>
      </c>
      <c r="U831" s="183" t="str">
        <f t="shared" si="218"/>
        <v/>
      </c>
      <c r="V831" s="186" t="str">
        <f t="shared" si="207"/>
        <v/>
      </c>
      <c r="W831" s="186" t="str">
        <f t="shared" si="208"/>
        <v/>
      </c>
      <c r="X831" s="187" t="str">
        <f t="shared" si="209"/>
        <v/>
      </c>
      <c r="Y831" s="182" t="str">
        <f t="shared" si="219"/>
        <v/>
      </c>
      <c r="Z831" s="209" t="str">
        <f t="shared" si="210"/>
        <v/>
      </c>
      <c r="AA831" s="209" t="str">
        <f t="shared" si="211"/>
        <v/>
      </c>
      <c r="AB831" s="200"/>
      <c r="AC831" s="192"/>
    </row>
    <row r="832" spans="1:29" ht="11.4">
      <c r="A832" s="211" t="str">
        <f t="shared" si="212"/>
        <v/>
      </c>
      <c r="B832" s="211"/>
      <c r="C832" s="215"/>
      <c r="D832" s="213" t="str">
        <f t="shared" si="213"/>
        <v/>
      </c>
      <c r="E832" s="213" t="str">
        <f t="shared" si="221"/>
        <v/>
      </c>
      <c r="F832" s="214" t="str">
        <f t="shared" si="214"/>
        <v/>
      </c>
      <c r="G832" s="180"/>
      <c r="H832" s="181" t="str">
        <f t="shared" si="215"/>
        <v/>
      </c>
      <c r="I832" s="227"/>
      <c r="J832" s="227"/>
      <c r="K832" s="227"/>
      <c r="L832" s="227"/>
      <c r="M832" s="210" t="str">
        <f t="shared" si="220"/>
        <v/>
      </c>
      <c r="N832" s="210"/>
      <c r="O832" s="207"/>
      <c r="P832" s="182" t="str">
        <f t="shared" si="205"/>
        <v/>
      </c>
      <c r="Q832" s="183" t="str">
        <f t="shared" si="216"/>
        <v/>
      </c>
      <c r="R832" s="182" t="str">
        <f>IF(M832&lt;&gt;"",IF(#REF!*F832*10=0,"",#REF!*F832*10),"")</f>
        <v/>
      </c>
      <c r="S832" s="184" t="str">
        <f t="shared" si="217"/>
        <v/>
      </c>
      <c r="T832" s="185" t="str">
        <f t="shared" si="206"/>
        <v/>
      </c>
      <c r="U832" s="183" t="str">
        <f t="shared" si="218"/>
        <v/>
      </c>
      <c r="V832" s="186" t="str">
        <f t="shared" si="207"/>
        <v/>
      </c>
      <c r="W832" s="186" t="str">
        <f t="shared" si="208"/>
        <v/>
      </c>
      <c r="X832" s="187" t="str">
        <f t="shared" si="209"/>
        <v/>
      </c>
      <c r="Y832" s="182" t="str">
        <f t="shared" si="219"/>
        <v/>
      </c>
      <c r="Z832" s="209" t="str">
        <f t="shared" si="210"/>
        <v/>
      </c>
      <c r="AA832" s="209" t="str">
        <f t="shared" si="211"/>
        <v/>
      </c>
      <c r="AB832" s="200"/>
      <c r="AC832" s="192"/>
    </row>
    <row r="833" spans="1:29" ht="11.4">
      <c r="A833" s="211" t="str">
        <f t="shared" si="212"/>
        <v/>
      </c>
      <c r="B833" s="211"/>
      <c r="C833" s="215"/>
      <c r="D833" s="213" t="str">
        <f t="shared" si="213"/>
        <v/>
      </c>
      <c r="E833" s="213" t="str">
        <f t="shared" si="221"/>
        <v/>
      </c>
      <c r="F833" s="214" t="str">
        <f t="shared" si="214"/>
        <v/>
      </c>
      <c r="G833" s="180"/>
      <c r="H833" s="181" t="str">
        <f t="shared" si="215"/>
        <v/>
      </c>
      <c r="I833" s="227"/>
      <c r="J833" s="227"/>
      <c r="K833" s="227"/>
      <c r="L833" s="227"/>
      <c r="M833" s="210" t="str">
        <f t="shared" si="220"/>
        <v/>
      </c>
      <c r="N833" s="210"/>
      <c r="O833" s="207"/>
      <c r="P833" s="182" t="str">
        <f t="shared" si="205"/>
        <v/>
      </c>
      <c r="Q833" s="183" t="str">
        <f t="shared" si="216"/>
        <v/>
      </c>
      <c r="R833" s="182" t="str">
        <f>IF(M833&lt;&gt;"",IF(#REF!*F833*10=0,"",#REF!*F833*10),"")</f>
        <v/>
      </c>
      <c r="S833" s="184" t="str">
        <f t="shared" si="217"/>
        <v/>
      </c>
      <c r="T833" s="185" t="str">
        <f t="shared" si="206"/>
        <v/>
      </c>
      <c r="U833" s="183" t="str">
        <f t="shared" si="218"/>
        <v/>
      </c>
      <c r="V833" s="186" t="str">
        <f t="shared" si="207"/>
        <v/>
      </c>
      <c r="W833" s="186" t="str">
        <f t="shared" si="208"/>
        <v/>
      </c>
      <c r="X833" s="187" t="str">
        <f t="shared" si="209"/>
        <v/>
      </c>
      <c r="Y833" s="182" t="str">
        <f t="shared" si="219"/>
        <v/>
      </c>
      <c r="Z833" s="209" t="str">
        <f t="shared" si="210"/>
        <v/>
      </c>
      <c r="AA833" s="209" t="str">
        <f t="shared" si="211"/>
        <v/>
      </c>
      <c r="AB833" s="200"/>
      <c r="AC833" s="192"/>
    </row>
    <row r="834" spans="1:29" ht="11.4">
      <c r="A834" s="211" t="str">
        <f t="shared" si="212"/>
        <v/>
      </c>
      <c r="B834" s="211"/>
      <c r="C834" s="215"/>
      <c r="D834" s="213" t="str">
        <f t="shared" si="213"/>
        <v/>
      </c>
      <c r="E834" s="213" t="str">
        <f t="shared" si="221"/>
        <v/>
      </c>
      <c r="F834" s="214" t="str">
        <f t="shared" si="214"/>
        <v/>
      </c>
      <c r="G834" s="180"/>
      <c r="H834" s="181" t="str">
        <f t="shared" si="215"/>
        <v/>
      </c>
      <c r="I834" s="227"/>
      <c r="J834" s="227"/>
      <c r="K834" s="227"/>
      <c r="L834" s="227"/>
      <c r="M834" s="210" t="str">
        <f t="shared" si="220"/>
        <v/>
      </c>
      <c r="N834" s="210"/>
      <c r="O834" s="207"/>
      <c r="P834" s="182" t="str">
        <f t="shared" si="205"/>
        <v/>
      </c>
      <c r="Q834" s="183" t="str">
        <f t="shared" si="216"/>
        <v/>
      </c>
      <c r="R834" s="182" t="str">
        <f>IF(M834&lt;&gt;"",IF(#REF!*F834*10=0,"",#REF!*F834*10),"")</f>
        <v/>
      </c>
      <c r="S834" s="184" t="str">
        <f t="shared" si="217"/>
        <v/>
      </c>
      <c r="T834" s="185" t="str">
        <f t="shared" si="206"/>
        <v/>
      </c>
      <c r="U834" s="183" t="str">
        <f t="shared" si="218"/>
        <v/>
      </c>
      <c r="V834" s="186" t="str">
        <f t="shared" si="207"/>
        <v/>
      </c>
      <c r="W834" s="186" t="str">
        <f t="shared" si="208"/>
        <v/>
      </c>
      <c r="X834" s="187" t="str">
        <f t="shared" si="209"/>
        <v/>
      </c>
      <c r="Y834" s="182" t="str">
        <f t="shared" si="219"/>
        <v/>
      </c>
      <c r="Z834" s="209" t="str">
        <f t="shared" si="210"/>
        <v/>
      </c>
      <c r="AA834" s="209" t="str">
        <f t="shared" si="211"/>
        <v/>
      </c>
      <c r="AB834" s="200"/>
      <c r="AC834" s="192"/>
    </row>
    <row r="835" spans="1:29" ht="11.4">
      <c r="A835" s="211" t="str">
        <f t="shared" si="212"/>
        <v/>
      </c>
      <c r="B835" s="211"/>
      <c r="C835" s="215"/>
      <c r="D835" s="213" t="str">
        <f t="shared" si="213"/>
        <v/>
      </c>
      <c r="E835" s="213" t="str">
        <f t="shared" si="221"/>
        <v/>
      </c>
      <c r="F835" s="214" t="str">
        <f t="shared" si="214"/>
        <v/>
      </c>
      <c r="G835" s="180"/>
      <c r="H835" s="181" t="str">
        <f t="shared" si="215"/>
        <v/>
      </c>
      <c r="I835" s="227"/>
      <c r="J835" s="227"/>
      <c r="K835" s="227"/>
      <c r="L835" s="227"/>
      <c r="M835" s="210" t="str">
        <f t="shared" si="220"/>
        <v/>
      </c>
      <c r="N835" s="210"/>
      <c r="O835" s="207"/>
      <c r="P835" s="182" t="str">
        <f t="shared" si="205"/>
        <v/>
      </c>
      <c r="Q835" s="183" t="str">
        <f t="shared" si="216"/>
        <v/>
      </c>
      <c r="R835" s="182" t="str">
        <f>IF(M835&lt;&gt;"",IF(#REF!*F835*10=0,"",#REF!*F835*10),"")</f>
        <v/>
      </c>
      <c r="S835" s="184" t="str">
        <f t="shared" si="217"/>
        <v/>
      </c>
      <c r="T835" s="185" t="str">
        <f t="shared" si="206"/>
        <v/>
      </c>
      <c r="U835" s="183" t="str">
        <f t="shared" si="218"/>
        <v/>
      </c>
      <c r="V835" s="186" t="str">
        <f t="shared" si="207"/>
        <v/>
      </c>
      <c r="W835" s="186" t="str">
        <f t="shared" si="208"/>
        <v/>
      </c>
      <c r="X835" s="187" t="str">
        <f t="shared" si="209"/>
        <v/>
      </c>
      <c r="Y835" s="182" t="str">
        <f t="shared" si="219"/>
        <v/>
      </c>
      <c r="Z835" s="209" t="str">
        <f t="shared" si="210"/>
        <v/>
      </c>
      <c r="AA835" s="209" t="str">
        <f t="shared" si="211"/>
        <v/>
      </c>
      <c r="AB835" s="200"/>
      <c r="AC835" s="192"/>
    </row>
    <row r="836" spans="1:29" ht="11.4">
      <c r="A836" s="211" t="str">
        <f t="shared" si="212"/>
        <v/>
      </c>
      <c r="B836" s="211"/>
      <c r="C836" s="215"/>
      <c r="D836" s="213" t="str">
        <f t="shared" si="213"/>
        <v/>
      </c>
      <c r="E836" s="213" t="str">
        <f t="shared" si="221"/>
        <v/>
      </c>
      <c r="F836" s="214" t="str">
        <f t="shared" si="214"/>
        <v/>
      </c>
      <c r="G836" s="180"/>
      <c r="H836" s="181" t="str">
        <f t="shared" si="215"/>
        <v/>
      </c>
      <c r="I836" s="227"/>
      <c r="J836" s="227"/>
      <c r="K836" s="227"/>
      <c r="L836" s="227"/>
      <c r="M836" s="210" t="str">
        <f t="shared" si="220"/>
        <v/>
      </c>
      <c r="N836" s="210"/>
      <c r="O836" s="207"/>
      <c r="P836" s="182" t="str">
        <f t="shared" si="205"/>
        <v/>
      </c>
      <c r="Q836" s="183" t="str">
        <f t="shared" si="216"/>
        <v/>
      </c>
      <c r="R836" s="182" t="str">
        <f>IF(M836&lt;&gt;"",IF(#REF!*F836*10=0,"",#REF!*F836*10),"")</f>
        <v/>
      </c>
      <c r="S836" s="184" t="str">
        <f t="shared" si="217"/>
        <v/>
      </c>
      <c r="T836" s="185" t="str">
        <f t="shared" si="206"/>
        <v/>
      </c>
      <c r="U836" s="183" t="str">
        <f t="shared" si="218"/>
        <v/>
      </c>
      <c r="V836" s="186" t="str">
        <f t="shared" si="207"/>
        <v/>
      </c>
      <c r="W836" s="186" t="str">
        <f t="shared" si="208"/>
        <v/>
      </c>
      <c r="X836" s="187" t="str">
        <f t="shared" si="209"/>
        <v/>
      </c>
      <c r="Y836" s="182" t="str">
        <f t="shared" si="219"/>
        <v/>
      </c>
      <c r="Z836" s="209" t="str">
        <f t="shared" si="210"/>
        <v/>
      </c>
      <c r="AA836" s="209" t="str">
        <f t="shared" si="211"/>
        <v/>
      </c>
      <c r="AB836" s="200"/>
      <c r="AC836" s="192"/>
    </row>
    <row r="837" spans="1:29" ht="11.4">
      <c r="A837" s="211" t="str">
        <f t="shared" si="212"/>
        <v/>
      </c>
      <c r="B837" s="211"/>
      <c r="C837" s="215"/>
      <c r="D837" s="213" t="str">
        <f t="shared" si="213"/>
        <v/>
      </c>
      <c r="E837" s="213" t="str">
        <f t="shared" si="221"/>
        <v/>
      </c>
      <c r="F837" s="214" t="str">
        <f t="shared" si="214"/>
        <v/>
      </c>
      <c r="G837" s="180"/>
      <c r="H837" s="181" t="str">
        <f t="shared" si="215"/>
        <v/>
      </c>
      <c r="I837" s="227"/>
      <c r="J837" s="227"/>
      <c r="K837" s="227"/>
      <c r="L837" s="227"/>
      <c r="M837" s="210" t="str">
        <f t="shared" si="220"/>
        <v/>
      </c>
      <c r="N837" s="210"/>
      <c r="O837" s="207"/>
      <c r="P837" s="182" t="str">
        <f t="shared" si="205"/>
        <v/>
      </c>
      <c r="Q837" s="183" t="str">
        <f t="shared" si="216"/>
        <v/>
      </c>
      <c r="R837" s="182" t="str">
        <f>IF(M837&lt;&gt;"",IF(#REF!*F837*10=0,"",#REF!*F837*10),"")</f>
        <v/>
      </c>
      <c r="S837" s="184" t="str">
        <f t="shared" si="217"/>
        <v/>
      </c>
      <c r="T837" s="185" t="str">
        <f t="shared" si="206"/>
        <v/>
      </c>
      <c r="U837" s="183" t="str">
        <f t="shared" si="218"/>
        <v/>
      </c>
      <c r="V837" s="186" t="str">
        <f t="shared" si="207"/>
        <v/>
      </c>
      <c r="W837" s="186" t="str">
        <f t="shared" si="208"/>
        <v/>
      </c>
      <c r="X837" s="187" t="str">
        <f t="shared" si="209"/>
        <v/>
      </c>
      <c r="Y837" s="182" t="str">
        <f t="shared" si="219"/>
        <v/>
      </c>
      <c r="Z837" s="209" t="str">
        <f t="shared" si="210"/>
        <v/>
      </c>
      <c r="AA837" s="209" t="str">
        <f t="shared" si="211"/>
        <v/>
      </c>
      <c r="AB837" s="200"/>
      <c r="AC837" s="192"/>
    </row>
    <row r="838" spans="1:29" ht="11.4">
      <c r="A838" s="211" t="str">
        <f t="shared" si="212"/>
        <v/>
      </c>
      <c r="B838" s="211"/>
      <c r="C838" s="215"/>
      <c r="D838" s="213" t="str">
        <f t="shared" si="213"/>
        <v/>
      </c>
      <c r="E838" s="213" t="str">
        <f t="shared" si="221"/>
        <v/>
      </c>
      <c r="F838" s="214" t="str">
        <f t="shared" si="214"/>
        <v/>
      </c>
      <c r="G838" s="180"/>
      <c r="H838" s="181" t="str">
        <f t="shared" si="215"/>
        <v/>
      </c>
      <c r="I838" s="227"/>
      <c r="J838" s="227"/>
      <c r="K838" s="227"/>
      <c r="L838" s="227"/>
      <c r="M838" s="210" t="str">
        <f t="shared" si="220"/>
        <v/>
      </c>
      <c r="N838" s="210"/>
      <c r="O838" s="207"/>
      <c r="P838" s="182" t="str">
        <f t="shared" si="205"/>
        <v/>
      </c>
      <c r="Q838" s="183" t="str">
        <f t="shared" si="216"/>
        <v/>
      </c>
      <c r="R838" s="182" t="str">
        <f>IF(M838&lt;&gt;"",IF(#REF!*F838*10=0,"",#REF!*F838*10),"")</f>
        <v/>
      </c>
      <c r="S838" s="184" t="str">
        <f t="shared" si="217"/>
        <v/>
      </c>
      <c r="T838" s="185" t="str">
        <f t="shared" si="206"/>
        <v/>
      </c>
      <c r="U838" s="183" t="str">
        <f t="shared" si="218"/>
        <v/>
      </c>
      <c r="V838" s="186" t="str">
        <f t="shared" si="207"/>
        <v/>
      </c>
      <c r="W838" s="186" t="str">
        <f t="shared" si="208"/>
        <v/>
      </c>
      <c r="X838" s="187" t="str">
        <f t="shared" si="209"/>
        <v/>
      </c>
      <c r="Y838" s="182" t="str">
        <f t="shared" si="219"/>
        <v/>
      </c>
      <c r="Z838" s="209" t="str">
        <f t="shared" si="210"/>
        <v/>
      </c>
      <c r="AA838" s="209" t="str">
        <f t="shared" si="211"/>
        <v/>
      </c>
      <c r="AB838" s="200"/>
      <c r="AC838" s="192"/>
    </row>
    <row r="839" spans="1:29" ht="11.4">
      <c r="A839" s="211" t="str">
        <f t="shared" si="212"/>
        <v/>
      </c>
      <c r="B839" s="211"/>
      <c r="C839" s="215"/>
      <c r="D839" s="213" t="str">
        <f t="shared" si="213"/>
        <v/>
      </c>
      <c r="E839" s="213" t="str">
        <f t="shared" si="221"/>
        <v/>
      </c>
      <c r="F839" s="214" t="str">
        <f t="shared" si="214"/>
        <v/>
      </c>
      <c r="G839" s="180"/>
      <c r="H839" s="181" t="str">
        <f t="shared" si="215"/>
        <v/>
      </c>
      <c r="I839" s="227"/>
      <c r="J839" s="227"/>
      <c r="K839" s="227"/>
      <c r="L839" s="227"/>
      <c r="M839" s="210" t="str">
        <f t="shared" si="220"/>
        <v/>
      </c>
      <c r="N839" s="210"/>
      <c r="O839" s="207"/>
      <c r="P839" s="182" t="str">
        <f t="shared" si="205"/>
        <v/>
      </c>
      <c r="Q839" s="183" t="str">
        <f t="shared" si="216"/>
        <v/>
      </c>
      <c r="R839" s="182" t="str">
        <f>IF(M839&lt;&gt;"",IF(#REF!*F839*10=0,"",#REF!*F839*10),"")</f>
        <v/>
      </c>
      <c r="S839" s="184" t="str">
        <f t="shared" si="217"/>
        <v/>
      </c>
      <c r="T839" s="185" t="str">
        <f t="shared" si="206"/>
        <v/>
      </c>
      <c r="U839" s="183" t="str">
        <f t="shared" si="218"/>
        <v/>
      </c>
      <c r="V839" s="186" t="str">
        <f t="shared" si="207"/>
        <v/>
      </c>
      <c r="W839" s="186" t="str">
        <f t="shared" si="208"/>
        <v/>
      </c>
      <c r="X839" s="187" t="str">
        <f t="shared" si="209"/>
        <v/>
      </c>
      <c r="Y839" s="182" t="str">
        <f t="shared" si="219"/>
        <v/>
      </c>
      <c r="Z839" s="209" t="str">
        <f t="shared" si="210"/>
        <v/>
      </c>
      <c r="AA839" s="209" t="str">
        <f t="shared" si="211"/>
        <v/>
      </c>
      <c r="AB839" s="200"/>
      <c r="AC839" s="192"/>
    </row>
    <row r="840" spans="1:29" ht="11.4">
      <c r="A840" s="211" t="str">
        <f t="shared" si="212"/>
        <v/>
      </c>
      <c r="B840" s="211"/>
      <c r="C840" s="215"/>
      <c r="D840" s="213" t="str">
        <f t="shared" si="213"/>
        <v/>
      </c>
      <c r="E840" s="213" t="str">
        <f t="shared" si="221"/>
        <v/>
      </c>
      <c r="F840" s="214" t="str">
        <f t="shared" si="214"/>
        <v/>
      </c>
      <c r="G840" s="180"/>
      <c r="H840" s="181" t="str">
        <f t="shared" si="215"/>
        <v/>
      </c>
      <c r="I840" s="227"/>
      <c r="J840" s="227"/>
      <c r="K840" s="227"/>
      <c r="L840" s="227"/>
      <c r="M840" s="210" t="str">
        <f t="shared" si="220"/>
        <v/>
      </c>
      <c r="N840" s="210"/>
      <c r="O840" s="207"/>
      <c r="P840" s="182" t="str">
        <f t="shared" si="205"/>
        <v/>
      </c>
      <c r="Q840" s="183" t="str">
        <f t="shared" si="216"/>
        <v/>
      </c>
      <c r="R840" s="182" t="str">
        <f>IF(M840&lt;&gt;"",IF(#REF!*F840*10=0,"",#REF!*F840*10),"")</f>
        <v/>
      </c>
      <c r="S840" s="184" t="str">
        <f t="shared" si="217"/>
        <v/>
      </c>
      <c r="T840" s="185" t="str">
        <f t="shared" si="206"/>
        <v/>
      </c>
      <c r="U840" s="183" t="str">
        <f t="shared" si="218"/>
        <v/>
      </c>
      <c r="V840" s="186" t="str">
        <f t="shared" si="207"/>
        <v/>
      </c>
      <c r="W840" s="186" t="str">
        <f t="shared" si="208"/>
        <v/>
      </c>
      <c r="X840" s="187" t="str">
        <f t="shared" si="209"/>
        <v/>
      </c>
      <c r="Y840" s="182" t="str">
        <f t="shared" si="219"/>
        <v/>
      </c>
      <c r="Z840" s="209" t="str">
        <f t="shared" si="210"/>
        <v/>
      </c>
      <c r="AA840" s="209" t="str">
        <f t="shared" si="211"/>
        <v/>
      </c>
      <c r="AB840" s="200"/>
      <c r="AC840" s="192"/>
    </row>
    <row r="841" spans="1:29" ht="11.4">
      <c r="A841" s="211" t="str">
        <f t="shared" si="212"/>
        <v/>
      </c>
      <c r="B841" s="211"/>
      <c r="C841" s="215"/>
      <c r="D841" s="213" t="str">
        <f t="shared" si="213"/>
        <v/>
      </c>
      <c r="E841" s="213" t="str">
        <f t="shared" si="221"/>
        <v/>
      </c>
      <c r="F841" s="214" t="str">
        <f t="shared" si="214"/>
        <v/>
      </c>
      <c r="G841" s="180"/>
      <c r="H841" s="181" t="str">
        <f t="shared" si="215"/>
        <v/>
      </c>
      <c r="I841" s="227"/>
      <c r="J841" s="227"/>
      <c r="K841" s="227"/>
      <c r="L841" s="227"/>
      <c r="M841" s="210" t="str">
        <f t="shared" si="220"/>
        <v/>
      </c>
      <c r="N841" s="210"/>
      <c r="O841" s="207"/>
      <c r="P841" s="182" t="str">
        <f t="shared" si="205"/>
        <v/>
      </c>
      <c r="Q841" s="183" t="str">
        <f t="shared" si="216"/>
        <v/>
      </c>
      <c r="R841" s="182" t="str">
        <f>IF(M841&lt;&gt;"",IF(#REF!*F841*10=0,"",#REF!*F841*10),"")</f>
        <v/>
      </c>
      <c r="S841" s="184" t="str">
        <f t="shared" si="217"/>
        <v/>
      </c>
      <c r="T841" s="185" t="str">
        <f t="shared" si="206"/>
        <v/>
      </c>
      <c r="U841" s="183" t="str">
        <f t="shared" si="218"/>
        <v/>
      </c>
      <c r="V841" s="186" t="str">
        <f t="shared" si="207"/>
        <v/>
      </c>
      <c r="W841" s="186" t="str">
        <f t="shared" si="208"/>
        <v/>
      </c>
      <c r="X841" s="187" t="str">
        <f t="shared" si="209"/>
        <v/>
      </c>
      <c r="Y841" s="182" t="str">
        <f t="shared" si="219"/>
        <v/>
      </c>
      <c r="Z841" s="209" t="str">
        <f t="shared" si="210"/>
        <v/>
      </c>
      <c r="AA841" s="209" t="str">
        <f t="shared" si="211"/>
        <v/>
      </c>
      <c r="AB841" s="200"/>
      <c r="AC841" s="192"/>
    </row>
    <row r="842" spans="1:29" ht="11.4">
      <c r="A842" s="211" t="str">
        <f t="shared" si="212"/>
        <v/>
      </c>
      <c r="B842" s="211"/>
      <c r="C842" s="215"/>
      <c r="D842" s="213" t="str">
        <f t="shared" si="213"/>
        <v/>
      </c>
      <c r="E842" s="213" t="str">
        <f t="shared" si="221"/>
        <v/>
      </c>
      <c r="F842" s="214" t="str">
        <f t="shared" si="214"/>
        <v/>
      </c>
      <c r="G842" s="180"/>
      <c r="H842" s="181" t="str">
        <f t="shared" si="215"/>
        <v/>
      </c>
      <c r="I842" s="227"/>
      <c r="J842" s="227"/>
      <c r="K842" s="227"/>
      <c r="L842" s="227"/>
      <c r="M842" s="210" t="str">
        <f t="shared" si="220"/>
        <v/>
      </c>
      <c r="N842" s="210"/>
      <c r="O842" s="207"/>
      <c r="P842" s="182" t="str">
        <f t="shared" si="205"/>
        <v/>
      </c>
      <c r="Q842" s="183" t="str">
        <f t="shared" si="216"/>
        <v/>
      </c>
      <c r="R842" s="182" t="str">
        <f>IF(M842&lt;&gt;"",IF(#REF!*F842*10=0,"",#REF!*F842*10),"")</f>
        <v/>
      </c>
      <c r="S842" s="184" t="str">
        <f t="shared" si="217"/>
        <v/>
      </c>
      <c r="T842" s="185" t="str">
        <f t="shared" si="206"/>
        <v/>
      </c>
      <c r="U842" s="183" t="str">
        <f t="shared" si="218"/>
        <v/>
      </c>
      <c r="V842" s="186" t="str">
        <f t="shared" si="207"/>
        <v/>
      </c>
      <c r="W842" s="186" t="str">
        <f t="shared" si="208"/>
        <v/>
      </c>
      <c r="X842" s="187" t="str">
        <f t="shared" si="209"/>
        <v/>
      </c>
      <c r="Y842" s="182" t="str">
        <f t="shared" si="219"/>
        <v/>
      </c>
      <c r="Z842" s="209" t="str">
        <f t="shared" si="210"/>
        <v/>
      </c>
      <c r="AA842" s="209" t="str">
        <f t="shared" si="211"/>
        <v/>
      </c>
      <c r="AB842" s="200"/>
      <c r="AC842" s="192"/>
    </row>
    <row r="843" spans="1:29" ht="11.4">
      <c r="A843" s="211" t="str">
        <f t="shared" si="212"/>
        <v/>
      </c>
      <c r="B843" s="211"/>
      <c r="C843" s="215"/>
      <c r="D843" s="213" t="str">
        <f t="shared" si="213"/>
        <v/>
      </c>
      <c r="E843" s="213" t="str">
        <f t="shared" si="221"/>
        <v/>
      </c>
      <c r="F843" s="214" t="str">
        <f t="shared" si="214"/>
        <v/>
      </c>
      <c r="G843" s="180"/>
      <c r="H843" s="181" t="str">
        <f t="shared" si="215"/>
        <v/>
      </c>
      <c r="I843" s="227"/>
      <c r="J843" s="227"/>
      <c r="K843" s="227"/>
      <c r="L843" s="227"/>
      <c r="M843" s="210" t="str">
        <f t="shared" si="220"/>
        <v/>
      </c>
      <c r="N843" s="210"/>
      <c r="O843" s="207"/>
      <c r="P843" s="182" t="str">
        <f t="shared" si="205"/>
        <v/>
      </c>
      <c r="Q843" s="183" t="str">
        <f t="shared" si="216"/>
        <v/>
      </c>
      <c r="R843" s="182" t="str">
        <f>IF(M843&lt;&gt;"",IF(#REF!*F843*10=0,"",#REF!*F843*10),"")</f>
        <v/>
      </c>
      <c r="S843" s="184" t="str">
        <f t="shared" si="217"/>
        <v/>
      </c>
      <c r="T843" s="185" t="str">
        <f t="shared" si="206"/>
        <v/>
      </c>
      <c r="U843" s="183" t="str">
        <f t="shared" si="218"/>
        <v/>
      </c>
      <c r="V843" s="186" t="str">
        <f t="shared" si="207"/>
        <v/>
      </c>
      <c r="W843" s="186" t="str">
        <f t="shared" si="208"/>
        <v/>
      </c>
      <c r="X843" s="187" t="str">
        <f t="shared" si="209"/>
        <v/>
      </c>
      <c r="Y843" s="182" t="str">
        <f t="shared" si="219"/>
        <v/>
      </c>
      <c r="Z843" s="209" t="str">
        <f t="shared" si="210"/>
        <v/>
      </c>
      <c r="AA843" s="209" t="str">
        <f t="shared" si="211"/>
        <v/>
      </c>
      <c r="AB843" s="200"/>
      <c r="AC843" s="192"/>
    </row>
    <row r="844" spans="1:29" ht="11.4">
      <c r="A844" s="211" t="str">
        <f t="shared" si="212"/>
        <v/>
      </c>
      <c r="B844" s="211"/>
      <c r="C844" s="215"/>
      <c r="D844" s="213" t="str">
        <f t="shared" si="213"/>
        <v/>
      </c>
      <c r="E844" s="213" t="str">
        <f t="shared" si="221"/>
        <v/>
      </c>
      <c r="F844" s="214" t="str">
        <f t="shared" si="214"/>
        <v/>
      </c>
      <c r="G844" s="180"/>
      <c r="H844" s="181" t="str">
        <f t="shared" si="215"/>
        <v/>
      </c>
      <c r="I844" s="227"/>
      <c r="J844" s="227"/>
      <c r="K844" s="227"/>
      <c r="L844" s="227"/>
      <c r="M844" s="210" t="str">
        <f t="shared" si="220"/>
        <v/>
      </c>
      <c r="N844" s="210"/>
      <c r="O844" s="207"/>
      <c r="P844" s="182" t="str">
        <f t="shared" ref="P844:P907" si="222">IF(M844="","",IF(L844*F844*$D$3=0,0,L844*F844*$D$3))</f>
        <v/>
      </c>
      <c r="Q844" s="183" t="str">
        <f t="shared" si="216"/>
        <v/>
      </c>
      <c r="R844" s="182" t="str">
        <f>IF(M844&lt;&gt;"",IF(#REF!*F844*10=0,"",#REF!*F844*10),"")</f>
        <v/>
      </c>
      <c r="S844" s="184" t="str">
        <f t="shared" si="217"/>
        <v/>
      </c>
      <c r="T844" s="185" t="str">
        <f t="shared" ref="T844:T907" si="223">IF(X844="","",X844*F844*$D$3)</f>
        <v/>
      </c>
      <c r="U844" s="183" t="str">
        <f t="shared" si="218"/>
        <v/>
      </c>
      <c r="V844" s="186" t="str">
        <f t="shared" ref="V844:V907" si="224">IF(M844="","",IF(AND(M844&gt;I844,H844="L"),1, IF(AND(I844&gt;M844,H844="S"),1,0)))</f>
        <v/>
      </c>
      <c r="W844" s="186" t="str">
        <f t="shared" ref="W844:W907" si="225">IF(M844="","",IF(AND(M844&lt;I844,H844="L"),1, IF(AND(I844&lt;M844,H844="S"),1,0)))</f>
        <v/>
      </c>
      <c r="X844" s="187" t="str">
        <f t="shared" ref="X844:X907" si="226">IF((M844=""),"",IF(H844="Buy",1,-1)*(M844-I844)*IF(LEN(RIGHT(I844,LEN(I844)-FIND(".",I844)))&gt;3,10000,100))</f>
        <v/>
      </c>
      <c r="Y844" s="182" t="str">
        <f t="shared" si="219"/>
        <v/>
      </c>
      <c r="Z844" s="209" t="str">
        <f t="shared" ref="Z844:Z907" si="227">IF(C844="","",MONTH(LEFT(C844,8)))</f>
        <v/>
      </c>
      <c r="AA844" s="209" t="str">
        <f t="shared" ref="AA844:AA907" si="228">IF(C844="","",YEAR(LEFT(C844,8)))</f>
        <v/>
      </c>
      <c r="AB844" s="200"/>
      <c r="AC844" s="192"/>
    </row>
    <row r="845" spans="1:29" ht="11.4">
      <c r="A845" s="211" t="str">
        <f t="shared" ref="A845:A908" si="229">IF(D845="","",1)</f>
        <v/>
      </c>
      <c r="B845" s="211"/>
      <c r="C845" s="215"/>
      <c r="D845" s="213" t="str">
        <f t="shared" ref="D845:D908" si="230">IF(G845="","","SUGAR")</f>
        <v/>
      </c>
      <c r="E845" s="213" t="str">
        <f t="shared" si="221"/>
        <v/>
      </c>
      <c r="F845" s="214" t="str">
        <f t="shared" ref="F845:F908" si="231">IF(G845="","",0.01)</f>
        <v/>
      </c>
      <c r="G845" s="180"/>
      <c r="H845" s="181" t="str">
        <f t="shared" ref="H845:H908" si="232">IF(G845="","",IF(OR(G845="第二类买点",G845="第三类买点"),"Buy","Sell"))</f>
        <v/>
      </c>
      <c r="I845" s="227"/>
      <c r="J845" s="227"/>
      <c r="K845" s="227"/>
      <c r="L845" s="227"/>
      <c r="M845" s="210" t="str">
        <f t="shared" si="220"/>
        <v/>
      </c>
      <c r="N845" s="210"/>
      <c r="O845" s="207"/>
      <c r="P845" s="182" t="str">
        <f t="shared" si="222"/>
        <v/>
      </c>
      <c r="Q845" s="183" t="str">
        <f t="shared" ref="Q845:Q908" si="233">IF(P845="","",IF(P845=0,0,P845/$I$4))</f>
        <v/>
      </c>
      <c r="R845" s="182" t="str">
        <f>IF(M845&lt;&gt;"",IF(#REF!*F845*10=0,"",#REF!*F845*10),"")</f>
        <v/>
      </c>
      <c r="S845" s="184" t="str">
        <f t="shared" ref="S845:S908" si="234">IF(P845="","",IF(P845=0,0,R845/P845))</f>
        <v/>
      </c>
      <c r="T845" s="185" t="str">
        <f t="shared" si="223"/>
        <v/>
      </c>
      <c r="U845" s="183" t="str">
        <f t="shared" ref="U845:U908" si="235">IF(T845="","",IF($I$4="","",T845/$I$4))</f>
        <v/>
      </c>
      <c r="V845" s="186" t="str">
        <f t="shared" si="224"/>
        <v/>
      </c>
      <c r="W845" s="186" t="str">
        <f t="shared" si="225"/>
        <v/>
      </c>
      <c r="X845" s="187" t="str">
        <f t="shared" si="226"/>
        <v/>
      </c>
      <c r="Y845" s="182" t="str">
        <f t="shared" si="219"/>
        <v/>
      </c>
      <c r="Z845" s="209" t="str">
        <f t="shared" si="227"/>
        <v/>
      </c>
      <c r="AA845" s="209" t="str">
        <f t="shared" si="228"/>
        <v/>
      </c>
      <c r="AB845" s="200"/>
      <c r="AC845" s="192"/>
    </row>
    <row r="846" spans="1:29" ht="11.4">
      <c r="A846" s="211" t="str">
        <f t="shared" si="229"/>
        <v/>
      </c>
      <c r="B846" s="211"/>
      <c r="C846" s="215"/>
      <c r="D846" s="213" t="str">
        <f t="shared" si="230"/>
        <v/>
      </c>
      <c r="E846" s="213" t="str">
        <f t="shared" si="221"/>
        <v/>
      </c>
      <c r="F846" s="214" t="str">
        <f t="shared" si="231"/>
        <v/>
      </c>
      <c r="G846" s="180"/>
      <c r="H846" s="181" t="str">
        <f t="shared" si="232"/>
        <v/>
      </c>
      <c r="I846" s="227"/>
      <c r="J846" s="227"/>
      <c r="K846" s="227"/>
      <c r="L846" s="227"/>
      <c r="M846" s="210" t="str">
        <f t="shared" si="220"/>
        <v/>
      </c>
      <c r="N846" s="210"/>
      <c r="O846" s="207"/>
      <c r="P846" s="182" t="str">
        <f t="shared" si="222"/>
        <v/>
      </c>
      <c r="Q846" s="183" t="str">
        <f t="shared" si="233"/>
        <v/>
      </c>
      <c r="R846" s="182" t="str">
        <f>IF(M846&lt;&gt;"",IF(#REF!*F846*10=0,"",#REF!*F846*10),"")</f>
        <v/>
      </c>
      <c r="S846" s="184" t="str">
        <f t="shared" si="234"/>
        <v/>
      </c>
      <c r="T846" s="185" t="str">
        <f t="shared" si="223"/>
        <v/>
      </c>
      <c r="U846" s="183" t="str">
        <f t="shared" si="235"/>
        <v/>
      </c>
      <c r="V846" s="186" t="str">
        <f t="shared" si="224"/>
        <v/>
      </c>
      <c r="W846" s="186" t="str">
        <f t="shared" si="225"/>
        <v/>
      </c>
      <c r="X846" s="187" t="str">
        <f t="shared" si="226"/>
        <v/>
      </c>
      <c r="Y846" s="182" t="str">
        <f t="shared" ref="Y846:Y909" si="236">IF(Y845="","",IF(T846="","",Y845+T846))</f>
        <v/>
      </c>
      <c r="Z846" s="209" t="str">
        <f t="shared" si="227"/>
        <v/>
      </c>
      <c r="AA846" s="209" t="str">
        <f t="shared" si="228"/>
        <v/>
      </c>
      <c r="AB846" s="200"/>
      <c r="AC846" s="192"/>
    </row>
    <row r="847" spans="1:29" ht="11.4">
      <c r="A847" s="211" t="str">
        <f t="shared" si="229"/>
        <v/>
      </c>
      <c r="B847" s="211"/>
      <c r="C847" s="215"/>
      <c r="D847" s="213" t="str">
        <f t="shared" si="230"/>
        <v/>
      </c>
      <c r="E847" s="213" t="str">
        <f t="shared" si="221"/>
        <v/>
      </c>
      <c r="F847" s="214" t="str">
        <f t="shared" si="231"/>
        <v/>
      </c>
      <c r="G847" s="180"/>
      <c r="H847" s="181" t="str">
        <f t="shared" si="232"/>
        <v/>
      </c>
      <c r="I847" s="227"/>
      <c r="J847" s="227"/>
      <c r="K847" s="227"/>
      <c r="L847" s="227"/>
      <c r="M847" s="210" t="str">
        <f t="shared" ref="M847:M910" si="237">IF(J847="","",J847)</f>
        <v/>
      </c>
      <c r="N847" s="210"/>
      <c r="O847" s="207"/>
      <c r="P847" s="182" t="str">
        <f t="shared" si="222"/>
        <v/>
      </c>
      <c r="Q847" s="183" t="str">
        <f t="shared" si="233"/>
        <v/>
      </c>
      <c r="R847" s="182" t="str">
        <f>IF(M847&lt;&gt;"",IF(#REF!*F847*10=0,"",#REF!*F847*10),"")</f>
        <v/>
      </c>
      <c r="S847" s="184" t="str">
        <f t="shared" si="234"/>
        <v/>
      </c>
      <c r="T847" s="185" t="str">
        <f t="shared" si="223"/>
        <v/>
      </c>
      <c r="U847" s="183" t="str">
        <f t="shared" si="235"/>
        <v/>
      </c>
      <c r="V847" s="186" t="str">
        <f t="shared" si="224"/>
        <v/>
      </c>
      <c r="W847" s="186" t="str">
        <f t="shared" si="225"/>
        <v/>
      </c>
      <c r="X847" s="187" t="str">
        <f t="shared" si="226"/>
        <v/>
      </c>
      <c r="Y847" s="182" t="str">
        <f t="shared" si="236"/>
        <v/>
      </c>
      <c r="Z847" s="209" t="str">
        <f t="shared" si="227"/>
        <v/>
      </c>
      <c r="AA847" s="209" t="str">
        <f t="shared" si="228"/>
        <v/>
      </c>
      <c r="AB847" s="200"/>
      <c r="AC847" s="192"/>
    </row>
    <row r="848" spans="1:29" ht="11.4">
      <c r="A848" s="211" t="str">
        <f t="shared" si="229"/>
        <v/>
      </c>
      <c r="B848" s="211"/>
      <c r="C848" s="215"/>
      <c r="D848" s="213" t="str">
        <f t="shared" si="230"/>
        <v/>
      </c>
      <c r="E848" s="213" t="str">
        <f t="shared" ref="E848:E911" si="238">IF(G848="","","M30")</f>
        <v/>
      </c>
      <c r="F848" s="214" t="str">
        <f t="shared" si="231"/>
        <v/>
      </c>
      <c r="G848" s="180"/>
      <c r="H848" s="181" t="str">
        <f t="shared" si="232"/>
        <v/>
      </c>
      <c r="I848" s="227"/>
      <c r="J848" s="227"/>
      <c r="K848" s="227"/>
      <c r="L848" s="227"/>
      <c r="M848" s="210" t="str">
        <f t="shared" si="237"/>
        <v/>
      </c>
      <c r="N848" s="210"/>
      <c r="O848" s="207"/>
      <c r="P848" s="182" t="str">
        <f t="shared" si="222"/>
        <v/>
      </c>
      <c r="Q848" s="183" t="str">
        <f t="shared" si="233"/>
        <v/>
      </c>
      <c r="R848" s="182" t="str">
        <f>IF(M848&lt;&gt;"",IF(#REF!*F848*10=0,"",#REF!*F848*10),"")</f>
        <v/>
      </c>
      <c r="S848" s="184" t="str">
        <f t="shared" si="234"/>
        <v/>
      </c>
      <c r="T848" s="185" t="str">
        <f t="shared" si="223"/>
        <v/>
      </c>
      <c r="U848" s="183" t="str">
        <f t="shared" si="235"/>
        <v/>
      </c>
      <c r="V848" s="186" t="str">
        <f t="shared" si="224"/>
        <v/>
      </c>
      <c r="W848" s="186" t="str">
        <f t="shared" si="225"/>
        <v/>
      </c>
      <c r="X848" s="187" t="str">
        <f t="shared" si="226"/>
        <v/>
      </c>
      <c r="Y848" s="182" t="str">
        <f t="shared" si="236"/>
        <v/>
      </c>
      <c r="Z848" s="209" t="str">
        <f t="shared" si="227"/>
        <v/>
      </c>
      <c r="AA848" s="209" t="str">
        <f t="shared" si="228"/>
        <v/>
      </c>
      <c r="AB848" s="200"/>
      <c r="AC848" s="192"/>
    </row>
    <row r="849" spans="1:29" ht="11.4">
      <c r="A849" s="211" t="str">
        <f t="shared" si="229"/>
        <v/>
      </c>
      <c r="B849" s="211"/>
      <c r="C849" s="215"/>
      <c r="D849" s="213" t="str">
        <f t="shared" si="230"/>
        <v/>
      </c>
      <c r="E849" s="213" t="str">
        <f t="shared" si="238"/>
        <v/>
      </c>
      <c r="F849" s="214" t="str">
        <f t="shared" si="231"/>
        <v/>
      </c>
      <c r="G849" s="180"/>
      <c r="H849" s="181" t="str">
        <f t="shared" si="232"/>
        <v/>
      </c>
      <c r="I849" s="227"/>
      <c r="J849" s="227"/>
      <c r="K849" s="227"/>
      <c r="L849" s="227"/>
      <c r="M849" s="210" t="str">
        <f t="shared" si="237"/>
        <v/>
      </c>
      <c r="N849" s="210"/>
      <c r="O849" s="207"/>
      <c r="P849" s="182" t="str">
        <f t="shared" si="222"/>
        <v/>
      </c>
      <c r="Q849" s="183" t="str">
        <f t="shared" si="233"/>
        <v/>
      </c>
      <c r="R849" s="182" t="str">
        <f>IF(M849&lt;&gt;"",IF(#REF!*F849*10=0,"",#REF!*F849*10),"")</f>
        <v/>
      </c>
      <c r="S849" s="184" t="str">
        <f t="shared" si="234"/>
        <v/>
      </c>
      <c r="T849" s="185" t="str">
        <f t="shared" si="223"/>
        <v/>
      </c>
      <c r="U849" s="183" t="str">
        <f t="shared" si="235"/>
        <v/>
      </c>
      <c r="V849" s="186" t="str">
        <f t="shared" si="224"/>
        <v/>
      </c>
      <c r="W849" s="186" t="str">
        <f t="shared" si="225"/>
        <v/>
      </c>
      <c r="X849" s="187" t="str">
        <f t="shared" si="226"/>
        <v/>
      </c>
      <c r="Y849" s="182" t="str">
        <f t="shared" si="236"/>
        <v/>
      </c>
      <c r="Z849" s="209" t="str">
        <f t="shared" si="227"/>
        <v/>
      </c>
      <c r="AA849" s="209" t="str">
        <f t="shared" si="228"/>
        <v/>
      </c>
      <c r="AB849" s="200"/>
      <c r="AC849" s="192"/>
    </row>
    <row r="850" spans="1:29" ht="11.4">
      <c r="A850" s="211" t="str">
        <f t="shared" si="229"/>
        <v/>
      </c>
      <c r="B850" s="211"/>
      <c r="C850" s="215"/>
      <c r="D850" s="213" t="str">
        <f t="shared" si="230"/>
        <v/>
      </c>
      <c r="E850" s="213" t="str">
        <f t="shared" si="238"/>
        <v/>
      </c>
      <c r="F850" s="214" t="str">
        <f t="shared" si="231"/>
        <v/>
      </c>
      <c r="G850" s="180"/>
      <c r="H850" s="181" t="str">
        <f t="shared" si="232"/>
        <v/>
      </c>
      <c r="I850" s="227"/>
      <c r="J850" s="227"/>
      <c r="K850" s="227"/>
      <c r="L850" s="227"/>
      <c r="M850" s="210" t="str">
        <f t="shared" si="237"/>
        <v/>
      </c>
      <c r="N850" s="210"/>
      <c r="O850" s="207"/>
      <c r="P850" s="182" t="str">
        <f t="shared" si="222"/>
        <v/>
      </c>
      <c r="Q850" s="183" t="str">
        <f t="shared" si="233"/>
        <v/>
      </c>
      <c r="R850" s="182" t="str">
        <f>IF(M850&lt;&gt;"",IF(#REF!*F850*10=0,"",#REF!*F850*10),"")</f>
        <v/>
      </c>
      <c r="S850" s="184" t="str">
        <f t="shared" si="234"/>
        <v/>
      </c>
      <c r="T850" s="185" t="str">
        <f t="shared" si="223"/>
        <v/>
      </c>
      <c r="U850" s="183" t="str">
        <f t="shared" si="235"/>
        <v/>
      </c>
      <c r="V850" s="186" t="str">
        <f t="shared" si="224"/>
        <v/>
      </c>
      <c r="W850" s="186" t="str">
        <f t="shared" si="225"/>
        <v/>
      </c>
      <c r="X850" s="187" t="str">
        <f t="shared" si="226"/>
        <v/>
      </c>
      <c r="Y850" s="182" t="str">
        <f t="shared" si="236"/>
        <v/>
      </c>
      <c r="Z850" s="209" t="str">
        <f t="shared" si="227"/>
        <v/>
      </c>
      <c r="AA850" s="209" t="str">
        <f t="shared" si="228"/>
        <v/>
      </c>
      <c r="AB850" s="200"/>
      <c r="AC850" s="192"/>
    </row>
    <row r="851" spans="1:29" ht="11.4">
      <c r="A851" s="211" t="str">
        <f t="shared" si="229"/>
        <v/>
      </c>
      <c r="B851" s="211"/>
      <c r="C851" s="215"/>
      <c r="D851" s="213" t="str">
        <f t="shared" si="230"/>
        <v/>
      </c>
      <c r="E851" s="213" t="str">
        <f t="shared" si="238"/>
        <v/>
      </c>
      <c r="F851" s="214" t="str">
        <f t="shared" si="231"/>
        <v/>
      </c>
      <c r="G851" s="180"/>
      <c r="H851" s="181" t="str">
        <f t="shared" si="232"/>
        <v/>
      </c>
      <c r="I851" s="227"/>
      <c r="J851" s="227"/>
      <c r="K851" s="227"/>
      <c r="L851" s="227"/>
      <c r="M851" s="210" t="str">
        <f t="shared" si="237"/>
        <v/>
      </c>
      <c r="N851" s="210"/>
      <c r="O851" s="207"/>
      <c r="P851" s="182" t="str">
        <f t="shared" si="222"/>
        <v/>
      </c>
      <c r="Q851" s="183" t="str">
        <f t="shared" si="233"/>
        <v/>
      </c>
      <c r="R851" s="182" t="str">
        <f>IF(M851&lt;&gt;"",IF(#REF!*F851*10=0,"",#REF!*F851*10),"")</f>
        <v/>
      </c>
      <c r="S851" s="184" t="str">
        <f t="shared" si="234"/>
        <v/>
      </c>
      <c r="T851" s="185" t="str">
        <f t="shared" si="223"/>
        <v/>
      </c>
      <c r="U851" s="183" t="str">
        <f t="shared" si="235"/>
        <v/>
      </c>
      <c r="V851" s="186" t="str">
        <f t="shared" si="224"/>
        <v/>
      </c>
      <c r="W851" s="186" t="str">
        <f t="shared" si="225"/>
        <v/>
      </c>
      <c r="X851" s="187" t="str">
        <f t="shared" si="226"/>
        <v/>
      </c>
      <c r="Y851" s="182" t="str">
        <f t="shared" si="236"/>
        <v/>
      </c>
      <c r="Z851" s="209" t="str">
        <f t="shared" si="227"/>
        <v/>
      </c>
      <c r="AA851" s="209" t="str">
        <f t="shared" si="228"/>
        <v/>
      </c>
      <c r="AB851" s="200"/>
      <c r="AC851" s="192"/>
    </row>
    <row r="852" spans="1:29" ht="11.4">
      <c r="A852" s="211" t="str">
        <f t="shared" si="229"/>
        <v/>
      </c>
      <c r="B852" s="211"/>
      <c r="C852" s="215"/>
      <c r="D852" s="213" t="str">
        <f t="shared" si="230"/>
        <v/>
      </c>
      <c r="E852" s="213" t="str">
        <f t="shared" si="238"/>
        <v/>
      </c>
      <c r="F852" s="214" t="str">
        <f t="shared" si="231"/>
        <v/>
      </c>
      <c r="G852" s="180"/>
      <c r="H852" s="181" t="str">
        <f t="shared" si="232"/>
        <v/>
      </c>
      <c r="I852" s="227"/>
      <c r="J852" s="227"/>
      <c r="K852" s="227"/>
      <c r="L852" s="227"/>
      <c r="M852" s="210" t="str">
        <f t="shared" si="237"/>
        <v/>
      </c>
      <c r="N852" s="210"/>
      <c r="O852" s="207"/>
      <c r="P852" s="182" t="str">
        <f t="shared" si="222"/>
        <v/>
      </c>
      <c r="Q852" s="183" t="str">
        <f t="shared" si="233"/>
        <v/>
      </c>
      <c r="R852" s="182" t="str">
        <f>IF(M852&lt;&gt;"",IF(#REF!*F852*10=0,"",#REF!*F852*10),"")</f>
        <v/>
      </c>
      <c r="S852" s="184" t="str">
        <f t="shared" si="234"/>
        <v/>
      </c>
      <c r="T852" s="185" t="str">
        <f t="shared" si="223"/>
        <v/>
      </c>
      <c r="U852" s="183" t="str">
        <f t="shared" si="235"/>
        <v/>
      </c>
      <c r="V852" s="186" t="str">
        <f t="shared" si="224"/>
        <v/>
      </c>
      <c r="W852" s="186" t="str">
        <f t="shared" si="225"/>
        <v/>
      </c>
      <c r="X852" s="187" t="str">
        <f t="shared" si="226"/>
        <v/>
      </c>
      <c r="Y852" s="182" t="str">
        <f t="shared" si="236"/>
        <v/>
      </c>
      <c r="Z852" s="209" t="str">
        <f t="shared" si="227"/>
        <v/>
      </c>
      <c r="AA852" s="209" t="str">
        <f t="shared" si="228"/>
        <v/>
      </c>
      <c r="AB852" s="200"/>
      <c r="AC852" s="192"/>
    </row>
    <row r="853" spans="1:29" ht="11.4">
      <c r="A853" s="211" t="str">
        <f t="shared" si="229"/>
        <v/>
      </c>
      <c r="B853" s="211"/>
      <c r="C853" s="215"/>
      <c r="D853" s="213" t="str">
        <f t="shared" si="230"/>
        <v/>
      </c>
      <c r="E853" s="213" t="str">
        <f t="shared" si="238"/>
        <v/>
      </c>
      <c r="F853" s="214" t="str">
        <f t="shared" si="231"/>
        <v/>
      </c>
      <c r="G853" s="180"/>
      <c r="H853" s="181" t="str">
        <f t="shared" si="232"/>
        <v/>
      </c>
      <c r="I853" s="227"/>
      <c r="J853" s="227"/>
      <c r="K853" s="227"/>
      <c r="L853" s="227"/>
      <c r="M853" s="210" t="str">
        <f t="shared" si="237"/>
        <v/>
      </c>
      <c r="N853" s="210"/>
      <c r="O853" s="207"/>
      <c r="P853" s="182" t="str">
        <f t="shared" si="222"/>
        <v/>
      </c>
      <c r="Q853" s="183" t="str">
        <f t="shared" si="233"/>
        <v/>
      </c>
      <c r="R853" s="182" t="str">
        <f>IF(M853&lt;&gt;"",IF(#REF!*F853*10=0,"",#REF!*F853*10),"")</f>
        <v/>
      </c>
      <c r="S853" s="184" t="str">
        <f t="shared" si="234"/>
        <v/>
      </c>
      <c r="T853" s="185" t="str">
        <f t="shared" si="223"/>
        <v/>
      </c>
      <c r="U853" s="183" t="str">
        <f t="shared" si="235"/>
        <v/>
      </c>
      <c r="V853" s="186" t="str">
        <f t="shared" si="224"/>
        <v/>
      </c>
      <c r="W853" s="186" t="str">
        <f t="shared" si="225"/>
        <v/>
      </c>
      <c r="X853" s="187" t="str">
        <f t="shared" si="226"/>
        <v/>
      </c>
      <c r="Y853" s="182" t="str">
        <f t="shared" si="236"/>
        <v/>
      </c>
      <c r="Z853" s="209" t="str">
        <f t="shared" si="227"/>
        <v/>
      </c>
      <c r="AA853" s="209" t="str">
        <f t="shared" si="228"/>
        <v/>
      </c>
      <c r="AB853" s="200"/>
      <c r="AC853" s="192"/>
    </row>
    <row r="854" spans="1:29" ht="11.4">
      <c r="A854" s="211" t="str">
        <f t="shared" si="229"/>
        <v/>
      </c>
      <c r="B854" s="211"/>
      <c r="C854" s="215"/>
      <c r="D854" s="213" t="str">
        <f t="shared" si="230"/>
        <v/>
      </c>
      <c r="E854" s="213" t="str">
        <f t="shared" si="238"/>
        <v/>
      </c>
      <c r="F854" s="214" t="str">
        <f t="shared" si="231"/>
        <v/>
      </c>
      <c r="G854" s="180"/>
      <c r="H854" s="181" t="str">
        <f t="shared" si="232"/>
        <v/>
      </c>
      <c r="I854" s="227"/>
      <c r="J854" s="227"/>
      <c r="K854" s="227"/>
      <c r="L854" s="227"/>
      <c r="M854" s="210" t="str">
        <f t="shared" si="237"/>
        <v/>
      </c>
      <c r="N854" s="210"/>
      <c r="O854" s="207"/>
      <c r="P854" s="182" t="str">
        <f t="shared" si="222"/>
        <v/>
      </c>
      <c r="Q854" s="183" t="str">
        <f t="shared" si="233"/>
        <v/>
      </c>
      <c r="R854" s="182" t="str">
        <f>IF(M854&lt;&gt;"",IF(#REF!*F854*10=0,"",#REF!*F854*10),"")</f>
        <v/>
      </c>
      <c r="S854" s="184" t="str">
        <f t="shared" si="234"/>
        <v/>
      </c>
      <c r="T854" s="185" t="str">
        <f t="shared" si="223"/>
        <v/>
      </c>
      <c r="U854" s="183" t="str">
        <f t="shared" si="235"/>
        <v/>
      </c>
      <c r="V854" s="186" t="str">
        <f t="shared" si="224"/>
        <v/>
      </c>
      <c r="W854" s="186" t="str">
        <f t="shared" si="225"/>
        <v/>
      </c>
      <c r="X854" s="187" t="str">
        <f t="shared" si="226"/>
        <v/>
      </c>
      <c r="Y854" s="182" t="str">
        <f t="shared" si="236"/>
        <v/>
      </c>
      <c r="Z854" s="209" t="str">
        <f t="shared" si="227"/>
        <v/>
      </c>
      <c r="AA854" s="209" t="str">
        <f t="shared" si="228"/>
        <v/>
      </c>
      <c r="AB854" s="200"/>
      <c r="AC854" s="192"/>
    </row>
    <row r="855" spans="1:29" ht="11.4">
      <c r="A855" s="211" t="str">
        <f t="shared" si="229"/>
        <v/>
      </c>
      <c r="B855" s="211"/>
      <c r="C855" s="215"/>
      <c r="D855" s="213" t="str">
        <f t="shared" si="230"/>
        <v/>
      </c>
      <c r="E855" s="213" t="str">
        <f t="shared" si="238"/>
        <v/>
      </c>
      <c r="F855" s="214" t="str">
        <f t="shared" si="231"/>
        <v/>
      </c>
      <c r="G855" s="180"/>
      <c r="H855" s="181" t="str">
        <f t="shared" si="232"/>
        <v/>
      </c>
      <c r="I855" s="227"/>
      <c r="J855" s="227"/>
      <c r="K855" s="227"/>
      <c r="L855" s="227"/>
      <c r="M855" s="210" t="str">
        <f t="shared" si="237"/>
        <v/>
      </c>
      <c r="N855" s="210"/>
      <c r="O855" s="207"/>
      <c r="P855" s="182" t="str">
        <f t="shared" si="222"/>
        <v/>
      </c>
      <c r="Q855" s="183" t="str">
        <f t="shared" si="233"/>
        <v/>
      </c>
      <c r="R855" s="182" t="str">
        <f>IF(M855&lt;&gt;"",IF(#REF!*F855*10=0,"",#REF!*F855*10),"")</f>
        <v/>
      </c>
      <c r="S855" s="184" t="str">
        <f t="shared" si="234"/>
        <v/>
      </c>
      <c r="T855" s="185" t="str">
        <f t="shared" si="223"/>
        <v/>
      </c>
      <c r="U855" s="183" t="str">
        <f t="shared" si="235"/>
        <v/>
      </c>
      <c r="V855" s="186" t="str">
        <f t="shared" si="224"/>
        <v/>
      </c>
      <c r="W855" s="186" t="str">
        <f t="shared" si="225"/>
        <v/>
      </c>
      <c r="X855" s="187" t="str">
        <f t="shared" si="226"/>
        <v/>
      </c>
      <c r="Y855" s="182" t="str">
        <f t="shared" si="236"/>
        <v/>
      </c>
      <c r="Z855" s="209" t="str">
        <f t="shared" si="227"/>
        <v/>
      </c>
      <c r="AA855" s="209" t="str">
        <f t="shared" si="228"/>
        <v/>
      </c>
      <c r="AB855" s="200"/>
      <c r="AC855" s="192"/>
    </row>
    <row r="856" spans="1:29" ht="11.4">
      <c r="A856" s="211" t="str">
        <f t="shared" si="229"/>
        <v/>
      </c>
      <c r="B856" s="211"/>
      <c r="C856" s="215"/>
      <c r="D856" s="213" t="str">
        <f t="shared" si="230"/>
        <v/>
      </c>
      <c r="E856" s="213" t="str">
        <f t="shared" si="238"/>
        <v/>
      </c>
      <c r="F856" s="214" t="str">
        <f t="shared" si="231"/>
        <v/>
      </c>
      <c r="G856" s="180"/>
      <c r="H856" s="181" t="str">
        <f t="shared" si="232"/>
        <v/>
      </c>
      <c r="I856" s="227"/>
      <c r="J856" s="227"/>
      <c r="K856" s="227"/>
      <c r="L856" s="227"/>
      <c r="M856" s="210" t="str">
        <f t="shared" si="237"/>
        <v/>
      </c>
      <c r="N856" s="210"/>
      <c r="O856" s="207"/>
      <c r="P856" s="182" t="str">
        <f t="shared" si="222"/>
        <v/>
      </c>
      <c r="Q856" s="183" t="str">
        <f t="shared" si="233"/>
        <v/>
      </c>
      <c r="R856" s="182" t="str">
        <f>IF(M856&lt;&gt;"",IF(#REF!*F856*10=0,"",#REF!*F856*10),"")</f>
        <v/>
      </c>
      <c r="S856" s="184" t="str">
        <f t="shared" si="234"/>
        <v/>
      </c>
      <c r="T856" s="185" t="str">
        <f t="shared" si="223"/>
        <v/>
      </c>
      <c r="U856" s="183" t="str">
        <f t="shared" si="235"/>
        <v/>
      </c>
      <c r="V856" s="186" t="str">
        <f t="shared" si="224"/>
        <v/>
      </c>
      <c r="W856" s="186" t="str">
        <f t="shared" si="225"/>
        <v/>
      </c>
      <c r="X856" s="187" t="str">
        <f t="shared" si="226"/>
        <v/>
      </c>
      <c r="Y856" s="182" t="str">
        <f t="shared" si="236"/>
        <v/>
      </c>
      <c r="Z856" s="209" t="str">
        <f t="shared" si="227"/>
        <v/>
      </c>
      <c r="AA856" s="209" t="str">
        <f t="shared" si="228"/>
        <v/>
      </c>
      <c r="AB856" s="200"/>
      <c r="AC856" s="192"/>
    </row>
    <row r="857" spans="1:29" ht="11.4">
      <c r="A857" s="211" t="str">
        <f t="shared" si="229"/>
        <v/>
      </c>
      <c r="B857" s="211"/>
      <c r="C857" s="215"/>
      <c r="D857" s="213" t="str">
        <f t="shared" si="230"/>
        <v/>
      </c>
      <c r="E857" s="213" t="str">
        <f t="shared" si="238"/>
        <v/>
      </c>
      <c r="F857" s="214" t="str">
        <f t="shared" si="231"/>
        <v/>
      </c>
      <c r="G857" s="180"/>
      <c r="H857" s="181" t="str">
        <f t="shared" si="232"/>
        <v/>
      </c>
      <c r="I857" s="227"/>
      <c r="J857" s="227"/>
      <c r="K857" s="227"/>
      <c r="L857" s="227"/>
      <c r="M857" s="210" t="str">
        <f t="shared" si="237"/>
        <v/>
      </c>
      <c r="N857" s="210"/>
      <c r="O857" s="207"/>
      <c r="P857" s="182" t="str">
        <f t="shared" si="222"/>
        <v/>
      </c>
      <c r="Q857" s="183" t="str">
        <f t="shared" si="233"/>
        <v/>
      </c>
      <c r="R857" s="182" t="str">
        <f>IF(M857&lt;&gt;"",IF(#REF!*F857*10=0,"",#REF!*F857*10),"")</f>
        <v/>
      </c>
      <c r="S857" s="184" t="str">
        <f t="shared" si="234"/>
        <v/>
      </c>
      <c r="T857" s="185" t="str">
        <f t="shared" si="223"/>
        <v/>
      </c>
      <c r="U857" s="183" t="str">
        <f t="shared" si="235"/>
        <v/>
      </c>
      <c r="V857" s="186" t="str">
        <f t="shared" si="224"/>
        <v/>
      </c>
      <c r="W857" s="186" t="str">
        <f t="shared" si="225"/>
        <v/>
      </c>
      <c r="X857" s="187" t="str">
        <f t="shared" si="226"/>
        <v/>
      </c>
      <c r="Y857" s="182" t="str">
        <f t="shared" si="236"/>
        <v/>
      </c>
      <c r="Z857" s="209" t="str">
        <f t="shared" si="227"/>
        <v/>
      </c>
      <c r="AA857" s="209" t="str">
        <f t="shared" si="228"/>
        <v/>
      </c>
      <c r="AB857" s="200"/>
      <c r="AC857" s="192"/>
    </row>
    <row r="858" spans="1:29" ht="11.4">
      <c r="A858" s="211" t="str">
        <f t="shared" si="229"/>
        <v/>
      </c>
      <c r="B858" s="211"/>
      <c r="C858" s="215"/>
      <c r="D858" s="213" t="str">
        <f t="shared" si="230"/>
        <v/>
      </c>
      <c r="E858" s="213" t="str">
        <f t="shared" si="238"/>
        <v/>
      </c>
      <c r="F858" s="214" t="str">
        <f t="shared" si="231"/>
        <v/>
      </c>
      <c r="G858" s="180"/>
      <c r="H858" s="181" t="str">
        <f t="shared" si="232"/>
        <v/>
      </c>
      <c r="I858" s="227"/>
      <c r="J858" s="227"/>
      <c r="K858" s="227"/>
      <c r="L858" s="227"/>
      <c r="M858" s="210" t="str">
        <f t="shared" si="237"/>
        <v/>
      </c>
      <c r="N858" s="210"/>
      <c r="O858" s="207"/>
      <c r="P858" s="182" t="str">
        <f t="shared" si="222"/>
        <v/>
      </c>
      <c r="Q858" s="183" t="str">
        <f t="shared" si="233"/>
        <v/>
      </c>
      <c r="R858" s="182" t="str">
        <f>IF(M858&lt;&gt;"",IF(#REF!*F858*10=0,"",#REF!*F858*10),"")</f>
        <v/>
      </c>
      <c r="S858" s="184" t="str">
        <f t="shared" si="234"/>
        <v/>
      </c>
      <c r="T858" s="185" t="str">
        <f t="shared" si="223"/>
        <v/>
      </c>
      <c r="U858" s="183" t="str">
        <f t="shared" si="235"/>
        <v/>
      </c>
      <c r="V858" s="186" t="str">
        <f t="shared" si="224"/>
        <v/>
      </c>
      <c r="W858" s="186" t="str">
        <f t="shared" si="225"/>
        <v/>
      </c>
      <c r="X858" s="187" t="str">
        <f t="shared" si="226"/>
        <v/>
      </c>
      <c r="Y858" s="182" t="str">
        <f t="shared" si="236"/>
        <v/>
      </c>
      <c r="Z858" s="209" t="str">
        <f t="shared" si="227"/>
        <v/>
      </c>
      <c r="AA858" s="209" t="str">
        <f t="shared" si="228"/>
        <v/>
      </c>
      <c r="AB858" s="200"/>
      <c r="AC858" s="192"/>
    </row>
    <row r="859" spans="1:29" ht="11.4">
      <c r="A859" s="211" t="str">
        <f t="shared" si="229"/>
        <v/>
      </c>
      <c r="B859" s="211"/>
      <c r="C859" s="215"/>
      <c r="D859" s="213" t="str">
        <f t="shared" si="230"/>
        <v/>
      </c>
      <c r="E859" s="213" t="str">
        <f t="shared" si="238"/>
        <v/>
      </c>
      <c r="F859" s="214" t="str">
        <f t="shared" si="231"/>
        <v/>
      </c>
      <c r="G859" s="180"/>
      <c r="H859" s="181" t="str">
        <f t="shared" si="232"/>
        <v/>
      </c>
      <c r="I859" s="227"/>
      <c r="J859" s="227"/>
      <c r="K859" s="227"/>
      <c r="L859" s="227"/>
      <c r="M859" s="210" t="str">
        <f t="shared" si="237"/>
        <v/>
      </c>
      <c r="N859" s="210"/>
      <c r="O859" s="207"/>
      <c r="P859" s="182" t="str">
        <f t="shared" si="222"/>
        <v/>
      </c>
      <c r="Q859" s="183" t="str">
        <f t="shared" si="233"/>
        <v/>
      </c>
      <c r="R859" s="182" t="str">
        <f>IF(M859&lt;&gt;"",IF(#REF!*F859*10=0,"",#REF!*F859*10),"")</f>
        <v/>
      </c>
      <c r="S859" s="184" t="str">
        <f t="shared" si="234"/>
        <v/>
      </c>
      <c r="T859" s="185" t="str">
        <f t="shared" si="223"/>
        <v/>
      </c>
      <c r="U859" s="183" t="str">
        <f t="shared" si="235"/>
        <v/>
      </c>
      <c r="V859" s="186" t="str">
        <f t="shared" si="224"/>
        <v/>
      </c>
      <c r="W859" s="186" t="str">
        <f t="shared" si="225"/>
        <v/>
      </c>
      <c r="X859" s="187" t="str">
        <f t="shared" si="226"/>
        <v/>
      </c>
      <c r="Y859" s="182" t="str">
        <f t="shared" si="236"/>
        <v/>
      </c>
      <c r="Z859" s="209" t="str">
        <f t="shared" si="227"/>
        <v/>
      </c>
      <c r="AA859" s="209" t="str">
        <f t="shared" si="228"/>
        <v/>
      </c>
      <c r="AB859" s="200"/>
      <c r="AC859" s="192"/>
    </row>
    <row r="860" spans="1:29" ht="11.4">
      <c r="A860" s="211" t="str">
        <f t="shared" si="229"/>
        <v/>
      </c>
      <c r="B860" s="211"/>
      <c r="C860" s="215"/>
      <c r="D860" s="213" t="str">
        <f t="shared" si="230"/>
        <v/>
      </c>
      <c r="E860" s="213" t="str">
        <f t="shared" si="238"/>
        <v/>
      </c>
      <c r="F860" s="214" t="str">
        <f t="shared" si="231"/>
        <v/>
      </c>
      <c r="G860" s="180"/>
      <c r="H860" s="181" t="str">
        <f t="shared" si="232"/>
        <v/>
      </c>
      <c r="I860" s="227"/>
      <c r="J860" s="227"/>
      <c r="K860" s="227"/>
      <c r="L860" s="227"/>
      <c r="M860" s="210" t="str">
        <f t="shared" si="237"/>
        <v/>
      </c>
      <c r="N860" s="210"/>
      <c r="O860" s="207"/>
      <c r="P860" s="182" t="str">
        <f t="shared" si="222"/>
        <v/>
      </c>
      <c r="Q860" s="183" t="str">
        <f t="shared" si="233"/>
        <v/>
      </c>
      <c r="R860" s="182" t="str">
        <f>IF(M860&lt;&gt;"",IF(#REF!*F860*10=0,"",#REF!*F860*10),"")</f>
        <v/>
      </c>
      <c r="S860" s="184" t="str">
        <f t="shared" si="234"/>
        <v/>
      </c>
      <c r="T860" s="185" t="str">
        <f t="shared" si="223"/>
        <v/>
      </c>
      <c r="U860" s="183" t="str">
        <f t="shared" si="235"/>
        <v/>
      </c>
      <c r="V860" s="186" t="str">
        <f t="shared" si="224"/>
        <v/>
      </c>
      <c r="W860" s="186" t="str">
        <f t="shared" si="225"/>
        <v/>
      </c>
      <c r="X860" s="187" t="str">
        <f t="shared" si="226"/>
        <v/>
      </c>
      <c r="Y860" s="182" t="str">
        <f t="shared" si="236"/>
        <v/>
      </c>
      <c r="Z860" s="209" t="str">
        <f t="shared" si="227"/>
        <v/>
      </c>
      <c r="AA860" s="209" t="str">
        <f t="shared" si="228"/>
        <v/>
      </c>
      <c r="AB860" s="200"/>
      <c r="AC860" s="192"/>
    </row>
    <row r="861" spans="1:29" ht="11.4">
      <c r="A861" s="211" t="str">
        <f t="shared" si="229"/>
        <v/>
      </c>
      <c r="B861" s="211"/>
      <c r="C861" s="215"/>
      <c r="D861" s="213" t="str">
        <f t="shared" si="230"/>
        <v/>
      </c>
      <c r="E861" s="213" t="str">
        <f t="shared" si="238"/>
        <v/>
      </c>
      <c r="F861" s="214" t="str">
        <f t="shared" si="231"/>
        <v/>
      </c>
      <c r="G861" s="180"/>
      <c r="H861" s="181" t="str">
        <f t="shared" si="232"/>
        <v/>
      </c>
      <c r="I861" s="227"/>
      <c r="J861" s="227"/>
      <c r="K861" s="227"/>
      <c r="L861" s="227"/>
      <c r="M861" s="210" t="str">
        <f t="shared" si="237"/>
        <v/>
      </c>
      <c r="N861" s="210"/>
      <c r="O861" s="207"/>
      <c r="P861" s="182" t="str">
        <f t="shared" si="222"/>
        <v/>
      </c>
      <c r="Q861" s="183" t="str">
        <f t="shared" si="233"/>
        <v/>
      </c>
      <c r="R861" s="182" t="str">
        <f>IF(M861&lt;&gt;"",IF(#REF!*F861*10=0,"",#REF!*F861*10),"")</f>
        <v/>
      </c>
      <c r="S861" s="184" t="str">
        <f t="shared" si="234"/>
        <v/>
      </c>
      <c r="T861" s="185" t="str">
        <f t="shared" si="223"/>
        <v/>
      </c>
      <c r="U861" s="183" t="str">
        <f t="shared" si="235"/>
        <v/>
      </c>
      <c r="V861" s="186" t="str">
        <f t="shared" si="224"/>
        <v/>
      </c>
      <c r="W861" s="186" t="str">
        <f t="shared" si="225"/>
        <v/>
      </c>
      <c r="X861" s="187" t="str">
        <f t="shared" si="226"/>
        <v/>
      </c>
      <c r="Y861" s="182" t="str">
        <f t="shared" si="236"/>
        <v/>
      </c>
      <c r="Z861" s="209" t="str">
        <f t="shared" si="227"/>
        <v/>
      </c>
      <c r="AA861" s="209" t="str">
        <f t="shared" si="228"/>
        <v/>
      </c>
      <c r="AB861" s="200"/>
      <c r="AC861" s="192"/>
    </row>
    <row r="862" spans="1:29" ht="11.4">
      <c r="A862" s="211" t="str">
        <f t="shared" si="229"/>
        <v/>
      </c>
      <c r="B862" s="211"/>
      <c r="C862" s="215"/>
      <c r="D862" s="213" t="str">
        <f t="shared" si="230"/>
        <v/>
      </c>
      <c r="E862" s="213" t="str">
        <f t="shared" si="238"/>
        <v/>
      </c>
      <c r="F862" s="214" t="str">
        <f t="shared" si="231"/>
        <v/>
      </c>
      <c r="G862" s="180"/>
      <c r="H862" s="181" t="str">
        <f t="shared" si="232"/>
        <v/>
      </c>
      <c r="I862" s="227"/>
      <c r="J862" s="227"/>
      <c r="K862" s="227"/>
      <c r="L862" s="227"/>
      <c r="M862" s="210" t="str">
        <f t="shared" si="237"/>
        <v/>
      </c>
      <c r="N862" s="210"/>
      <c r="O862" s="207"/>
      <c r="P862" s="182" t="str">
        <f t="shared" si="222"/>
        <v/>
      </c>
      <c r="Q862" s="183" t="str">
        <f t="shared" si="233"/>
        <v/>
      </c>
      <c r="R862" s="182" t="str">
        <f>IF(M862&lt;&gt;"",IF(#REF!*F862*10=0,"",#REF!*F862*10),"")</f>
        <v/>
      </c>
      <c r="S862" s="184" t="str">
        <f t="shared" si="234"/>
        <v/>
      </c>
      <c r="T862" s="185" t="str">
        <f t="shared" si="223"/>
        <v/>
      </c>
      <c r="U862" s="183" t="str">
        <f t="shared" si="235"/>
        <v/>
      </c>
      <c r="V862" s="186" t="str">
        <f t="shared" si="224"/>
        <v/>
      </c>
      <c r="W862" s="186" t="str">
        <f t="shared" si="225"/>
        <v/>
      </c>
      <c r="X862" s="187" t="str">
        <f t="shared" si="226"/>
        <v/>
      </c>
      <c r="Y862" s="182" t="str">
        <f t="shared" si="236"/>
        <v/>
      </c>
      <c r="Z862" s="209" t="str">
        <f t="shared" si="227"/>
        <v/>
      </c>
      <c r="AA862" s="209" t="str">
        <f t="shared" si="228"/>
        <v/>
      </c>
      <c r="AB862" s="200"/>
      <c r="AC862" s="192"/>
    </row>
    <row r="863" spans="1:29" ht="11.4">
      <c r="A863" s="211" t="str">
        <f t="shared" si="229"/>
        <v/>
      </c>
      <c r="B863" s="211"/>
      <c r="C863" s="215"/>
      <c r="D863" s="213" t="str">
        <f t="shared" si="230"/>
        <v/>
      </c>
      <c r="E863" s="213" t="str">
        <f t="shared" si="238"/>
        <v/>
      </c>
      <c r="F863" s="214" t="str">
        <f t="shared" si="231"/>
        <v/>
      </c>
      <c r="G863" s="180"/>
      <c r="H863" s="181" t="str">
        <f t="shared" si="232"/>
        <v/>
      </c>
      <c r="I863" s="227"/>
      <c r="J863" s="227"/>
      <c r="K863" s="227"/>
      <c r="L863" s="227"/>
      <c r="M863" s="210" t="str">
        <f t="shared" si="237"/>
        <v/>
      </c>
      <c r="N863" s="210"/>
      <c r="O863" s="207"/>
      <c r="P863" s="182" t="str">
        <f t="shared" si="222"/>
        <v/>
      </c>
      <c r="Q863" s="183" t="str">
        <f t="shared" si="233"/>
        <v/>
      </c>
      <c r="R863" s="182" t="str">
        <f>IF(M863&lt;&gt;"",IF(#REF!*F863*10=0,"",#REF!*F863*10),"")</f>
        <v/>
      </c>
      <c r="S863" s="184" t="str">
        <f t="shared" si="234"/>
        <v/>
      </c>
      <c r="T863" s="185" t="str">
        <f t="shared" si="223"/>
        <v/>
      </c>
      <c r="U863" s="183" t="str">
        <f t="shared" si="235"/>
        <v/>
      </c>
      <c r="V863" s="186" t="str">
        <f t="shared" si="224"/>
        <v/>
      </c>
      <c r="W863" s="186" t="str">
        <f t="shared" si="225"/>
        <v/>
      </c>
      <c r="X863" s="187" t="str">
        <f t="shared" si="226"/>
        <v/>
      </c>
      <c r="Y863" s="182" t="str">
        <f t="shared" si="236"/>
        <v/>
      </c>
      <c r="Z863" s="209" t="str">
        <f t="shared" si="227"/>
        <v/>
      </c>
      <c r="AA863" s="209" t="str">
        <f t="shared" si="228"/>
        <v/>
      </c>
      <c r="AB863" s="200"/>
      <c r="AC863" s="192"/>
    </row>
    <row r="864" spans="1:29" ht="11.4">
      <c r="A864" s="211" t="str">
        <f t="shared" si="229"/>
        <v/>
      </c>
      <c r="B864" s="211"/>
      <c r="C864" s="215"/>
      <c r="D864" s="213" t="str">
        <f t="shared" si="230"/>
        <v/>
      </c>
      <c r="E864" s="213" t="str">
        <f t="shared" si="238"/>
        <v/>
      </c>
      <c r="F864" s="214" t="str">
        <f t="shared" si="231"/>
        <v/>
      </c>
      <c r="G864" s="180"/>
      <c r="H864" s="181" t="str">
        <f t="shared" si="232"/>
        <v/>
      </c>
      <c r="I864" s="227"/>
      <c r="J864" s="227"/>
      <c r="K864" s="227"/>
      <c r="L864" s="227"/>
      <c r="M864" s="210" t="str">
        <f t="shared" si="237"/>
        <v/>
      </c>
      <c r="N864" s="210"/>
      <c r="O864" s="207"/>
      <c r="P864" s="182" t="str">
        <f t="shared" si="222"/>
        <v/>
      </c>
      <c r="Q864" s="183" t="str">
        <f t="shared" si="233"/>
        <v/>
      </c>
      <c r="R864" s="182" t="str">
        <f>IF(M864&lt;&gt;"",IF(#REF!*F864*10=0,"",#REF!*F864*10),"")</f>
        <v/>
      </c>
      <c r="S864" s="184" t="str">
        <f t="shared" si="234"/>
        <v/>
      </c>
      <c r="T864" s="185" t="str">
        <f t="shared" si="223"/>
        <v/>
      </c>
      <c r="U864" s="183" t="str">
        <f t="shared" si="235"/>
        <v/>
      </c>
      <c r="V864" s="186" t="str">
        <f t="shared" si="224"/>
        <v/>
      </c>
      <c r="W864" s="186" t="str">
        <f t="shared" si="225"/>
        <v/>
      </c>
      <c r="X864" s="187" t="str">
        <f t="shared" si="226"/>
        <v/>
      </c>
      <c r="Y864" s="182" t="str">
        <f t="shared" si="236"/>
        <v/>
      </c>
      <c r="Z864" s="209" t="str">
        <f t="shared" si="227"/>
        <v/>
      </c>
      <c r="AA864" s="209" t="str">
        <f t="shared" si="228"/>
        <v/>
      </c>
      <c r="AB864" s="200"/>
      <c r="AC864" s="192"/>
    </row>
    <row r="865" spans="1:29" ht="11.4">
      <c r="A865" s="211" t="str">
        <f t="shared" si="229"/>
        <v/>
      </c>
      <c r="B865" s="211"/>
      <c r="C865" s="215"/>
      <c r="D865" s="213" t="str">
        <f t="shared" si="230"/>
        <v/>
      </c>
      <c r="E865" s="213" t="str">
        <f t="shared" si="238"/>
        <v/>
      </c>
      <c r="F865" s="214" t="str">
        <f t="shared" si="231"/>
        <v/>
      </c>
      <c r="G865" s="180"/>
      <c r="H865" s="181" t="str">
        <f t="shared" si="232"/>
        <v/>
      </c>
      <c r="I865" s="227"/>
      <c r="J865" s="227"/>
      <c r="K865" s="227"/>
      <c r="L865" s="227"/>
      <c r="M865" s="210" t="str">
        <f t="shared" si="237"/>
        <v/>
      </c>
      <c r="N865" s="210"/>
      <c r="O865" s="207"/>
      <c r="P865" s="182" t="str">
        <f t="shared" si="222"/>
        <v/>
      </c>
      <c r="Q865" s="183" t="str">
        <f t="shared" si="233"/>
        <v/>
      </c>
      <c r="R865" s="182" t="str">
        <f>IF(M865&lt;&gt;"",IF(#REF!*F865*10=0,"",#REF!*F865*10),"")</f>
        <v/>
      </c>
      <c r="S865" s="184" t="str">
        <f t="shared" si="234"/>
        <v/>
      </c>
      <c r="T865" s="185" t="str">
        <f t="shared" si="223"/>
        <v/>
      </c>
      <c r="U865" s="183" t="str">
        <f t="shared" si="235"/>
        <v/>
      </c>
      <c r="V865" s="186" t="str">
        <f t="shared" si="224"/>
        <v/>
      </c>
      <c r="W865" s="186" t="str">
        <f t="shared" si="225"/>
        <v/>
      </c>
      <c r="X865" s="187" t="str">
        <f t="shared" si="226"/>
        <v/>
      </c>
      <c r="Y865" s="182" t="str">
        <f t="shared" si="236"/>
        <v/>
      </c>
      <c r="Z865" s="209" t="str">
        <f t="shared" si="227"/>
        <v/>
      </c>
      <c r="AA865" s="209" t="str">
        <f t="shared" si="228"/>
        <v/>
      </c>
      <c r="AB865" s="200"/>
      <c r="AC865" s="192"/>
    </row>
    <row r="866" spans="1:29" ht="11.4">
      <c r="A866" s="211" t="str">
        <f t="shared" si="229"/>
        <v/>
      </c>
      <c r="B866" s="211"/>
      <c r="C866" s="215"/>
      <c r="D866" s="213" t="str">
        <f t="shared" si="230"/>
        <v/>
      </c>
      <c r="E866" s="213" t="str">
        <f t="shared" si="238"/>
        <v/>
      </c>
      <c r="F866" s="214" t="str">
        <f t="shared" si="231"/>
        <v/>
      </c>
      <c r="G866" s="180"/>
      <c r="H866" s="181" t="str">
        <f t="shared" si="232"/>
        <v/>
      </c>
      <c r="I866" s="227"/>
      <c r="J866" s="227"/>
      <c r="K866" s="227"/>
      <c r="L866" s="227"/>
      <c r="M866" s="210" t="str">
        <f t="shared" si="237"/>
        <v/>
      </c>
      <c r="N866" s="210"/>
      <c r="O866" s="207"/>
      <c r="P866" s="182" t="str">
        <f t="shared" si="222"/>
        <v/>
      </c>
      <c r="Q866" s="183" t="str">
        <f t="shared" si="233"/>
        <v/>
      </c>
      <c r="R866" s="182" t="str">
        <f>IF(M866&lt;&gt;"",IF(#REF!*F866*10=0,"",#REF!*F866*10),"")</f>
        <v/>
      </c>
      <c r="S866" s="184" t="str">
        <f t="shared" si="234"/>
        <v/>
      </c>
      <c r="T866" s="185" t="str">
        <f t="shared" si="223"/>
        <v/>
      </c>
      <c r="U866" s="183" t="str">
        <f t="shared" si="235"/>
        <v/>
      </c>
      <c r="V866" s="186" t="str">
        <f t="shared" si="224"/>
        <v/>
      </c>
      <c r="W866" s="186" t="str">
        <f t="shared" si="225"/>
        <v/>
      </c>
      <c r="X866" s="187" t="str">
        <f t="shared" si="226"/>
        <v/>
      </c>
      <c r="Y866" s="182" t="str">
        <f t="shared" si="236"/>
        <v/>
      </c>
      <c r="Z866" s="209" t="str">
        <f t="shared" si="227"/>
        <v/>
      </c>
      <c r="AA866" s="209" t="str">
        <f t="shared" si="228"/>
        <v/>
      </c>
      <c r="AB866" s="200"/>
      <c r="AC866" s="192"/>
    </row>
    <row r="867" spans="1:29" ht="11.4">
      <c r="A867" s="211" t="str">
        <f t="shared" si="229"/>
        <v/>
      </c>
      <c r="B867" s="211"/>
      <c r="C867" s="215"/>
      <c r="D867" s="213" t="str">
        <f t="shared" si="230"/>
        <v/>
      </c>
      <c r="E867" s="213" t="str">
        <f t="shared" si="238"/>
        <v/>
      </c>
      <c r="F867" s="214" t="str">
        <f t="shared" si="231"/>
        <v/>
      </c>
      <c r="G867" s="180"/>
      <c r="H867" s="181" t="str">
        <f t="shared" si="232"/>
        <v/>
      </c>
      <c r="I867" s="227"/>
      <c r="J867" s="227"/>
      <c r="K867" s="227"/>
      <c r="L867" s="227"/>
      <c r="M867" s="210" t="str">
        <f t="shared" si="237"/>
        <v/>
      </c>
      <c r="N867" s="210"/>
      <c r="O867" s="207"/>
      <c r="P867" s="182" t="str">
        <f t="shared" si="222"/>
        <v/>
      </c>
      <c r="Q867" s="183" t="str">
        <f t="shared" si="233"/>
        <v/>
      </c>
      <c r="R867" s="182" t="str">
        <f>IF(M867&lt;&gt;"",IF(#REF!*F867*10=0,"",#REF!*F867*10),"")</f>
        <v/>
      </c>
      <c r="S867" s="184" t="str">
        <f t="shared" si="234"/>
        <v/>
      </c>
      <c r="T867" s="185" t="str">
        <f t="shared" si="223"/>
        <v/>
      </c>
      <c r="U867" s="183" t="str">
        <f t="shared" si="235"/>
        <v/>
      </c>
      <c r="V867" s="186" t="str">
        <f t="shared" si="224"/>
        <v/>
      </c>
      <c r="W867" s="186" t="str">
        <f t="shared" si="225"/>
        <v/>
      </c>
      <c r="X867" s="187" t="str">
        <f t="shared" si="226"/>
        <v/>
      </c>
      <c r="Y867" s="182" t="str">
        <f t="shared" si="236"/>
        <v/>
      </c>
      <c r="Z867" s="209" t="str">
        <f t="shared" si="227"/>
        <v/>
      </c>
      <c r="AA867" s="209" t="str">
        <f t="shared" si="228"/>
        <v/>
      </c>
      <c r="AB867" s="200"/>
      <c r="AC867" s="192"/>
    </row>
    <row r="868" spans="1:29" ht="11.4">
      <c r="A868" s="211" t="str">
        <f t="shared" si="229"/>
        <v/>
      </c>
      <c r="B868" s="211"/>
      <c r="C868" s="215"/>
      <c r="D868" s="213" t="str">
        <f t="shared" si="230"/>
        <v/>
      </c>
      <c r="E868" s="213" t="str">
        <f t="shared" si="238"/>
        <v/>
      </c>
      <c r="F868" s="214" t="str">
        <f t="shared" si="231"/>
        <v/>
      </c>
      <c r="G868" s="180"/>
      <c r="H868" s="181" t="str">
        <f t="shared" si="232"/>
        <v/>
      </c>
      <c r="I868" s="227"/>
      <c r="J868" s="227"/>
      <c r="K868" s="227"/>
      <c r="L868" s="227"/>
      <c r="M868" s="210" t="str">
        <f t="shared" si="237"/>
        <v/>
      </c>
      <c r="N868" s="210"/>
      <c r="O868" s="207"/>
      <c r="P868" s="182" t="str">
        <f t="shared" si="222"/>
        <v/>
      </c>
      <c r="Q868" s="183" t="str">
        <f t="shared" si="233"/>
        <v/>
      </c>
      <c r="R868" s="182" t="str">
        <f>IF(M868&lt;&gt;"",IF(#REF!*F868*10=0,"",#REF!*F868*10),"")</f>
        <v/>
      </c>
      <c r="S868" s="184" t="str">
        <f t="shared" si="234"/>
        <v/>
      </c>
      <c r="T868" s="185" t="str">
        <f t="shared" si="223"/>
        <v/>
      </c>
      <c r="U868" s="183" t="str">
        <f t="shared" si="235"/>
        <v/>
      </c>
      <c r="V868" s="186" t="str">
        <f t="shared" si="224"/>
        <v/>
      </c>
      <c r="W868" s="186" t="str">
        <f t="shared" si="225"/>
        <v/>
      </c>
      <c r="X868" s="187" t="str">
        <f t="shared" si="226"/>
        <v/>
      </c>
      <c r="Y868" s="182" t="str">
        <f t="shared" si="236"/>
        <v/>
      </c>
      <c r="Z868" s="209" t="str">
        <f t="shared" si="227"/>
        <v/>
      </c>
      <c r="AA868" s="209" t="str">
        <f t="shared" si="228"/>
        <v/>
      </c>
      <c r="AB868" s="200"/>
      <c r="AC868" s="192"/>
    </row>
    <row r="869" spans="1:29" ht="11.4">
      <c r="A869" s="211" t="str">
        <f t="shared" si="229"/>
        <v/>
      </c>
      <c r="B869" s="211"/>
      <c r="C869" s="215"/>
      <c r="D869" s="213" t="str">
        <f t="shared" si="230"/>
        <v/>
      </c>
      <c r="E869" s="213" t="str">
        <f t="shared" si="238"/>
        <v/>
      </c>
      <c r="F869" s="214" t="str">
        <f t="shared" si="231"/>
        <v/>
      </c>
      <c r="G869" s="180"/>
      <c r="H869" s="181" t="str">
        <f t="shared" si="232"/>
        <v/>
      </c>
      <c r="I869" s="227"/>
      <c r="J869" s="227"/>
      <c r="K869" s="227"/>
      <c r="L869" s="227"/>
      <c r="M869" s="210" t="str">
        <f t="shared" si="237"/>
        <v/>
      </c>
      <c r="N869" s="210"/>
      <c r="O869" s="207"/>
      <c r="P869" s="182" t="str">
        <f t="shared" si="222"/>
        <v/>
      </c>
      <c r="Q869" s="183" t="str">
        <f t="shared" si="233"/>
        <v/>
      </c>
      <c r="R869" s="182" t="str">
        <f>IF(M869&lt;&gt;"",IF(#REF!*F869*10=0,"",#REF!*F869*10),"")</f>
        <v/>
      </c>
      <c r="S869" s="184" t="str">
        <f t="shared" si="234"/>
        <v/>
      </c>
      <c r="T869" s="185" t="str">
        <f t="shared" si="223"/>
        <v/>
      </c>
      <c r="U869" s="183" t="str">
        <f t="shared" si="235"/>
        <v/>
      </c>
      <c r="V869" s="186" t="str">
        <f t="shared" si="224"/>
        <v/>
      </c>
      <c r="W869" s="186" t="str">
        <f t="shared" si="225"/>
        <v/>
      </c>
      <c r="X869" s="187" t="str">
        <f t="shared" si="226"/>
        <v/>
      </c>
      <c r="Y869" s="182" t="str">
        <f t="shared" si="236"/>
        <v/>
      </c>
      <c r="Z869" s="209" t="str">
        <f t="shared" si="227"/>
        <v/>
      </c>
      <c r="AA869" s="209" t="str">
        <f t="shared" si="228"/>
        <v/>
      </c>
      <c r="AB869" s="200"/>
      <c r="AC869" s="192"/>
    </row>
    <row r="870" spans="1:29" ht="11.4">
      <c r="A870" s="211" t="str">
        <f t="shared" si="229"/>
        <v/>
      </c>
      <c r="B870" s="211"/>
      <c r="C870" s="215"/>
      <c r="D870" s="213" t="str">
        <f t="shared" si="230"/>
        <v/>
      </c>
      <c r="E870" s="213" t="str">
        <f t="shared" si="238"/>
        <v/>
      </c>
      <c r="F870" s="214" t="str">
        <f t="shared" si="231"/>
        <v/>
      </c>
      <c r="G870" s="180"/>
      <c r="H870" s="181" t="str">
        <f t="shared" si="232"/>
        <v/>
      </c>
      <c r="I870" s="227"/>
      <c r="J870" s="227"/>
      <c r="K870" s="227"/>
      <c r="L870" s="227"/>
      <c r="M870" s="210" t="str">
        <f t="shared" si="237"/>
        <v/>
      </c>
      <c r="N870" s="210"/>
      <c r="O870" s="207"/>
      <c r="P870" s="182" t="str">
        <f t="shared" si="222"/>
        <v/>
      </c>
      <c r="Q870" s="183" t="str">
        <f t="shared" si="233"/>
        <v/>
      </c>
      <c r="R870" s="182" t="str">
        <f>IF(M870&lt;&gt;"",IF(#REF!*F870*10=0,"",#REF!*F870*10),"")</f>
        <v/>
      </c>
      <c r="S870" s="184" t="str">
        <f t="shared" si="234"/>
        <v/>
      </c>
      <c r="T870" s="185" t="str">
        <f t="shared" si="223"/>
        <v/>
      </c>
      <c r="U870" s="183" t="str">
        <f t="shared" si="235"/>
        <v/>
      </c>
      <c r="V870" s="186" t="str">
        <f t="shared" si="224"/>
        <v/>
      </c>
      <c r="W870" s="186" t="str">
        <f t="shared" si="225"/>
        <v/>
      </c>
      <c r="X870" s="187" t="str">
        <f t="shared" si="226"/>
        <v/>
      </c>
      <c r="Y870" s="182" t="str">
        <f t="shared" si="236"/>
        <v/>
      </c>
      <c r="Z870" s="209" t="str">
        <f t="shared" si="227"/>
        <v/>
      </c>
      <c r="AA870" s="209" t="str">
        <f t="shared" si="228"/>
        <v/>
      </c>
      <c r="AB870" s="200"/>
      <c r="AC870" s="192"/>
    </row>
    <row r="871" spans="1:29" ht="11.4">
      <c r="A871" s="211" t="str">
        <f t="shared" si="229"/>
        <v/>
      </c>
      <c r="B871" s="211"/>
      <c r="C871" s="215"/>
      <c r="D871" s="213" t="str">
        <f t="shared" si="230"/>
        <v/>
      </c>
      <c r="E871" s="213" t="str">
        <f t="shared" si="238"/>
        <v/>
      </c>
      <c r="F871" s="214" t="str">
        <f t="shared" si="231"/>
        <v/>
      </c>
      <c r="G871" s="180"/>
      <c r="H871" s="181" t="str">
        <f t="shared" si="232"/>
        <v/>
      </c>
      <c r="I871" s="227"/>
      <c r="J871" s="227"/>
      <c r="K871" s="227"/>
      <c r="L871" s="227"/>
      <c r="M871" s="210" t="str">
        <f t="shared" si="237"/>
        <v/>
      </c>
      <c r="N871" s="210"/>
      <c r="O871" s="207"/>
      <c r="P871" s="182" t="str">
        <f t="shared" si="222"/>
        <v/>
      </c>
      <c r="Q871" s="183" t="str">
        <f t="shared" si="233"/>
        <v/>
      </c>
      <c r="R871" s="182" t="str">
        <f>IF(M871&lt;&gt;"",IF(#REF!*F871*10=0,"",#REF!*F871*10),"")</f>
        <v/>
      </c>
      <c r="S871" s="184" t="str">
        <f t="shared" si="234"/>
        <v/>
      </c>
      <c r="T871" s="185" t="str">
        <f t="shared" si="223"/>
        <v/>
      </c>
      <c r="U871" s="183" t="str">
        <f t="shared" si="235"/>
        <v/>
      </c>
      <c r="V871" s="186" t="str">
        <f t="shared" si="224"/>
        <v/>
      </c>
      <c r="W871" s="186" t="str">
        <f t="shared" si="225"/>
        <v/>
      </c>
      <c r="X871" s="187" t="str">
        <f t="shared" si="226"/>
        <v/>
      </c>
      <c r="Y871" s="182" t="str">
        <f t="shared" si="236"/>
        <v/>
      </c>
      <c r="Z871" s="209" t="str">
        <f t="shared" si="227"/>
        <v/>
      </c>
      <c r="AA871" s="209" t="str">
        <f t="shared" si="228"/>
        <v/>
      </c>
      <c r="AB871" s="200"/>
      <c r="AC871" s="192"/>
    </row>
    <row r="872" spans="1:29" ht="11.4">
      <c r="A872" s="211" t="str">
        <f t="shared" si="229"/>
        <v/>
      </c>
      <c r="B872" s="211"/>
      <c r="C872" s="215"/>
      <c r="D872" s="213" t="str">
        <f t="shared" si="230"/>
        <v/>
      </c>
      <c r="E872" s="213" t="str">
        <f t="shared" si="238"/>
        <v/>
      </c>
      <c r="F872" s="214" t="str">
        <f t="shared" si="231"/>
        <v/>
      </c>
      <c r="G872" s="180"/>
      <c r="H872" s="181" t="str">
        <f t="shared" si="232"/>
        <v/>
      </c>
      <c r="I872" s="227"/>
      <c r="J872" s="227"/>
      <c r="K872" s="227"/>
      <c r="L872" s="227"/>
      <c r="M872" s="210" t="str">
        <f t="shared" si="237"/>
        <v/>
      </c>
      <c r="N872" s="210"/>
      <c r="O872" s="207"/>
      <c r="P872" s="182" t="str">
        <f t="shared" si="222"/>
        <v/>
      </c>
      <c r="Q872" s="183" t="str">
        <f t="shared" si="233"/>
        <v/>
      </c>
      <c r="R872" s="182" t="str">
        <f>IF(M872&lt;&gt;"",IF(#REF!*F872*10=0,"",#REF!*F872*10),"")</f>
        <v/>
      </c>
      <c r="S872" s="184" t="str">
        <f t="shared" si="234"/>
        <v/>
      </c>
      <c r="T872" s="185" t="str">
        <f t="shared" si="223"/>
        <v/>
      </c>
      <c r="U872" s="183" t="str">
        <f t="shared" si="235"/>
        <v/>
      </c>
      <c r="V872" s="186" t="str">
        <f t="shared" si="224"/>
        <v/>
      </c>
      <c r="W872" s="186" t="str">
        <f t="shared" si="225"/>
        <v/>
      </c>
      <c r="X872" s="187" t="str">
        <f t="shared" si="226"/>
        <v/>
      </c>
      <c r="Y872" s="182" t="str">
        <f t="shared" si="236"/>
        <v/>
      </c>
      <c r="Z872" s="209" t="str">
        <f t="shared" si="227"/>
        <v/>
      </c>
      <c r="AA872" s="209" t="str">
        <f t="shared" si="228"/>
        <v/>
      </c>
      <c r="AB872" s="200"/>
      <c r="AC872" s="192"/>
    </row>
    <row r="873" spans="1:29" ht="11.4">
      <c r="A873" s="211" t="str">
        <f t="shared" si="229"/>
        <v/>
      </c>
      <c r="B873" s="211"/>
      <c r="C873" s="215"/>
      <c r="D873" s="213" t="str">
        <f t="shared" si="230"/>
        <v/>
      </c>
      <c r="E873" s="213" t="str">
        <f t="shared" si="238"/>
        <v/>
      </c>
      <c r="F873" s="214" t="str">
        <f t="shared" si="231"/>
        <v/>
      </c>
      <c r="G873" s="180"/>
      <c r="H873" s="181" t="str">
        <f t="shared" si="232"/>
        <v/>
      </c>
      <c r="I873" s="227"/>
      <c r="J873" s="227"/>
      <c r="K873" s="227"/>
      <c r="L873" s="227"/>
      <c r="M873" s="210" t="str">
        <f t="shared" si="237"/>
        <v/>
      </c>
      <c r="N873" s="210"/>
      <c r="O873" s="207"/>
      <c r="P873" s="182" t="str">
        <f t="shared" si="222"/>
        <v/>
      </c>
      <c r="Q873" s="183" t="str">
        <f t="shared" si="233"/>
        <v/>
      </c>
      <c r="R873" s="182" t="str">
        <f>IF(M873&lt;&gt;"",IF(#REF!*F873*10=0,"",#REF!*F873*10),"")</f>
        <v/>
      </c>
      <c r="S873" s="184" t="str">
        <f t="shared" si="234"/>
        <v/>
      </c>
      <c r="T873" s="185" t="str">
        <f t="shared" si="223"/>
        <v/>
      </c>
      <c r="U873" s="183" t="str">
        <f t="shared" si="235"/>
        <v/>
      </c>
      <c r="V873" s="186" t="str">
        <f t="shared" si="224"/>
        <v/>
      </c>
      <c r="W873" s="186" t="str">
        <f t="shared" si="225"/>
        <v/>
      </c>
      <c r="X873" s="187" t="str">
        <f t="shared" si="226"/>
        <v/>
      </c>
      <c r="Y873" s="182" t="str">
        <f t="shared" si="236"/>
        <v/>
      </c>
      <c r="Z873" s="209" t="str">
        <f t="shared" si="227"/>
        <v/>
      </c>
      <c r="AA873" s="209" t="str">
        <f t="shared" si="228"/>
        <v/>
      </c>
      <c r="AB873" s="200"/>
      <c r="AC873" s="192"/>
    </row>
    <row r="874" spans="1:29" ht="11.4">
      <c r="A874" s="211" t="str">
        <f t="shared" si="229"/>
        <v/>
      </c>
      <c r="B874" s="211"/>
      <c r="C874" s="215"/>
      <c r="D874" s="213" t="str">
        <f t="shared" si="230"/>
        <v/>
      </c>
      <c r="E874" s="213" t="str">
        <f t="shared" si="238"/>
        <v/>
      </c>
      <c r="F874" s="214" t="str">
        <f t="shared" si="231"/>
        <v/>
      </c>
      <c r="G874" s="180"/>
      <c r="H874" s="181" t="str">
        <f t="shared" si="232"/>
        <v/>
      </c>
      <c r="I874" s="227"/>
      <c r="J874" s="227"/>
      <c r="K874" s="227"/>
      <c r="L874" s="227"/>
      <c r="M874" s="210" t="str">
        <f t="shared" si="237"/>
        <v/>
      </c>
      <c r="N874" s="210"/>
      <c r="O874" s="207"/>
      <c r="P874" s="182" t="str">
        <f t="shared" si="222"/>
        <v/>
      </c>
      <c r="Q874" s="183" t="str">
        <f t="shared" si="233"/>
        <v/>
      </c>
      <c r="R874" s="182" t="str">
        <f>IF(M874&lt;&gt;"",IF(#REF!*F874*10=0,"",#REF!*F874*10),"")</f>
        <v/>
      </c>
      <c r="S874" s="184" t="str">
        <f t="shared" si="234"/>
        <v/>
      </c>
      <c r="T874" s="185" t="str">
        <f t="shared" si="223"/>
        <v/>
      </c>
      <c r="U874" s="183" t="str">
        <f t="shared" si="235"/>
        <v/>
      </c>
      <c r="V874" s="186" t="str">
        <f t="shared" si="224"/>
        <v/>
      </c>
      <c r="W874" s="186" t="str">
        <f t="shared" si="225"/>
        <v/>
      </c>
      <c r="X874" s="187" t="str">
        <f t="shared" si="226"/>
        <v/>
      </c>
      <c r="Y874" s="182" t="str">
        <f t="shared" si="236"/>
        <v/>
      </c>
      <c r="Z874" s="209" t="str">
        <f t="shared" si="227"/>
        <v/>
      </c>
      <c r="AA874" s="209" t="str">
        <f t="shared" si="228"/>
        <v/>
      </c>
      <c r="AB874" s="200"/>
      <c r="AC874" s="192"/>
    </row>
    <row r="875" spans="1:29" ht="11.4">
      <c r="A875" s="211" t="str">
        <f t="shared" si="229"/>
        <v/>
      </c>
      <c r="B875" s="211"/>
      <c r="C875" s="215"/>
      <c r="D875" s="213" t="str">
        <f t="shared" si="230"/>
        <v/>
      </c>
      <c r="E875" s="213" t="str">
        <f t="shared" si="238"/>
        <v/>
      </c>
      <c r="F875" s="214" t="str">
        <f t="shared" si="231"/>
        <v/>
      </c>
      <c r="G875" s="180"/>
      <c r="H875" s="181" t="str">
        <f t="shared" si="232"/>
        <v/>
      </c>
      <c r="I875" s="227"/>
      <c r="J875" s="227"/>
      <c r="K875" s="227"/>
      <c r="L875" s="227"/>
      <c r="M875" s="210" t="str">
        <f t="shared" si="237"/>
        <v/>
      </c>
      <c r="N875" s="210"/>
      <c r="O875" s="207"/>
      <c r="P875" s="182" t="str">
        <f t="shared" si="222"/>
        <v/>
      </c>
      <c r="Q875" s="183" t="str">
        <f t="shared" si="233"/>
        <v/>
      </c>
      <c r="R875" s="182" t="str">
        <f>IF(M875&lt;&gt;"",IF(#REF!*F875*10=0,"",#REF!*F875*10),"")</f>
        <v/>
      </c>
      <c r="S875" s="184" t="str">
        <f t="shared" si="234"/>
        <v/>
      </c>
      <c r="T875" s="185" t="str">
        <f t="shared" si="223"/>
        <v/>
      </c>
      <c r="U875" s="183" t="str">
        <f t="shared" si="235"/>
        <v/>
      </c>
      <c r="V875" s="186" t="str">
        <f t="shared" si="224"/>
        <v/>
      </c>
      <c r="W875" s="186" t="str">
        <f t="shared" si="225"/>
        <v/>
      </c>
      <c r="X875" s="187" t="str">
        <f t="shared" si="226"/>
        <v/>
      </c>
      <c r="Y875" s="182" t="str">
        <f t="shared" si="236"/>
        <v/>
      </c>
      <c r="Z875" s="209" t="str">
        <f t="shared" si="227"/>
        <v/>
      </c>
      <c r="AA875" s="209" t="str">
        <f t="shared" si="228"/>
        <v/>
      </c>
      <c r="AB875" s="200"/>
      <c r="AC875" s="192"/>
    </row>
    <row r="876" spans="1:29" ht="11.4">
      <c r="A876" s="211" t="str">
        <f t="shared" si="229"/>
        <v/>
      </c>
      <c r="B876" s="211"/>
      <c r="C876" s="215"/>
      <c r="D876" s="213" t="str">
        <f t="shared" si="230"/>
        <v/>
      </c>
      <c r="E876" s="213" t="str">
        <f t="shared" si="238"/>
        <v/>
      </c>
      <c r="F876" s="214" t="str">
        <f t="shared" si="231"/>
        <v/>
      </c>
      <c r="G876" s="180"/>
      <c r="H876" s="181" t="str">
        <f t="shared" si="232"/>
        <v/>
      </c>
      <c r="I876" s="227"/>
      <c r="J876" s="227"/>
      <c r="K876" s="227"/>
      <c r="L876" s="227"/>
      <c r="M876" s="210" t="str">
        <f t="shared" si="237"/>
        <v/>
      </c>
      <c r="N876" s="210"/>
      <c r="O876" s="207"/>
      <c r="P876" s="182" t="str">
        <f t="shared" si="222"/>
        <v/>
      </c>
      <c r="Q876" s="183" t="str">
        <f t="shared" si="233"/>
        <v/>
      </c>
      <c r="R876" s="182" t="str">
        <f>IF(M876&lt;&gt;"",IF(#REF!*F876*10=0,"",#REF!*F876*10),"")</f>
        <v/>
      </c>
      <c r="S876" s="184" t="str">
        <f t="shared" si="234"/>
        <v/>
      </c>
      <c r="T876" s="185" t="str">
        <f t="shared" si="223"/>
        <v/>
      </c>
      <c r="U876" s="183" t="str">
        <f t="shared" si="235"/>
        <v/>
      </c>
      <c r="V876" s="186" t="str">
        <f t="shared" si="224"/>
        <v/>
      </c>
      <c r="W876" s="186" t="str">
        <f t="shared" si="225"/>
        <v/>
      </c>
      <c r="X876" s="187" t="str">
        <f t="shared" si="226"/>
        <v/>
      </c>
      <c r="Y876" s="182" t="str">
        <f t="shared" si="236"/>
        <v/>
      </c>
      <c r="Z876" s="209" t="str">
        <f t="shared" si="227"/>
        <v/>
      </c>
      <c r="AA876" s="209" t="str">
        <f t="shared" si="228"/>
        <v/>
      </c>
      <c r="AB876" s="200"/>
      <c r="AC876" s="192"/>
    </row>
    <row r="877" spans="1:29" ht="11.4">
      <c r="A877" s="211" t="str">
        <f t="shared" si="229"/>
        <v/>
      </c>
      <c r="B877" s="211"/>
      <c r="C877" s="215"/>
      <c r="D877" s="213" t="str">
        <f t="shared" si="230"/>
        <v/>
      </c>
      <c r="E877" s="213" t="str">
        <f t="shared" si="238"/>
        <v/>
      </c>
      <c r="F877" s="214" t="str">
        <f t="shared" si="231"/>
        <v/>
      </c>
      <c r="G877" s="180"/>
      <c r="H877" s="181" t="str">
        <f t="shared" si="232"/>
        <v/>
      </c>
      <c r="I877" s="227"/>
      <c r="J877" s="227"/>
      <c r="K877" s="227"/>
      <c r="L877" s="227"/>
      <c r="M877" s="210" t="str">
        <f t="shared" si="237"/>
        <v/>
      </c>
      <c r="N877" s="210"/>
      <c r="O877" s="207"/>
      <c r="P877" s="182" t="str">
        <f t="shared" si="222"/>
        <v/>
      </c>
      <c r="Q877" s="183" t="str">
        <f t="shared" si="233"/>
        <v/>
      </c>
      <c r="R877" s="182" t="str">
        <f>IF(M877&lt;&gt;"",IF(#REF!*F877*10=0,"",#REF!*F877*10),"")</f>
        <v/>
      </c>
      <c r="S877" s="184" t="str">
        <f t="shared" si="234"/>
        <v/>
      </c>
      <c r="T877" s="185" t="str">
        <f t="shared" si="223"/>
        <v/>
      </c>
      <c r="U877" s="183" t="str">
        <f t="shared" si="235"/>
        <v/>
      </c>
      <c r="V877" s="186" t="str">
        <f t="shared" si="224"/>
        <v/>
      </c>
      <c r="W877" s="186" t="str">
        <f t="shared" si="225"/>
        <v/>
      </c>
      <c r="X877" s="187" t="str">
        <f t="shared" si="226"/>
        <v/>
      </c>
      <c r="Y877" s="182" t="str">
        <f t="shared" si="236"/>
        <v/>
      </c>
      <c r="Z877" s="209" t="str">
        <f t="shared" si="227"/>
        <v/>
      </c>
      <c r="AA877" s="209" t="str">
        <f t="shared" si="228"/>
        <v/>
      </c>
      <c r="AB877" s="200"/>
      <c r="AC877" s="192"/>
    </row>
    <row r="878" spans="1:29" ht="11.4">
      <c r="A878" s="211" t="str">
        <f t="shared" si="229"/>
        <v/>
      </c>
      <c r="B878" s="211"/>
      <c r="C878" s="215"/>
      <c r="D878" s="213" t="str">
        <f t="shared" si="230"/>
        <v/>
      </c>
      <c r="E878" s="213" t="str">
        <f t="shared" si="238"/>
        <v/>
      </c>
      <c r="F878" s="214" t="str">
        <f t="shared" si="231"/>
        <v/>
      </c>
      <c r="G878" s="180"/>
      <c r="H878" s="181" t="str">
        <f t="shared" si="232"/>
        <v/>
      </c>
      <c r="I878" s="227"/>
      <c r="J878" s="227"/>
      <c r="K878" s="227"/>
      <c r="L878" s="227"/>
      <c r="M878" s="210" t="str">
        <f t="shared" si="237"/>
        <v/>
      </c>
      <c r="N878" s="210"/>
      <c r="O878" s="207"/>
      <c r="P878" s="182" t="str">
        <f t="shared" si="222"/>
        <v/>
      </c>
      <c r="Q878" s="183" t="str">
        <f t="shared" si="233"/>
        <v/>
      </c>
      <c r="R878" s="182" t="str">
        <f>IF(M878&lt;&gt;"",IF(#REF!*F878*10=0,"",#REF!*F878*10),"")</f>
        <v/>
      </c>
      <c r="S878" s="184" t="str">
        <f t="shared" si="234"/>
        <v/>
      </c>
      <c r="T878" s="185" t="str">
        <f t="shared" si="223"/>
        <v/>
      </c>
      <c r="U878" s="183" t="str">
        <f t="shared" si="235"/>
        <v/>
      </c>
      <c r="V878" s="186" t="str">
        <f t="shared" si="224"/>
        <v/>
      </c>
      <c r="W878" s="186" t="str">
        <f t="shared" si="225"/>
        <v/>
      </c>
      <c r="X878" s="187" t="str">
        <f t="shared" si="226"/>
        <v/>
      </c>
      <c r="Y878" s="182" t="str">
        <f t="shared" si="236"/>
        <v/>
      </c>
      <c r="Z878" s="209" t="str">
        <f t="shared" si="227"/>
        <v/>
      </c>
      <c r="AA878" s="209" t="str">
        <f t="shared" si="228"/>
        <v/>
      </c>
      <c r="AB878" s="200"/>
      <c r="AC878" s="192"/>
    </row>
    <row r="879" spans="1:29" ht="11.4">
      <c r="A879" s="211" t="str">
        <f t="shared" si="229"/>
        <v/>
      </c>
      <c r="B879" s="211"/>
      <c r="C879" s="215"/>
      <c r="D879" s="213" t="str">
        <f t="shared" si="230"/>
        <v/>
      </c>
      <c r="E879" s="213" t="str">
        <f t="shared" si="238"/>
        <v/>
      </c>
      <c r="F879" s="214" t="str">
        <f t="shared" si="231"/>
        <v/>
      </c>
      <c r="G879" s="180"/>
      <c r="H879" s="181" t="str">
        <f t="shared" si="232"/>
        <v/>
      </c>
      <c r="I879" s="227"/>
      <c r="J879" s="227"/>
      <c r="K879" s="227"/>
      <c r="L879" s="227"/>
      <c r="M879" s="210" t="str">
        <f t="shared" si="237"/>
        <v/>
      </c>
      <c r="N879" s="210"/>
      <c r="O879" s="207"/>
      <c r="P879" s="182" t="str">
        <f t="shared" si="222"/>
        <v/>
      </c>
      <c r="Q879" s="183" t="str">
        <f t="shared" si="233"/>
        <v/>
      </c>
      <c r="R879" s="182" t="str">
        <f>IF(M879&lt;&gt;"",IF(#REF!*F879*10=0,"",#REF!*F879*10),"")</f>
        <v/>
      </c>
      <c r="S879" s="184" t="str">
        <f t="shared" si="234"/>
        <v/>
      </c>
      <c r="T879" s="185" t="str">
        <f t="shared" si="223"/>
        <v/>
      </c>
      <c r="U879" s="183" t="str">
        <f t="shared" si="235"/>
        <v/>
      </c>
      <c r="V879" s="186" t="str">
        <f t="shared" si="224"/>
        <v/>
      </c>
      <c r="W879" s="186" t="str">
        <f t="shared" si="225"/>
        <v/>
      </c>
      <c r="X879" s="187" t="str">
        <f t="shared" si="226"/>
        <v/>
      </c>
      <c r="Y879" s="182" t="str">
        <f t="shared" si="236"/>
        <v/>
      </c>
      <c r="Z879" s="209" t="str">
        <f t="shared" si="227"/>
        <v/>
      </c>
      <c r="AA879" s="209" t="str">
        <f t="shared" si="228"/>
        <v/>
      </c>
      <c r="AB879" s="200"/>
      <c r="AC879" s="192"/>
    </row>
    <row r="880" spans="1:29" ht="11.4">
      <c r="A880" s="211" t="str">
        <f t="shared" si="229"/>
        <v/>
      </c>
      <c r="B880" s="211"/>
      <c r="C880" s="215"/>
      <c r="D880" s="213" t="str">
        <f t="shared" si="230"/>
        <v/>
      </c>
      <c r="E880" s="213" t="str">
        <f t="shared" si="238"/>
        <v/>
      </c>
      <c r="F880" s="214" t="str">
        <f t="shared" si="231"/>
        <v/>
      </c>
      <c r="G880" s="180"/>
      <c r="H880" s="181" t="str">
        <f t="shared" si="232"/>
        <v/>
      </c>
      <c r="I880" s="227"/>
      <c r="J880" s="227"/>
      <c r="K880" s="227"/>
      <c r="L880" s="227"/>
      <c r="M880" s="210" t="str">
        <f t="shared" si="237"/>
        <v/>
      </c>
      <c r="N880" s="210"/>
      <c r="O880" s="207"/>
      <c r="P880" s="182" t="str">
        <f t="shared" si="222"/>
        <v/>
      </c>
      <c r="Q880" s="183" t="str">
        <f t="shared" si="233"/>
        <v/>
      </c>
      <c r="R880" s="182" t="str">
        <f>IF(M880&lt;&gt;"",IF(#REF!*F880*10=0,"",#REF!*F880*10),"")</f>
        <v/>
      </c>
      <c r="S880" s="184" t="str">
        <f t="shared" si="234"/>
        <v/>
      </c>
      <c r="T880" s="185" t="str">
        <f t="shared" si="223"/>
        <v/>
      </c>
      <c r="U880" s="183" t="str">
        <f t="shared" si="235"/>
        <v/>
      </c>
      <c r="V880" s="186" t="str">
        <f t="shared" si="224"/>
        <v/>
      </c>
      <c r="W880" s="186" t="str">
        <f t="shared" si="225"/>
        <v/>
      </c>
      <c r="X880" s="187" t="str">
        <f t="shared" si="226"/>
        <v/>
      </c>
      <c r="Y880" s="182" t="str">
        <f t="shared" si="236"/>
        <v/>
      </c>
      <c r="Z880" s="209" t="str">
        <f t="shared" si="227"/>
        <v/>
      </c>
      <c r="AA880" s="209" t="str">
        <f t="shared" si="228"/>
        <v/>
      </c>
      <c r="AB880" s="200"/>
      <c r="AC880" s="192"/>
    </row>
    <row r="881" spans="1:29" ht="11.4">
      <c r="A881" s="211" t="str">
        <f t="shared" si="229"/>
        <v/>
      </c>
      <c r="B881" s="211"/>
      <c r="C881" s="215"/>
      <c r="D881" s="213" t="str">
        <f t="shared" si="230"/>
        <v/>
      </c>
      <c r="E881" s="213" t="str">
        <f t="shared" si="238"/>
        <v/>
      </c>
      <c r="F881" s="214" t="str">
        <f t="shared" si="231"/>
        <v/>
      </c>
      <c r="G881" s="180"/>
      <c r="H881" s="181" t="str">
        <f t="shared" si="232"/>
        <v/>
      </c>
      <c r="I881" s="227"/>
      <c r="J881" s="227"/>
      <c r="K881" s="227"/>
      <c r="L881" s="227"/>
      <c r="M881" s="210" t="str">
        <f t="shared" si="237"/>
        <v/>
      </c>
      <c r="N881" s="210"/>
      <c r="O881" s="207"/>
      <c r="P881" s="182" t="str">
        <f t="shared" si="222"/>
        <v/>
      </c>
      <c r="Q881" s="183" t="str">
        <f t="shared" si="233"/>
        <v/>
      </c>
      <c r="R881" s="182" t="str">
        <f>IF(M881&lt;&gt;"",IF(#REF!*F881*10=0,"",#REF!*F881*10),"")</f>
        <v/>
      </c>
      <c r="S881" s="184" t="str">
        <f t="shared" si="234"/>
        <v/>
      </c>
      <c r="T881" s="185" t="str">
        <f t="shared" si="223"/>
        <v/>
      </c>
      <c r="U881" s="183" t="str">
        <f t="shared" si="235"/>
        <v/>
      </c>
      <c r="V881" s="186" t="str">
        <f t="shared" si="224"/>
        <v/>
      </c>
      <c r="W881" s="186" t="str">
        <f t="shared" si="225"/>
        <v/>
      </c>
      <c r="X881" s="187" t="str">
        <f t="shared" si="226"/>
        <v/>
      </c>
      <c r="Y881" s="182" t="str">
        <f t="shared" si="236"/>
        <v/>
      </c>
      <c r="Z881" s="209" t="str">
        <f t="shared" si="227"/>
        <v/>
      </c>
      <c r="AA881" s="209" t="str">
        <f t="shared" si="228"/>
        <v/>
      </c>
      <c r="AB881" s="200"/>
      <c r="AC881" s="192"/>
    </row>
    <row r="882" spans="1:29" ht="11.4">
      <c r="A882" s="211" t="str">
        <f t="shared" si="229"/>
        <v/>
      </c>
      <c r="B882" s="211"/>
      <c r="C882" s="215"/>
      <c r="D882" s="213" t="str">
        <f t="shared" si="230"/>
        <v/>
      </c>
      <c r="E882" s="213" t="str">
        <f t="shared" si="238"/>
        <v/>
      </c>
      <c r="F882" s="214" t="str">
        <f t="shared" si="231"/>
        <v/>
      </c>
      <c r="G882" s="180"/>
      <c r="H882" s="181" t="str">
        <f t="shared" si="232"/>
        <v/>
      </c>
      <c r="I882" s="227"/>
      <c r="J882" s="227"/>
      <c r="K882" s="227"/>
      <c r="L882" s="227"/>
      <c r="M882" s="210" t="str">
        <f t="shared" si="237"/>
        <v/>
      </c>
      <c r="N882" s="210"/>
      <c r="O882" s="207"/>
      <c r="P882" s="182" t="str">
        <f t="shared" si="222"/>
        <v/>
      </c>
      <c r="Q882" s="183" t="str">
        <f t="shared" si="233"/>
        <v/>
      </c>
      <c r="R882" s="182" t="str">
        <f>IF(M882&lt;&gt;"",IF(#REF!*F882*10=0,"",#REF!*F882*10),"")</f>
        <v/>
      </c>
      <c r="S882" s="184" t="str">
        <f t="shared" si="234"/>
        <v/>
      </c>
      <c r="T882" s="185" t="str">
        <f t="shared" si="223"/>
        <v/>
      </c>
      <c r="U882" s="183" t="str">
        <f t="shared" si="235"/>
        <v/>
      </c>
      <c r="V882" s="186" t="str">
        <f t="shared" si="224"/>
        <v/>
      </c>
      <c r="W882" s="186" t="str">
        <f t="shared" si="225"/>
        <v/>
      </c>
      <c r="X882" s="187" t="str">
        <f t="shared" si="226"/>
        <v/>
      </c>
      <c r="Y882" s="182" t="str">
        <f t="shared" si="236"/>
        <v/>
      </c>
      <c r="Z882" s="209" t="str">
        <f t="shared" si="227"/>
        <v/>
      </c>
      <c r="AA882" s="209" t="str">
        <f t="shared" si="228"/>
        <v/>
      </c>
      <c r="AB882" s="200"/>
      <c r="AC882" s="192"/>
    </row>
    <row r="883" spans="1:29" ht="11.4">
      <c r="A883" s="211" t="str">
        <f t="shared" si="229"/>
        <v/>
      </c>
      <c r="B883" s="211"/>
      <c r="C883" s="215"/>
      <c r="D883" s="213" t="str">
        <f t="shared" si="230"/>
        <v/>
      </c>
      <c r="E883" s="213" t="str">
        <f t="shared" si="238"/>
        <v/>
      </c>
      <c r="F883" s="214" t="str">
        <f t="shared" si="231"/>
        <v/>
      </c>
      <c r="G883" s="180"/>
      <c r="H883" s="181" t="str">
        <f t="shared" si="232"/>
        <v/>
      </c>
      <c r="I883" s="227"/>
      <c r="J883" s="227"/>
      <c r="K883" s="227"/>
      <c r="L883" s="227"/>
      <c r="M883" s="210" t="str">
        <f t="shared" si="237"/>
        <v/>
      </c>
      <c r="N883" s="210"/>
      <c r="O883" s="207"/>
      <c r="P883" s="182" t="str">
        <f t="shared" si="222"/>
        <v/>
      </c>
      <c r="Q883" s="183" t="str">
        <f t="shared" si="233"/>
        <v/>
      </c>
      <c r="R883" s="182" t="str">
        <f>IF(M883&lt;&gt;"",IF(#REF!*F883*10=0,"",#REF!*F883*10),"")</f>
        <v/>
      </c>
      <c r="S883" s="184" t="str">
        <f t="shared" si="234"/>
        <v/>
      </c>
      <c r="T883" s="185" t="str">
        <f t="shared" si="223"/>
        <v/>
      </c>
      <c r="U883" s="183" t="str">
        <f t="shared" si="235"/>
        <v/>
      </c>
      <c r="V883" s="186" t="str">
        <f t="shared" si="224"/>
        <v/>
      </c>
      <c r="W883" s="186" t="str">
        <f t="shared" si="225"/>
        <v/>
      </c>
      <c r="X883" s="187" t="str">
        <f t="shared" si="226"/>
        <v/>
      </c>
      <c r="Y883" s="182" t="str">
        <f t="shared" si="236"/>
        <v/>
      </c>
      <c r="Z883" s="209" t="str">
        <f t="shared" si="227"/>
        <v/>
      </c>
      <c r="AA883" s="209" t="str">
        <f t="shared" si="228"/>
        <v/>
      </c>
      <c r="AB883" s="200"/>
      <c r="AC883" s="192"/>
    </row>
    <row r="884" spans="1:29" ht="11.4">
      <c r="A884" s="211" t="str">
        <f t="shared" si="229"/>
        <v/>
      </c>
      <c r="B884" s="211"/>
      <c r="C884" s="215"/>
      <c r="D884" s="213" t="str">
        <f t="shared" si="230"/>
        <v/>
      </c>
      <c r="E884" s="213" t="str">
        <f t="shared" si="238"/>
        <v/>
      </c>
      <c r="F884" s="214" t="str">
        <f t="shared" si="231"/>
        <v/>
      </c>
      <c r="G884" s="180"/>
      <c r="H884" s="181" t="str">
        <f t="shared" si="232"/>
        <v/>
      </c>
      <c r="I884" s="227"/>
      <c r="J884" s="227"/>
      <c r="K884" s="227"/>
      <c r="L884" s="227"/>
      <c r="M884" s="210" t="str">
        <f t="shared" si="237"/>
        <v/>
      </c>
      <c r="N884" s="210"/>
      <c r="O884" s="207"/>
      <c r="P884" s="182" t="str">
        <f t="shared" si="222"/>
        <v/>
      </c>
      <c r="Q884" s="183" t="str">
        <f t="shared" si="233"/>
        <v/>
      </c>
      <c r="R884" s="182" t="str">
        <f>IF(M884&lt;&gt;"",IF(#REF!*F884*10=0,"",#REF!*F884*10),"")</f>
        <v/>
      </c>
      <c r="S884" s="184" t="str">
        <f t="shared" si="234"/>
        <v/>
      </c>
      <c r="T884" s="185" t="str">
        <f t="shared" si="223"/>
        <v/>
      </c>
      <c r="U884" s="183" t="str">
        <f t="shared" si="235"/>
        <v/>
      </c>
      <c r="V884" s="186" t="str">
        <f t="shared" si="224"/>
        <v/>
      </c>
      <c r="W884" s="186" t="str">
        <f t="shared" si="225"/>
        <v/>
      </c>
      <c r="X884" s="187" t="str">
        <f t="shared" si="226"/>
        <v/>
      </c>
      <c r="Y884" s="182" t="str">
        <f t="shared" si="236"/>
        <v/>
      </c>
      <c r="Z884" s="209" t="str">
        <f t="shared" si="227"/>
        <v/>
      </c>
      <c r="AA884" s="209" t="str">
        <f t="shared" si="228"/>
        <v/>
      </c>
      <c r="AB884" s="200"/>
      <c r="AC884" s="192"/>
    </row>
    <row r="885" spans="1:29" ht="11.4">
      <c r="A885" s="211" t="str">
        <f t="shared" si="229"/>
        <v/>
      </c>
      <c r="B885" s="211"/>
      <c r="C885" s="215"/>
      <c r="D885" s="213" t="str">
        <f t="shared" si="230"/>
        <v/>
      </c>
      <c r="E885" s="213" t="str">
        <f t="shared" si="238"/>
        <v/>
      </c>
      <c r="F885" s="214" t="str">
        <f t="shared" si="231"/>
        <v/>
      </c>
      <c r="G885" s="180"/>
      <c r="H885" s="181" t="str">
        <f t="shared" si="232"/>
        <v/>
      </c>
      <c r="I885" s="227"/>
      <c r="J885" s="227"/>
      <c r="K885" s="227"/>
      <c r="L885" s="227"/>
      <c r="M885" s="210" t="str">
        <f t="shared" si="237"/>
        <v/>
      </c>
      <c r="N885" s="210"/>
      <c r="O885" s="207"/>
      <c r="P885" s="182" t="str">
        <f t="shared" si="222"/>
        <v/>
      </c>
      <c r="Q885" s="183" t="str">
        <f t="shared" si="233"/>
        <v/>
      </c>
      <c r="R885" s="182" t="str">
        <f>IF(M885&lt;&gt;"",IF(#REF!*F885*10=0,"",#REF!*F885*10),"")</f>
        <v/>
      </c>
      <c r="S885" s="184" t="str">
        <f t="shared" si="234"/>
        <v/>
      </c>
      <c r="T885" s="185" t="str">
        <f t="shared" si="223"/>
        <v/>
      </c>
      <c r="U885" s="183" t="str">
        <f t="shared" si="235"/>
        <v/>
      </c>
      <c r="V885" s="186" t="str">
        <f t="shared" si="224"/>
        <v/>
      </c>
      <c r="W885" s="186" t="str">
        <f t="shared" si="225"/>
        <v/>
      </c>
      <c r="X885" s="187" t="str">
        <f t="shared" si="226"/>
        <v/>
      </c>
      <c r="Y885" s="182" t="str">
        <f t="shared" si="236"/>
        <v/>
      </c>
      <c r="Z885" s="209" t="str">
        <f t="shared" si="227"/>
        <v/>
      </c>
      <c r="AA885" s="209" t="str">
        <f t="shared" si="228"/>
        <v/>
      </c>
      <c r="AB885" s="200"/>
      <c r="AC885" s="192"/>
    </row>
    <row r="886" spans="1:29" ht="11.4">
      <c r="A886" s="211" t="str">
        <f t="shared" si="229"/>
        <v/>
      </c>
      <c r="B886" s="211"/>
      <c r="C886" s="215"/>
      <c r="D886" s="213" t="str">
        <f t="shared" si="230"/>
        <v/>
      </c>
      <c r="E886" s="213" t="str">
        <f t="shared" si="238"/>
        <v/>
      </c>
      <c r="F886" s="214" t="str">
        <f t="shared" si="231"/>
        <v/>
      </c>
      <c r="G886" s="180"/>
      <c r="H886" s="181" t="str">
        <f t="shared" si="232"/>
        <v/>
      </c>
      <c r="I886" s="227"/>
      <c r="J886" s="227"/>
      <c r="K886" s="227"/>
      <c r="L886" s="227"/>
      <c r="M886" s="210" t="str">
        <f t="shared" si="237"/>
        <v/>
      </c>
      <c r="N886" s="210"/>
      <c r="O886" s="207"/>
      <c r="P886" s="182" t="str">
        <f t="shared" si="222"/>
        <v/>
      </c>
      <c r="Q886" s="183" t="str">
        <f t="shared" si="233"/>
        <v/>
      </c>
      <c r="R886" s="182" t="str">
        <f>IF(M886&lt;&gt;"",IF(#REF!*F886*10=0,"",#REF!*F886*10),"")</f>
        <v/>
      </c>
      <c r="S886" s="184" t="str">
        <f t="shared" si="234"/>
        <v/>
      </c>
      <c r="T886" s="185" t="str">
        <f t="shared" si="223"/>
        <v/>
      </c>
      <c r="U886" s="183" t="str">
        <f t="shared" si="235"/>
        <v/>
      </c>
      <c r="V886" s="186" t="str">
        <f t="shared" si="224"/>
        <v/>
      </c>
      <c r="W886" s="186" t="str">
        <f t="shared" si="225"/>
        <v/>
      </c>
      <c r="X886" s="187" t="str">
        <f t="shared" si="226"/>
        <v/>
      </c>
      <c r="Y886" s="182" t="str">
        <f t="shared" si="236"/>
        <v/>
      </c>
      <c r="Z886" s="209" t="str">
        <f t="shared" si="227"/>
        <v/>
      </c>
      <c r="AA886" s="209" t="str">
        <f t="shared" si="228"/>
        <v/>
      </c>
      <c r="AB886" s="200"/>
      <c r="AC886" s="192"/>
    </row>
    <row r="887" spans="1:29" ht="11.4">
      <c r="A887" s="211" t="str">
        <f t="shared" si="229"/>
        <v/>
      </c>
      <c r="B887" s="211"/>
      <c r="C887" s="215"/>
      <c r="D887" s="213" t="str">
        <f t="shared" si="230"/>
        <v/>
      </c>
      <c r="E887" s="213" t="str">
        <f t="shared" si="238"/>
        <v/>
      </c>
      <c r="F887" s="214" t="str">
        <f t="shared" si="231"/>
        <v/>
      </c>
      <c r="G887" s="180"/>
      <c r="H887" s="181" t="str">
        <f t="shared" si="232"/>
        <v/>
      </c>
      <c r="I887" s="227"/>
      <c r="J887" s="227"/>
      <c r="K887" s="227"/>
      <c r="L887" s="227"/>
      <c r="M887" s="210" t="str">
        <f t="shared" si="237"/>
        <v/>
      </c>
      <c r="N887" s="210"/>
      <c r="O887" s="207"/>
      <c r="P887" s="182" t="str">
        <f t="shared" si="222"/>
        <v/>
      </c>
      <c r="Q887" s="183" t="str">
        <f t="shared" si="233"/>
        <v/>
      </c>
      <c r="R887" s="182" t="str">
        <f>IF(M887&lt;&gt;"",IF(#REF!*F887*10=0,"",#REF!*F887*10),"")</f>
        <v/>
      </c>
      <c r="S887" s="184" t="str">
        <f t="shared" si="234"/>
        <v/>
      </c>
      <c r="T887" s="185" t="str">
        <f t="shared" si="223"/>
        <v/>
      </c>
      <c r="U887" s="183" t="str">
        <f t="shared" si="235"/>
        <v/>
      </c>
      <c r="V887" s="186" t="str">
        <f t="shared" si="224"/>
        <v/>
      </c>
      <c r="W887" s="186" t="str">
        <f t="shared" si="225"/>
        <v/>
      </c>
      <c r="X887" s="187" t="str">
        <f t="shared" si="226"/>
        <v/>
      </c>
      <c r="Y887" s="182" t="str">
        <f t="shared" si="236"/>
        <v/>
      </c>
      <c r="Z887" s="209" t="str">
        <f t="shared" si="227"/>
        <v/>
      </c>
      <c r="AA887" s="209" t="str">
        <f t="shared" si="228"/>
        <v/>
      </c>
      <c r="AB887" s="200"/>
      <c r="AC887" s="192"/>
    </row>
    <row r="888" spans="1:29" ht="11.4">
      <c r="A888" s="211" t="str">
        <f t="shared" si="229"/>
        <v/>
      </c>
      <c r="B888" s="211"/>
      <c r="C888" s="215"/>
      <c r="D888" s="213" t="str">
        <f t="shared" si="230"/>
        <v/>
      </c>
      <c r="E888" s="213" t="str">
        <f t="shared" si="238"/>
        <v/>
      </c>
      <c r="F888" s="214" t="str">
        <f t="shared" si="231"/>
        <v/>
      </c>
      <c r="G888" s="180"/>
      <c r="H888" s="181" t="str">
        <f t="shared" si="232"/>
        <v/>
      </c>
      <c r="I888" s="227"/>
      <c r="J888" s="227"/>
      <c r="K888" s="227"/>
      <c r="L888" s="227"/>
      <c r="M888" s="210" t="str">
        <f t="shared" si="237"/>
        <v/>
      </c>
      <c r="N888" s="210"/>
      <c r="O888" s="207"/>
      <c r="P888" s="182" t="str">
        <f t="shared" si="222"/>
        <v/>
      </c>
      <c r="Q888" s="183" t="str">
        <f t="shared" si="233"/>
        <v/>
      </c>
      <c r="R888" s="182" t="str">
        <f>IF(M888&lt;&gt;"",IF(#REF!*F888*10=0,"",#REF!*F888*10),"")</f>
        <v/>
      </c>
      <c r="S888" s="184" t="str">
        <f t="shared" si="234"/>
        <v/>
      </c>
      <c r="T888" s="185" t="str">
        <f t="shared" si="223"/>
        <v/>
      </c>
      <c r="U888" s="183" t="str">
        <f t="shared" si="235"/>
        <v/>
      </c>
      <c r="V888" s="186" t="str">
        <f t="shared" si="224"/>
        <v/>
      </c>
      <c r="W888" s="186" t="str">
        <f t="shared" si="225"/>
        <v/>
      </c>
      <c r="X888" s="187" t="str">
        <f t="shared" si="226"/>
        <v/>
      </c>
      <c r="Y888" s="182" t="str">
        <f t="shared" si="236"/>
        <v/>
      </c>
      <c r="Z888" s="209" t="str">
        <f t="shared" si="227"/>
        <v/>
      </c>
      <c r="AA888" s="209" t="str">
        <f t="shared" si="228"/>
        <v/>
      </c>
      <c r="AB888" s="200"/>
      <c r="AC888" s="192"/>
    </row>
    <row r="889" spans="1:29" ht="11.4">
      <c r="A889" s="211" t="str">
        <f t="shared" si="229"/>
        <v/>
      </c>
      <c r="B889" s="211"/>
      <c r="C889" s="215"/>
      <c r="D889" s="213" t="str">
        <f t="shared" si="230"/>
        <v/>
      </c>
      <c r="E889" s="213" t="str">
        <f t="shared" si="238"/>
        <v/>
      </c>
      <c r="F889" s="214" t="str">
        <f t="shared" si="231"/>
        <v/>
      </c>
      <c r="G889" s="180"/>
      <c r="H889" s="181" t="str">
        <f t="shared" si="232"/>
        <v/>
      </c>
      <c r="I889" s="227"/>
      <c r="J889" s="227"/>
      <c r="K889" s="227"/>
      <c r="L889" s="227"/>
      <c r="M889" s="210" t="str">
        <f t="shared" si="237"/>
        <v/>
      </c>
      <c r="N889" s="210"/>
      <c r="O889" s="207"/>
      <c r="P889" s="182" t="str">
        <f t="shared" si="222"/>
        <v/>
      </c>
      <c r="Q889" s="183" t="str">
        <f t="shared" si="233"/>
        <v/>
      </c>
      <c r="R889" s="182" t="str">
        <f>IF(M889&lt;&gt;"",IF(#REF!*F889*10=0,"",#REF!*F889*10),"")</f>
        <v/>
      </c>
      <c r="S889" s="184" t="str">
        <f t="shared" si="234"/>
        <v/>
      </c>
      <c r="T889" s="185" t="str">
        <f t="shared" si="223"/>
        <v/>
      </c>
      <c r="U889" s="183" t="str">
        <f t="shared" si="235"/>
        <v/>
      </c>
      <c r="V889" s="186" t="str">
        <f t="shared" si="224"/>
        <v/>
      </c>
      <c r="W889" s="186" t="str">
        <f t="shared" si="225"/>
        <v/>
      </c>
      <c r="X889" s="187" t="str">
        <f t="shared" si="226"/>
        <v/>
      </c>
      <c r="Y889" s="182" t="str">
        <f t="shared" si="236"/>
        <v/>
      </c>
      <c r="Z889" s="209" t="str">
        <f t="shared" si="227"/>
        <v/>
      </c>
      <c r="AA889" s="209" t="str">
        <f t="shared" si="228"/>
        <v/>
      </c>
      <c r="AB889" s="200"/>
      <c r="AC889" s="192"/>
    </row>
    <row r="890" spans="1:29" ht="11.4">
      <c r="A890" s="211" t="str">
        <f t="shared" si="229"/>
        <v/>
      </c>
      <c r="B890" s="211"/>
      <c r="C890" s="215"/>
      <c r="D890" s="213" t="str">
        <f t="shared" si="230"/>
        <v/>
      </c>
      <c r="E890" s="213" t="str">
        <f t="shared" si="238"/>
        <v/>
      </c>
      <c r="F890" s="214" t="str">
        <f t="shared" si="231"/>
        <v/>
      </c>
      <c r="G890" s="180"/>
      <c r="H890" s="181" t="str">
        <f t="shared" si="232"/>
        <v/>
      </c>
      <c r="I890" s="227"/>
      <c r="J890" s="227"/>
      <c r="K890" s="227"/>
      <c r="L890" s="227"/>
      <c r="M890" s="210" t="str">
        <f t="shared" si="237"/>
        <v/>
      </c>
      <c r="N890" s="210"/>
      <c r="O890" s="207"/>
      <c r="P890" s="182" t="str">
        <f t="shared" si="222"/>
        <v/>
      </c>
      <c r="Q890" s="183" t="str">
        <f t="shared" si="233"/>
        <v/>
      </c>
      <c r="R890" s="182" t="str">
        <f>IF(M890&lt;&gt;"",IF(#REF!*F890*10=0,"",#REF!*F890*10),"")</f>
        <v/>
      </c>
      <c r="S890" s="184" t="str">
        <f t="shared" si="234"/>
        <v/>
      </c>
      <c r="T890" s="185" t="str">
        <f t="shared" si="223"/>
        <v/>
      </c>
      <c r="U890" s="183" t="str">
        <f t="shared" si="235"/>
        <v/>
      </c>
      <c r="V890" s="186" t="str">
        <f t="shared" si="224"/>
        <v/>
      </c>
      <c r="W890" s="186" t="str">
        <f t="shared" si="225"/>
        <v/>
      </c>
      <c r="X890" s="187" t="str">
        <f t="shared" si="226"/>
        <v/>
      </c>
      <c r="Y890" s="182" t="str">
        <f t="shared" si="236"/>
        <v/>
      </c>
      <c r="Z890" s="209" t="str">
        <f t="shared" si="227"/>
        <v/>
      </c>
      <c r="AA890" s="209" t="str">
        <f t="shared" si="228"/>
        <v/>
      </c>
      <c r="AB890" s="200"/>
      <c r="AC890" s="192"/>
    </row>
    <row r="891" spans="1:29" ht="11.4">
      <c r="A891" s="211" t="str">
        <f t="shared" si="229"/>
        <v/>
      </c>
      <c r="B891" s="211"/>
      <c r="C891" s="215"/>
      <c r="D891" s="213" t="str">
        <f t="shared" si="230"/>
        <v/>
      </c>
      <c r="E891" s="213" t="str">
        <f t="shared" si="238"/>
        <v/>
      </c>
      <c r="F891" s="214" t="str">
        <f t="shared" si="231"/>
        <v/>
      </c>
      <c r="G891" s="180"/>
      <c r="H891" s="181" t="str">
        <f t="shared" si="232"/>
        <v/>
      </c>
      <c r="I891" s="227"/>
      <c r="J891" s="227"/>
      <c r="K891" s="227"/>
      <c r="L891" s="227"/>
      <c r="M891" s="210" t="str">
        <f t="shared" si="237"/>
        <v/>
      </c>
      <c r="N891" s="210"/>
      <c r="O891" s="207"/>
      <c r="P891" s="182" t="str">
        <f t="shared" si="222"/>
        <v/>
      </c>
      <c r="Q891" s="183" t="str">
        <f t="shared" si="233"/>
        <v/>
      </c>
      <c r="R891" s="182" t="str">
        <f>IF(M891&lt;&gt;"",IF(#REF!*F891*10=0,"",#REF!*F891*10),"")</f>
        <v/>
      </c>
      <c r="S891" s="184" t="str">
        <f t="shared" si="234"/>
        <v/>
      </c>
      <c r="T891" s="185" t="str">
        <f t="shared" si="223"/>
        <v/>
      </c>
      <c r="U891" s="183" t="str">
        <f t="shared" si="235"/>
        <v/>
      </c>
      <c r="V891" s="186" t="str">
        <f t="shared" si="224"/>
        <v/>
      </c>
      <c r="W891" s="186" t="str">
        <f t="shared" si="225"/>
        <v/>
      </c>
      <c r="X891" s="187" t="str">
        <f t="shared" si="226"/>
        <v/>
      </c>
      <c r="Y891" s="182" t="str">
        <f t="shared" si="236"/>
        <v/>
      </c>
      <c r="Z891" s="209" t="str">
        <f t="shared" si="227"/>
        <v/>
      </c>
      <c r="AA891" s="209" t="str">
        <f t="shared" si="228"/>
        <v/>
      </c>
      <c r="AB891" s="200"/>
      <c r="AC891" s="192"/>
    </row>
    <row r="892" spans="1:29" ht="11.4">
      <c r="A892" s="211" t="str">
        <f t="shared" si="229"/>
        <v/>
      </c>
      <c r="B892" s="211"/>
      <c r="C892" s="215"/>
      <c r="D892" s="213" t="str">
        <f t="shared" si="230"/>
        <v/>
      </c>
      <c r="E892" s="213" t="str">
        <f t="shared" si="238"/>
        <v/>
      </c>
      <c r="F892" s="214" t="str">
        <f t="shared" si="231"/>
        <v/>
      </c>
      <c r="G892" s="180"/>
      <c r="H892" s="181" t="str">
        <f t="shared" si="232"/>
        <v/>
      </c>
      <c r="I892" s="227"/>
      <c r="J892" s="227"/>
      <c r="K892" s="227"/>
      <c r="L892" s="227"/>
      <c r="M892" s="210" t="str">
        <f t="shared" si="237"/>
        <v/>
      </c>
      <c r="N892" s="210"/>
      <c r="O892" s="207"/>
      <c r="P892" s="182" t="str">
        <f t="shared" si="222"/>
        <v/>
      </c>
      <c r="Q892" s="183" t="str">
        <f t="shared" si="233"/>
        <v/>
      </c>
      <c r="R892" s="182" t="str">
        <f>IF(M892&lt;&gt;"",IF(#REF!*F892*10=0,"",#REF!*F892*10),"")</f>
        <v/>
      </c>
      <c r="S892" s="184" t="str">
        <f t="shared" si="234"/>
        <v/>
      </c>
      <c r="T892" s="185" t="str">
        <f t="shared" si="223"/>
        <v/>
      </c>
      <c r="U892" s="183" t="str">
        <f t="shared" si="235"/>
        <v/>
      </c>
      <c r="V892" s="186" t="str">
        <f t="shared" si="224"/>
        <v/>
      </c>
      <c r="W892" s="186" t="str">
        <f t="shared" si="225"/>
        <v/>
      </c>
      <c r="X892" s="187" t="str">
        <f t="shared" si="226"/>
        <v/>
      </c>
      <c r="Y892" s="182" t="str">
        <f t="shared" si="236"/>
        <v/>
      </c>
      <c r="Z892" s="209" t="str">
        <f t="shared" si="227"/>
        <v/>
      </c>
      <c r="AA892" s="209" t="str">
        <f t="shared" si="228"/>
        <v/>
      </c>
      <c r="AB892" s="200"/>
      <c r="AC892" s="192"/>
    </row>
    <row r="893" spans="1:29" ht="11.4">
      <c r="A893" s="211" t="str">
        <f t="shared" si="229"/>
        <v/>
      </c>
      <c r="B893" s="211"/>
      <c r="C893" s="215"/>
      <c r="D893" s="213" t="str">
        <f t="shared" si="230"/>
        <v/>
      </c>
      <c r="E893" s="213" t="str">
        <f t="shared" si="238"/>
        <v/>
      </c>
      <c r="F893" s="214" t="str">
        <f t="shared" si="231"/>
        <v/>
      </c>
      <c r="G893" s="180"/>
      <c r="H893" s="181" t="str">
        <f t="shared" si="232"/>
        <v/>
      </c>
      <c r="I893" s="227"/>
      <c r="J893" s="227"/>
      <c r="K893" s="227"/>
      <c r="L893" s="227"/>
      <c r="M893" s="210" t="str">
        <f t="shared" si="237"/>
        <v/>
      </c>
      <c r="N893" s="210"/>
      <c r="O893" s="207"/>
      <c r="P893" s="182" t="str">
        <f t="shared" si="222"/>
        <v/>
      </c>
      <c r="Q893" s="183" t="str">
        <f t="shared" si="233"/>
        <v/>
      </c>
      <c r="R893" s="182" t="str">
        <f>IF(M893&lt;&gt;"",IF(#REF!*F893*10=0,"",#REF!*F893*10),"")</f>
        <v/>
      </c>
      <c r="S893" s="184" t="str">
        <f t="shared" si="234"/>
        <v/>
      </c>
      <c r="T893" s="185" t="str">
        <f t="shared" si="223"/>
        <v/>
      </c>
      <c r="U893" s="183" t="str">
        <f t="shared" si="235"/>
        <v/>
      </c>
      <c r="V893" s="186" t="str">
        <f t="shared" si="224"/>
        <v/>
      </c>
      <c r="W893" s="186" t="str">
        <f t="shared" si="225"/>
        <v/>
      </c>
      <c r="X893" s="187" t="str">
        <f t="shared" si="226"/>
        <v/>
      </c>
      <c r="Y893" s="182" t="str">
        <f t="shared" si="236"/>
        <v/>
      </c>
      <c r="Z893" s="209" t="str">
        <f t="shared" si="227"/>
        <v/>
      </c>
      <c r="AA893" s="209" t="str">
        <f t="shared" si="228"/>
        <v/>
      </c>
      <c r="AB893" s="200"/>
      <c r="AC893" s="192"/>
    </row>
    <row r="894" spans="1:29" ht="11.4">
      <c r="A894" s="211" t="str">
        <f t="shared" si="229"/>
        <v/>
      </c>
      <c r="B894" s="211"/>
      <c r="C894" s="215"/>
      <c r="D894" s="213" t="str">
        <f t="shared" si="230"/>
        <v/>
      </c>
      <c r="E894" s="213" t="str">
        <f t="shared" si="238"/>
        <v/>
      </c>
      <c r="F894" s="214" t="str">
        <f t="shared" si="231"/>
        <v/>
      </c>
      <c r="G894" s="180"/>
      <c r="H894" s="181" t="str">
        <f t="shared" si="232"/>
        <v/>
      </c>
      <c r="I894" s="227"/>
      <c r="J894" s="227"/>
      <c r="K894" s="227"/>
      <c r="L894" s="227"/>
      <c r="M894" s="210" t="str">
        <f t="shared" si="237"/>
        <v/>
      </c>
      <c r="N894" s="210"/>
      <c r="O894" s="207"/>
      <c r="P894" s="182" t="str">
        <f t="shared" si="222"/>
        <v/>
      </c>
      <c r="Q894" s="183" t="str">
        <f t="shared" si="233"/>
        <v/>
      </c>
      <c r="R894" s="182" t="str">
        <f>IF(M894&lt;&gt;"",IF(#REF!*F894*10=0,"",#REF!*F894*10),"")</f>
        <v/>
      </c>
      <c r="S894" s="184" t="str">
        <f t="shared" si="234"/>
        <v/>
      </c>
      <c r="T894" s="185" t="str">
        <f t="shared" si="223"/>
        <v/>
      </c>
      <c r="U894" s="183" t="str">
        <f t="shared" si="235"/>
        <v/>
      </c>
      <c r="V894" s="186" t="str">
        <f t="shared" si="224"/>
        <v/>
      </c>
      <c r="W894" s="186" t="str">
        <f t="shared" si="225"/>
        <v/>
      </c>
      <c r="X894" s="187" t="str">
        <f t="shared" si="226"/>
        <v/>
      </c>
      <c r="Y894" s="182" t="str">
        <f t="shared" si="236"/>
        <v/>
      </c>
      <c r="Z894" s="209" t="str">
        <f t="shared" si="227"/>
        <v/>
      </c>
      <c r="AA894" s="209" t="str">
        <f t="shared" si="228"/>
        <v/>
      </c>
      <c r="AB894" s="200"/>
      <c r="AC894" s="192"/>
    </row>
    <row r="895" spans="1:29" ht="11.4">
      <c r="A895" s="211" t="str">
        <f t="shared" si="229"/>
        <v/>
      </c>
      <c r="B895" s="211"/>
      <c r="C895" s="215"/>
      <c r="D895" s="213" t="str">
        <f t="shared" si="230"/>
        <v/>
      </c>
      <c r="E895" s="213" t="str">
        <f t="shared" si="238"/>
        <v/>
      </c>
      <c r="F895" s="214" t="str">
        <f t="shared" si="231"/>
        <v/>
      </c>
      <c r="G895" s="180"/>
      <c r="H895" s="181" t="str">
        <f t="shared" si="232"/>
        <v/>
      </c>
      <c r="I895" s="227"/>
      <c r="J895" s="227"/>
      <c r="K895" s="227"/>
      <c r="L895" s="227"/>
      <c r="M895" s="210" t="str">
        <f t="shared" si="237"/>
        <v/>
      </c>
      <c r="N895" s="210"/>
      <c r="O895" s="207"/>
      <c r="P895" s="182" t="str">
        <f t="shared" si="222"/>
        <v/>
      </c>
      <c r="Q895" s="183" t="str">
        <f t="shared" si="233"/>
        <v/>
      </c>
      <c r="R895" s="182" t="str">
        <f>IF(M895&lt;&gt;"",IF(#REF!*F895*10=0,"",#REF!*F895*10),"")</f>
        <v/>
      </c>
      <c r="S895" s="184" t="str">
        <f t="shared" si="234"/>
        <v/>
      </c>
      <c r="T895" s="185" t="str">
        <f t="shared" si="223"/>
        <v/>
      </c>
      <c r="U895" s="183" t="str">
        <f t="shared" si="235"/>
        <v/>
      </c>
      <c r="V895" s="186" t="str">
        <f t="shared" si="224"/>
        <v/>
      </c>
      <c r="W895" s="186" t="str">
        <f t="shared" si="225"/>
        <v/>
      </c>
      <c r="X895" s="187" t="str">
        <f t="shared" si="226"/>
        <v/>
      </c>
      <c r="Y895" s="182" t="str">
        <f t="shared" si="236"/>
        <v/>
      </c>
      <c r="Z895" s="209" t="str">
        <f t="shared" si="227"/>
        <v/>
      </c>
      <c r="AA895" s="209" t="str">
        <f t="shared" si="228"/>
        <v/>
      </c>
      <c r="AB895" s="200"/>
      <c r="AC895" s="192"/>
    </row>
    <row r="896" spans="1:29" ht="11.4">
      <c r="A896" s="211" t="str">
        <f t="shared" si="229"/>
        <v/>
      </c>
      <c r="B896" s="211"/>
      <c r="C896" s="215"/>
      <c r="D896" s="213" t="str">
        <f t="shared" si="230"/>
        <v/>
      </c>
      <c r="E896" s="213" t="str">
        <f t="shared" si="238"/>
        <v/>
      </c>
      <c r="F896" s="214" t="str">
        <f t="shared" si="231"/>
        <v/>
      </c>
      <c r="G896" s="180"/>
      <c r="H896" s="181" t="str">
        <f t="shared" si="232"/>
        <v/>
      </c>
      <c r="I896" s="227"/>
      <c r="J896" s="227"/>
      <c r="K896" s="227"/>
      <c r="L896" s="227"/>
      <c r="M896" s="210" t="str">
        <f t="shared" si="237"/>
        <v/>
      </c>
      <c r="N896" s="210"/>
      <c r="O896" s="207"/>
      <c r="P896" s="182" t="str">
        <f t="shared" si="222"/>
        <v/>
      </c>
      <c r="Q896" s="183" t="str">
        <f t="shared" si="233"/>
        <v/>
      </c>
      <c r="R896" s="182" t="str">
        <f>IF(M896&lt;&gt;"",IF(#REF!*F896*10=0,"",#REF!*F896*10),"")</f>
        <v/>
      </c>
      <c r="S896" s="184" t="str">
        <f t="shared" si="234"/>
        <v/>
      </c>
      <c r="T896" s="185" t="str">
        <f t="shared" si="223"/>
        <v/>
      </c>
      <c r="U896" s="183" t="str">
        <f t="shared" si="235"/>
        <v/>
      </c>
      <c r="V896" s="186" t="str">
        <f t="shared" si="224"/>
        <v/>
      </c>
      <c r="W896" s="186" t="str">
        <f t="shared" si="225"/>
        <v/>
      </c>
      <c r="X896" s="187" t="str">
        <f t="shared" si="226"/>
        <v/>
      </c>
      <c r="Y896" s="182" t="str">
        <f t="shared" si="236"/>
        <v/>
      </c>
      <c r="Z896" s="209" t="str">
        <f t="shared" si="227"/>
        <v/>
      </c>
      <c r="AA896" s="209" t="str">
        <f t="shared" si="228"/>
        <v/>
      </c>
      <c r="AB896" s="200"/>
      <c r="AC896" s="192"/>
    </row>
    <row r="897" spans="1:29" ht="11.4">
      <c r="A897" s="211" t="str">
        <f t="shared" si="229"/>
        <v/>
      </c>
      <c r="B897" s="211"/>
      <c r="C897" s="215"/>
      <c r="D897" s="213" t="str">
        <f t="shared" si="230"/>
        <v/>
      </c>
      <c r="E897" s="213" t="str">
        <f t="shared" si="238"/>
        <v/>
      </c>
      <c r="F897" s="214" t="str">
        <f t="shared" si="231"/>
        <v/>
      </c>
      <c r="G897" s="180"/>
      <c r="H897" s="181" t="str">
        <f t="shared" si="232"/>
        <v/>
      </c>
      <c r="I897" s="227"/>
      <c r="J897" s="227"/>
      <c r="K897" s="227"/>
      <c r="L897" s="227"/>
      <c r="M897" s="210" t="str">
        <f t="shared" si="237"/>
        <v/>
      </c>
      <c r="N897" s="210"/>
      <c r="O897" s="207"/>
      <c r="P897" s="182" t="str">
        <f t="shared" si="222"/>
        <v/>
      </c>
      <c r="Q897" s="183" t="str">
        <f t="shared" si="233"/>
        <v/>
      </c>
      <c r="R897" s="182" t="str">
        <f>IF(M897&lt;&gt;"",IF(#REF!*F897*10=0,"",#REF!*F897*10),"")</f>
        <v/>
      </c>
      <c r="S897" s="184" t="str">
        <f t="shared" si="234"/>
        <v/>
      </c>
      <c r="T897" s="185" t="str">
        <f t="shared" si="223"/>
        <v/>
      </c>
      <c r="U897" s="183" t="str">
        <f t="shared" si="235"/>
        <v/>
      </c>
      <c r="V897" s="186" t="str">
        <f t="shared" si="224"/>
        <v/>
      </c>
      <c r="W897" s="186" t="str">
        <f t="shared" si="225"/>
        <v/>
      </c>
      <c r="X897" s="187" t="str">
        <f t="shared" si="226"/>
        <v/>
      </c>
      <c r="Y897" s="182" t="str">
        <f t="shared" si="236"/>
        <v/>
      </c>
      <c r="Z897" s="209" t="str">
        <f t="shared" si="227"/>
        <v/>
      </c>
      <c r="AA897" s="209" t="str">
        <f t="shared" si="228"/>
        <v/>
      </c>
      <c r="AB897" s="200"/>
      <c r="AC897" s="192"/>
    </row>
    <row r="898" spans="1:29" ht="11.4">
      <c r="A898" s="211" t="str">
        <f t="shared" si="229"/>
        <v/>
      </c>
      <c r="B898" s="211"/>
      <c r="C898" s="215"/>
      <c r="D898" s="213" t="str">
        <f t="shared" si="230"/>
        <v/>
      </c>
      <c r="E898" s="213" t="str">
        <f t="shared" si="238"/>
        <v/>
      </c>
      <c r="F898" s="214" t="str">
        <f t="shared" si="231"/>
        <v/>
      </c>
      <c r="G898" s="180"/>
      <c r="H898" s="181" t="str">
        <f t="shared" si="232"/>
        <v/>
      </c>
      <c r="I898" s="227"/>
      <c r="J898" s="227"/>
      <c r="K898" s="227"/>
      <c r="L898" s="227"/>
      <c r="M898" s="210" t="str">
        <f t="shared" si="237"/>
        <v/>
      </c>
      <c r="N898" s="210"/>
      <c r="O898" s="207"/>
      <c r="P898" s="182" t="str">
        <f t="shared" si="222"/>
        <v/>
      </c>
      <c r="Q898" s="183" t="str">
        <f t="shared" si="233"/>
        <v/>
      </c>
      <c r="R898" s="182" t="str">
        <f>IF(M898&lt;&gt;"",IF(#REF!*F898*10=0,"",#REF!*F898*10),"")</f>
        <v/>
      </c>
      <c r="S898" s="184" t="str">
        <f t="shared" si="234"/>
        <v/>
      </c>
      <c r="T898" s="185" t="str">
        <f t="shared" si="223"/>
        <v/>
      </c>
      <c r="U898" s="183" t="str">
        <f t="shared" si="235"/>
        <v/>
      </c>
      <c r="V898" s="186" t="str">
        <f t="shared" si="224"/>
        <v/>
      </c>
      <c r="W898" s="186" t="str">
        <f t="shared" si="225"/>
        <v/>
      </c>
      <c r="X898" s="187" t="str">
        <f t="shared" si="226"/>
        <v/>
      </c>
      <c r="Y898" s="182" t="str">
        <f t="shared" si="236"/>
        <v/>
      </c>
      <c r="Z898" s="209" t="str">
        <f t="shared" si="227"/>
        <v/>
      </c>
      <c r="AA898" s="209" t="str">
        <f t="shared" si="228"/>
        <v/>
      </c>
      <c r="AB898" s="200"/>
      <c r="AC898" s="192"/>
    </row>
    <row r="899" spans="1:29" ht="11.4">
      <c r="A899" s="211" t="str">
        <f t="shared" si="229"/>
        <v/>
      </c>
      <c r="B899" s="211"/>
      <c r="C899" s="215"/>
      <c r="D899" s="213" t="str">
        <f t="shared" si="230"/>
        <v/>
      </c>
      <c r="E899" s="213" t="str">
        <f t="shared" si="238"/>
        <v/>
      </c>
      <c r="F899" s="214" t="str">
        <f t="shared" si="231"/>
        <v/>
      </c>
      <c r="G899" s="180"/>
      <c r="H899" s="181" t="str">
        <f t="shared" si="232"/>
        <v/>
      </c>
      <c r="I899" s="227"/>
      <c r="J899" s="227"/>
      <c r="K899" s="227"/>
      <c r="L899" s="227"/>
      <c r="M899" s="210" t="str">
        <f t="shared" si="237"/>
        <v/>
      </c>
      <c r="N899" s="210"/>
      <c r="O899" s="207"/>
      <c r="P899" s="182" t="str">
        <f t="shared" si="222"/>
        <v/>
      </c>
      <c r="Q899" s="183" t="str">
        <f t="shared" si="233"/>
        <v/>
      </c>
      <c r="R899" s="182" t="str">
        <f>IF(M899&lt;&gt;"",IF(#REF!*F899*10=0,"",#REF!*F899*10),"")</f>
        <v/>
      </c>
      <c r="S899" s="184" t="str">
        <f t="shared" si="234"/>
        <v/>
      </c>
      <c r="T899" s="185" t="str">
        <f t="shared" si="223"/>
        <v/>
      </c>
      <c r="U899" s="183" t="str">
        <f t="shared" si="235"/>
        <v/>
      </c>
      <c r="V899" s="186" t="str">
        <f t="shared" si="224"/>
        <v/>
      </c>
      <c r="W899" s="186" t="str">
        <f t="shared" si="225"/>
        <v/>
      </c>
      <c r="X899" s="187" t="str">
        <f t="shared" si="226"/>
        <v/>
      </c>
      <c r="Y899" s="182" t="str">
        <f t="shared" si="236"/>
        <v/>
      </c>
      <c r="Z899" s="209" t="str">
        <f t="shared" si="227"/>
        <v/>
      </c>
      <c r="AA899" s="209" t="str">
        <f t="shared" si="228"/>
        <v/>
      </c>
      <c r="AB899" s="200"/>
      <c r="AC899" s="192"/>
    </row>
    <row r="900" spans="1:29" ht="11.4">
      <c r="A900" s="211" t="str">
        <f t="shared" si="229"/>
        <v/>
      </c>
      <c r="B900" s="211"/>
      <c r="C900" s="215"/>
      <c r="D900" s="213" t="str">
        <f t="shared" si="230"/>
        <v/>
      </c>
      <c r="E900" s="213" t="str">
        <f t="shared" si="238"/>
        <v/>
      </c>
      <c r="F900" s="214" t="str">
        <f t="shared" si="231"/>
        <v/>
      </c>
      <c r="G900" s="180"/>
      <c r="H900" s="181" t="str">
        <f t="shared" si="232"/>
        <v/>
      </c>
      <c r="I900" s="227"/>
      <c r="J900" s="227"/>
      <c r="K900" s="227"/>
      <c r="L900" s="227"/>
      <c r="M900" s="210" t="str">
        <f t="shared" si="237"/>
        <v/>
      </c>
      <c r="N900" s="210"/>
      <c r="O900" s="207"/>
      <c r="P900" s="182" t="str">
        <f t="shared" si="222"/>
        <v/>
      </c>
      <c r="Q900" s="183" t="str">
        <f t="shared" si="233"/>
        <v/>
      </c>
      <c r="R900" s="182" t="str">
        <f>IF(M900&lt;&gt;"",IF(#REF!*F900*10=0,"",#REF!*F900*10),"")</f>
        <v/>
      </c>
      <c r="S900" s="184" t="str">
        <f t="shared" si="234"/>
        <v/>
      </c>
      <c r="T900" s="185" t="str">
        <f t="shared" si="223"/>
        <v/>
      </c>
      <c r="U900" s="183" t="str">
        <f t="shared" si="235"/>
        <v/>
      </c>
      <c r="V900" s="186" t="str">
        <f t="shared" si="224"/>
        <v/>
      </c>
      <c r="W900" s="186" t="str">
        <f t="shared" si="225"/>
        <v/>
      </c>
      <c r="X900" s="187" t="str">
        <f t="shared" si="226"/>
        <v/>
      </c>
      <c r="Y900" s="182" t="str">
        <f t="shared" si="236"/>
        <v/>
      </c>
      <c r="Z900" s="209" t="str">
        <f t="shared" si="227"/>
        <v/>
      </c>
      <c r="AA900" s="209" t="str">
        <f t="shared" si="228"/>
        <v/>
      </c>
      <c r="AB900" s="200"/>
      <c r="AC900" s="192"/>
    </row>
    <row r="901" spans="1:29" ht="11.4">
      <c r="A901" s="211" t="str">
        <f t="shared" si="229"/>
        <v/>
      </c>
      <c r="B901" s="211"/>
      <c r="C901" s="215"/>
      <c r="D901" s="213" t="str">
        <f t="shared" si="230"/>
        <v/>
      </c>
      <c r="E901" s="213" t="str">
        <f t="shared" si="238"/>
        <v/>
      </c>
      <c r="F901" s="214" t="str">
        <f t="shared" si="231"/>
        <v/>
      </c>
      <c r="G901" s="180"/>
      <c r="H901" s="181" t="str">
        <f t="shared" si="232"/>
        <v/>
      </c>
      <c r="I901" s="227"/>
      <c r="J901" s="227"/>
      <c r="K901" s="227"/>
      <c r="L901" s="227"/>
      <c r="M901" s="210" t="str">
        <f t="shared" si="237"/>
        <v/>
      </c>
      <c r="N901" s="210"/>
      <c r="O901" s="207"/>
      <c r="P901" s="182" t="str">
        <f t="shared" si="222"/>
        <v/>
      </c>
      <c r="Q901" s="183" t="str">
        <f t="shared" si="233"/>
        <v/>
      </c>
      <c r="R901" s="182" t="str">
        <f>IF(M901&lt;&gt;"",IF(#REF!*F901*10=0,"",#REF!*F901*10),"")</f>
        <v/>
      </c>
      <c r="S901" s="184" t="str">
        <f t="shared" si="234"/>
        <v/>
      </c>
      <c r="T901" s="185" t="str">
        <f t="shared" si="223"/>
        <v/>
      </c>
      <c r="U901" s="183" t="str">
        <f t="shared" si="235"/>
        <v/>
      </c>
      <c r="V901" s="186" t="str">
        <f t="shared" si="224"/>
        <v/>
      </c>
      <c r="W901" s="186" t="str">
        <f t="shared" si="225"/>
        <v/>
      </c>
      <c r="X901" s="187" t="str">
        <f t="shared" si="226"/>
        <v/>
      </c>
      <c r="Y901" s="182" t="str">
        <f t="shared" si="236"/>
        <v/>
      </c>
      <c r="Z901" s="209" t="str">
        <f t="shared" si="227"/>
        <v/>
      </c>
      <c r="AA901" s="209" t="str">
        <f t="shared" si="228"/>
        <v/>
      </c>
      <c r="AB901" s="200"/>
      <c r="AC901" s="192"/>
    </row>
    <row r="902" spans="1:29" ht="11.4">
      <c r="A902" s="211" t="str">
        <f t="shared" si="229"/>
        <v/>
      </c>
      <c r="B902" s="211"/>
      <c r="C902" s="215"/>
      <c r="D902" s="213" t="str">
        <f t="shared" si="230"/>
        <v/>
      </c>
      <c r="E902" s="213" t="str">
        <f t="shared" si="238"/>
        <v/>
      </c>
      <c r="F902" s="214" t="str">
        <f t="shared" si="231"/>
        <v/>
      </c>
      <c r="G902" s="180"/>
      <c r="H902" s="181" t="str">
        <f t="shared" si="232"/>
        <v/>
      </c>
      <c r="I902" s="227"/>
      <c r="J902" s="227"/>
      <c r="K902" s="227"/>
      <c r="L902" s="227"/>
      <c r="M902" s="210" t="str">
        <f t="shared" si="237"/>
        <v/>
      </c>
      <c r="N902" s="210"/>
      <c r="O902" s="207"/>
      <c r="P902" s="182" t="str">
        <f t="shared" si="222"/>
        <v/>
      </c>
      <c r="Q902" s="183" t="str">
        <f t="shared" si="233"/>
        <v/>
      </c>
      <c r="R902" s="182" t="str">
        <f>IF(M902&lt;&gt;"",IF(#REF!*F902*10=0,"",#REF!*F902*10),"")</f>
        <v/>
      </c>
      <c r="S902" s="184" t="str">
        <f t="shared" si="234"/>
        <v/>
      </c>
      <c r="T902" s="185" t="str">
        <f t="shared" si="223"/>
        <v/>
      </c>
      <c r="U902" s="183" t="str">
        <f t="shared" si="235"/>
        <v/>
      </c>
      <c r="V902" s="186" t="str">
        <f t="shared" si="224"/>
        <v/>
      </c>
      <c r="W902" s="186" t="str">
        <f t="shared" si="225"/>
        <v/>
      </c>
      <c r="X902" s="187" t="str">
        <f t="shared" si="226"/>
        <v/>
      </c>
      <c r="Y902" s="182" t="str">
        <f t="shared" si="236"/>
        <v/>
      </c>
      <c r="Z902" s="209" t="str">
        <f t="shared" si="227"/>
        <v/>
      </c>
      <c r="AA902" s="209" t="str">
        <f t="shared" si="228"/>
        <v/>
      </c>
      <c r="AB902" s="200"/>
      <c r="AC902" s="192"/>
    </row>
    <row r="903" spans="1:29" ht="11.4">
      <c r="A903" s="211" t="str">
        <f t="shared" si="229"/>
        <v/>
      </c>
      <c r="B903" s="211"/>
      <c r="C903" s="215"/>
      <c r="D903" s="213" t="str">
        <f t="shared" si="230"/>
        <v/>
      </c>
      <c r="E903" s="213" t="str">
        <f t="shared" si="238"/>
        <v/>
      </c>
      <c r="F903" s="214" t="str">
        <f t="shared" si="231"/>
        <v/>
      </c>
      <c r="G903" s="180"/>
      <c r="H903" s="181" t="str">
        <f t="shared" si="232"/>
        <v/>
      </c>
      <c r="I903" s="227"/>
      <c r="J903" s="227"/>
      <c r="K903" s="227"/>
      <c r="L903" s="227"/>
      <c r="M903" s="210" t="str">
        <f t="shared" si="237"/>
        <v/>
      </c>
      <c r="N903" s="210"/>
      <c r="O903" s="207"/>
      <c r="P903" s="182" t="str">
        <f t="shared" si="222"/>
        <v/>
      </c>
      <c r="Q903" s="183" t="str">
        <f t="shared" si="233"/>
        <v/>
      </c>
      <c r="R903" s="182" t="str">
        <f>IF(M903&lt;&gt;"",IF(#REF!*F903*10=0,"",#REF!*F903*10),"")</f>
        <v/>
      </c>
      <c r="S903" s="184" t="str">
        <f t="shared" si="234"/>
        <v/>
      </c>
      <c r="T903" s="185" t="str">
        <f t="shared" si="223"/>
        <v/>
      </c>
      <c r="U903" s="183" t="str">
        <f t="shared" si="235"/>
        <v/>
      </c>
      <c r="V903" s="186" t="str">
        <f t="shared" si="224"/>
        <v/>
      </c>
      <c r="W903" s="186" t="str">
        <f t="shared" si="225"/>
        <v/>
      </c>
      <c r="X903" s="187" t="str">
        <f t="shared" si="226"/>
        <v/>
      </c>
      <c r="Y903" s="182" t="str">
        <f t="shared" si="236"/>
        <v/>
      </c>
      <c r="Z903" s="209" t="str">
        <f t="shared" si="227"/>
        <v/>
      </c>
      <c r="AA903" s="209" t="str">
        <f t="shared" si="228"/>
        <v/>
      </c>
      <c r="AB903" s="200"/>
      <c r="AC903" s="192"/>
    </row>
    <row r="904" spans="1:29" ht="11.4">
      <c r="A904" s="211" t="str">
        <f t="shared" si="229"/>
        <v/>
      </c>
      <c r="B904" s="211"/>
      <c r="C904" s="215"/>
      <c r="D904" s="213" t="str">
        <f t="shared" si="230"/>
        <v/>
      </c>
      <c r="E904" s="213" t="str">
        <f t="shared" si="238"/>
        <v/>
      </c>
      <c r="F904" s="214" t="str">
        <f t="shared" si="231"/>
        <v/>
      </c>
      <c r="G904" s="180"/>
      <c r="H904" s="181" t="str">
        <f t="shared" si="232"/>
        <v/>
      </c>
      <c r="I904" s="227"/>
      <c r="J904" s="227"/>
      <c r="K904" s="227"/>
      <c r="L904" s="227"/>
      <c r="M904" s="210" t="str">
        <f t="shared" si="237"/>
        <v/>
      </c>
      <c r="N904" s="210"/>
      <c r="O904" s="207"/>
      <c r="P904" s="182" t="str">
        <f t="shared" si="222"/>
        <v/>
      </c>
      <c r="Q904" s="183" t="str">
        <f t="shared" si="233"/>
        <v/>
      </c>
      <c r="R904" s="182" t="str">
        <f>IF(M904&lt;&gt;"",IF(#REF!*F904*10=0,"",#REF!*F904*10),"")</f>
        <v/>
      </c>
      <c r="S904" s="184" t="str">
        <f t="shared" si="234"/>
        <v/>
      </c>
      <c r="T904" s="185" t="str">
        <f t="shared" si="223"/>
        <v/>
      </c>
      <c r="U904" s="183" t="str">
        <f t="shared" si="235"/>
        <v/>
      </c>
      <c r="V904" s="186" t="str">
        <f t="shared" si="224"/>
        <v/>
      </c>
      <c r="W904" s="186" t="str">
        <f t="shared" si="225"/>
        <v/>
      </c>
      <c r="X904" s="187" t="str">
        <f t="shared" si="226"/>
        <v/>
      </c>
      <c r="Y904" s="182" t="str">
        <f t="shared" si="236"/>
        <v/>
      </c>
      <c r="Z904" s="209" t="str">
        <f t="shared" si="227"/>
        <v/>
      </c>
      <c r="AA904" s="209" t="str">
        <f t="shared" si="228"/>
        <v/>
      </c>
      <c r="AB904" s="200"/>
      <c r="AC904" s="192"/>
    </row>
    <row r="905" spans="1:29" ht="11.4">
      <c r="A905" s="211" t="str">
        <f t="shared" si="229"/>
        <v/>
      </c>
      <c r="B905" s="211"/>
      <c r="C905" s="215"/>
      <c r="D905" s="213" t="str">
        <f t="shared" si="230"/>
        <v/>
      </c>
      <c r="E905" s="213" t="str">
        <f t="shared" si="238"/>
        <v/>
      </c>
      <c r="F905" s="214" t="str">
        <f t="shared" si="231"/>
        <v/>
      </c>
      <c r="G905" s="180"/>
      <c r="H905" s="181" t="str">
        <f t="shared" si="232"/>
        <v/>
      </c>
      <c r="I905" s="227"/>
      <c r="J905" s="227"/>
      <c r="K905" s="227"/>
      <c r="L905" s="227"/>
      <c r="M905" s="210" t="str">
        <f t="shared" si="237"/>
        <v/>
      </c>
      <c r="N905" s="210"/>
      <c r="O905" s="207"/>
      <c r="P905" s="182" t="str">
        <f t="shared" si="222"/>
        <v/>
      </c>
      <c r="Q905" s="183" t="str">
        <f t="shared" si="233"/>
        <v/>
      </c>
      <c r="R905" s="182" t="str">
        <f>IF(M905&lt;&gt;"",IF(#REF!*F905*10=0,"",#REF!*F905*10),"")</f>
        <v/>
      </c>
      <c r="S905" s="184" t="str">
        <f t="shared" si="234"/>
        <v/>
      </c>
      <c r="T905" s="185" t="str">
        <f t="shared" si="223"/>
        <v/>
      </c>
      <c r="U905" s="183" t="str">
        <f t="shared" si="235"/>
        <v/>
      </c>
      <c r="V905" s="186" t="str">
        <f t="shared" si="224"/>
        <v/>
      </c>
      <c r="W905" s="186" t="str">
        <f t="shared" si="225"/>
        <v/>
      </c>
      <c r="X905" s="187" t="str">
        <f t="shared" si="226"/>
        <v/>
      </c>
      <c r="Y905" s="182" t="str">
        <f t="shared" si="236"/>
        <v/>
      </c>
      <c r="Z905" s="209" t="str">
        <f t="shared" si="227"/>
        <v/>
      </c>
      <c r="AA905" s="209" t="str">
        <f t="shared" si="228"/>
        <v/>
      </c>
      <c r="AB905" s="200"/>
      <c r="AC905" s="192"/>
    </row>
    <row r="906" spans="1:29" ht="11.4">
      <c r="A906" s="211" t="str">
        <f t="shared" si="229"/>
        <v/>
      </c>
      <c r="B906" s="211"/>
      <c r="C906" s="215"/>
      <c r="D906" s="213" t="str">
        <f t="shared" si="230"/>
        <v/>
      </c>
      <c r="E906" s="213" t="str">
        <f t="shared" si="238"/>
        <v/>
      </c>
      <c r="F906" s="214" t="str">
        <f t="shared" si="231"/>
        <v/>
      </c>
      <c r="G906" s="180"/>
      <c r="H906" s="181" t="str">
        <f t="shared" si="232"/>
        <v/>
      </c>
      <c r="I906" s="227"/>
      <c r="J906" s="227"/>
      <c r="K906" s="227"/>
      <c r="L906" s="227"/>
      <c r="M906" s="210" t="str">
        <f t="shared" si="237"/>
        <v/>
      </c>
      <c r="N906" s="210"/>
      <c r="O906" s="207"/>
      <c r="P906" s="182" t="str">
        <f t="shared" si="222"/>
        <v/>
      </c>
      <c r="Q906" s="183" t="str">
        <f t="shared" si="233"/>
        <v/>
      </c>
      <c r="R906" s="182" t="str">
        <f>IF(M906&lt;&gt;"",IF(#REF!*F906*10=0,"",#REF!*F906*10),"")</f>
        <v/>
      </c>
      <c r="S906" s="184" t="str">
        <f t="shared" si="234"/>
        <v/>
      </c>
      <c r="T906" s="185" t="str">
        <f t="shared" si="223"/>
        <v/>
      </c>
      <c r="U906" s="183" t="str">
        <f t="shared" si="235"/>
        <v/>
      </c>
      <c r="V906" s="186" t="str">
        <f t="shared" si="224"/>
        <v/>
      </c>
      <c r="W906" s="186" t="str">
        <f t="shared" si="225"/>
        <v/>
      </c>
      <c r="X906" s="187" t="str">
        <f t="shared" si="226"/>
        <v/>
      </c>
      <c r="Y906" s="182" t="str">
        <f t="shared" si="236"/>
        <v/>
      </c>
      <c r="Z906" s="209" t="str">
        <f t="shared" si="227"/>
        <v/>
      </c>
      <c r="AA906" s="209" t="str">
        <f t="shared" si="228"/>
        <v/>
      </c>
      <c r="AB906" s="200"/>
      <c r="AC906" s="192"/>
    </row>
    <row r="907" spans="1:29" ht="11.4">
      <c r="A907" s="211" t="str">
        <f t="shared" si="229"/>
        <v/>
      </c>
      <c r="B907" s="211"/>
      <c r="C907" s="215"/>
      <c r="D907" s="213" t="str">
        <f t="shared" si="230"/>
        <v/>
      </c>
      <c r="E907" s="213" t="str">
        <f t="shared" si="238"/>
        <v/>
      </c>
      <c r="F907" s="214" t="str">
        <f t="shared" si="231"/>
        <v/>
      </c>
      <c r="G907" s="180"/>
      <c r="H907" s="181" t="str">
        <f t="shared" si="232"/>
        <v/>
      </c>
      <c r="I907" s="227"/>
      <c r="J907" s="227"/>
      <c r="K907" s="227"/>
      <c r="L907" s="227"/>
      <c r="M907" s="210" t="str">
        <f t="shared" si="237"/>
        <v/>
      </c>
      <c r="N907" s="210"/>
      <c r="O907" s="207"/>
      <c r="P907" s="182" t="str">
        <f t="shared" si="222"/>
        <v/>
      </c>
      <c r="Q907" s="183" t="str">
        <f t="shared" si="233"/>
        <v/>
      </c>
      <c r="R907" s="182" t="str">
        <f>IF(M907&lt;&gt;"",IF(#REF!*F907*10=0,"",#REF!*F907*10),"")</f>
        <v/>
      </c>
      <c r="S907" s="184" t="str">
        <f t="shared" si="234"/>
        <v/>
      </c>
      <c r="T907" s="185" t="str">
        <f t="shared" si="223"/>
        <v/>
      </c>
      <c r="U907" s="183" t="str">
        <f t="shared" si="235"/>
        <v/>
      </c>
      <c r="V907" s="186" t="str">
        <f t="shared" si="224"/>
        <v/>
      </c>
      <c r="W907" s="186" t="str">
        <f t="shared" si="225"/>
        <v/>
      </c>
      <c r="X907" s="187" t="str">
        <f t="shared" si="226"/>
        <v/>
      </c>
      <c r="Y907" s="182" t="str">
        <f t="shared" si="236"/>
        <v/>
      </c>
      <c r="Z907" s="209" t="str">
        <f t="shared" si="227"/>
        <v/>
      </c>
      <c r="AA907" s="209" t="str">
        <f t="shared" si="228"/>
        <v/>
      </c>
      <c r="AB907" s="200"/>
      <c r="AC907" s="192"/>
    </row>
    <row r="908" spans="1:29" ht="11.4">
      <c r="A908" s="211" t="str">
        <f t="shared" si="229"/>
        <v/>
      </c>
      <c r="B908" s="211"/>
      <c r="C908" s="215"/>
      <c r="D908" s="213" t="str">
        <f t="shared" si="230"/>
        <v/>
      </c>
      <c r="E908" s="213" t="str">
        <f t="shared" si="238"/>
        <v/>
      </c>
      <c r="F908" s="214" t="str">
        <f t="shared" si="231"/>
        <v/>
      </c>
      <c r="G908" s="180"/>
      <c r="H908" s="181" t="str">
        <f t="shared" si="232"/>
        <v/>
      </c>
      <c r="I908" s="227"/>
      <c r="J908" s="227"/>
      <c r="K908" s="227"/>
      <c r="L908" s="227"/>
      <c r="M908" s="210" t="str">
        <f t="shared" si="237"/>
        <v/>
      </c>
      <c r="N908" s="210"/>
      <c r="O908" s="207"/>
      <c r="P908" s="182" t="str">
        <f t="shared" ref="P908:P971" si="239">IF(M908="","",IF(L908*F908*$D$3=0,0,L908*F908*$D$3))</f>
        <v/>
      </c>
      <c r="Q908" s="183" t="str">
        <f t="shared" si="233"/>
        <v/>
      </c>
      <c r="R908" s="182" t="str">
        <f>IF(M908&lt;&gt;"",IF(#REF!*F908*10=0,"",#REF!*F908*10),"")</f>
        <v/>
      </c>
      <c r="S908" s="184" t="str">
        <f t="shared" si="234"/>
        <v/>
      </c>
      <c r="T908" s="185" t="str">
        <f t="shared" ref="T908:T971" si="240">IF(X908="","",X908*F908*$D$3)</f>
        <v/>
      </c>
      <c r="U908" s="183" t="str">
        <f t="shared" si="235"/>
        <v/>
      </c>
      <c r="V908" s="186" t="str">
        <f t="shared" ref="V908:V971" si="241">IF(M908="","",IF(AND(M908&gt;I908,H908="L"),1, IF(AND(I908&gt;M908,H908="S"),1,0)))</f>
        <v/>
      </c>
      <c r="W908" s="186" t="str">
        <f t="shared" ref="W908:W971" si="242">IF(M908="","",IF(AND(M908&lt;I908,H908="L"),1, IF(AND(I908&lt;M908,H908="S"),1,0)))</f>
        <v/>
      </c>
      <c r="X908" s="187" t="str">
        <f t="shared" ref="X908:X971" si="243">IF((M908=""),"",IF(H908="Buy",1,-1)*(M908-I908)*IF(LEN(RIGHT(I908,LEN(I908)-FIND(".",I908)))&gt;3,10000,100))</f>
        <v/>
      </c>
      <c r="Y908" s="182" t="str">
        <f t="shared" si="236"/>
        <v/>
      </c>
      <c r="Z908" s="209" t="str">
        <f t="shared" ref="Z908:Z971" si="244">IF(C908="","",MONTH(LEFT(C908,8)))</f>
        <v/>
      </c>
      <c r="AA908" s="209" t="str">
        <f t="shared" ref="AA908:AA971" si="245">IF(C908="","",YEAR(LEFT(C908,8)))</f>
        <v/>
      </c>
      <c r="AB908" s="200"/>
      <c r="AC908" s="192"/>
    </row>
    <row r="909" spans="1:29" ht="11.4">
      <c r="A909" s="211" t="str">
        <f t="shared" ref="A909:A972" si="246">IF(D909="","",1)</f>
        <v/>
      </c>
      <c r="B909" s="211"/>
      <c r="C909" s="215"/>
      <c r="D909" s="213" t="str">
        <f t="shared" ref="D909:D972" si="247">IF(G909="","","SUGAR")</f>
        <v/>
      </c>
      <c r="E909" s="213" t="str">
        <f t="shared" si="238"/>
        <v/>
      </c>
      <c r="F909" s="214" t="str">
        <f t="shared" ref="F909:F972" si="248">IF(G909="","",0.01)</f>
        <v/>
      </c>
      <c r="G909" s="180"/>
      <c r="H909" s="181" t="str">
        <f t="shared" ref="H909:H972" si="249">IF(G909="","",IF(OR(G909="第二类买点",G909="第三类买点"),"Buy","Sell"))</f>
        <v/>
      </c>
      <c r="I909" s="227"/>
      <c r="J909" s="227"/>
      <c r="K909" s="227"/>
      <c r="L909" s="227"/>
      <c r="M909" s="210" t="str">
        <f t="shared" si="237"/>
        <v/>
      </c>
      <c r="N909" s="210"/>
      <c r="O909" s="207"/>
      <c r="P909" s="182" t="str">
        <f t="shared" si="239"/>
        <v/>
      </c>
      <c r="Q909" s="183" t="str">
        <f t="shared" ref="Q909:Q972" si="250">IF(P909="","",IF(P909=0,0,P909/$I$4))</f>
        <v/>
      </c>
      <c r="R909" s="182" t="str">
        <f>IF(M909&lt;&gt;"",IF(#REF!*F909*10=0,"",#REF!*F909*10),"")</f>
        <v/>
      </c>
      <c r="S909" s="184" t="str">
        <f t="shared" ref="S909:S972" si="251">IF(P909="","",IF(P909=0,0,R909/P909))</f>
        <v/>
      </c>
      <c r="T909" s="185" t="str">
        <f t="shared" si="240"/>
        <v/>
      </c>
      <c r="U909" s="183" t="str">
        <f t="shared" ref="U909:U972" si="252">IF(T909="","",IF($I$4="","",T909/$I$4))</f>
        <v/>
      </c>
      <c r="V909" s="186" t="str">
        <f t="shared" si="241"/>
        <v/>
      </c>
      <c r="W909" s="186" t="str">
        <f t="shared" si="242"/>
        <v/>
      </c>
      <c r="X909" s="187" t="str">
        <f t="shared" si="243"/>
        <v/>
      </c>
      <c r="Y909" s="182" t="str">
        <f t="shared" si="236"/>
        <v/>
      </c>
      <c r="Z909" s="209" t="str">
        <f t="shared" si="244"/>
        <v/>
      </c>
      <c r="AA909" s="209" t="str">
        <f t="shared" si="245"/>
        <v/>
      </c>
      <c r="AB909" s="200"/>
      <c r="AC909" s="192"/>
    </row>
    <row r="910" spans="1:29" ht="11.4">
      <c r="A910" s="211" t="str">
        <f t="shared" si="246"/>
        <v/>
      </c>
      <c r="B910" s="211"/>
      <c r="C910" s="215"/>
      <c r="D910" s="213" t="str">
        <f t="shared" si="247"/>
        <v/>
      </c>
      <c r="E910" s="213" t="str">
        <f t="shared" si="238"/>
        <v/>
      </c>
      <c r="F910" s="214" t="str">
        <f t="shared" si="248"/>
        <v/>
      </c>
      <c r="G910" s="180"/>
      <c r="H910" s="181" t="str">
        <f t="shared" si="249"/>
        <v/>
      </c>
      <c r="I910" s="227"/>
      <c r="J910" s="227"/>
      <c r="K910" s="227"/>
      <c r="L910" s="227"/>
      <c r="M910" s="210" t="str">
        <f t="shared" si="237"/>
        <v/>
      </c>
      <c r="N910" s="210"/>
      <c r="O910" s="207"/>
      <c r="P910" s="182" t="str">
        <f t="shared" si="239"/>
        <v/>
      </c>
      <c r="Q910" s="183" t="str">
        <f t="shared" si="250"/>
        <v/>
      </c>
      <c r="R910" s="182" t="str">
        <f>IF(M910&lt;&gt;"",IF(#REF!*F910*10=0,"",#REF!*F910*10),"")</f>
        <v/>
      </c>
      <c r="S910" s="184" t="str">
        <f t="shared" si="251"/>
        <v/>
      </c>
      <c r="T910" s="185" t="str">
        <f t="shared" si="240"/>
        <v/>
      </c>
      <c r="U910" s="183" t="str">
        <f t="shared" si="252"/>
        <v/>
      </c>
      <c r="V910" s="186" t="str">
        <f t="shared" si="241"/>
        <v/>
      </c>
      <c r="W910" s="186" t="str">
        <f t="shared" si="242"/>
        <v/>
      </c>
      <c r="X910" s="187" t="str">
        <f t="shared" si="243"/>
        <v/>
      </c>
      <c r="Y910" s="182" t="str">
        <f t="shared" ref="Y910:Y973" si="253">IF(Y909="","",IF(T910="","",Y909+T910))</f>
        <v/>
      </c>
      <c r="Z910" s="209" t="str">
        <f t="shared" si="244"/>
        <v/>
      </c>
      <c r="AA910" s="209" t="str">
        <f t="shared" si="245"/>
        <v/>
      </c>
      <c r="AB910" s="200"/>
      <c r="AC910" s="192"/>
    </row>
    <row r="911" spans="1:29" ht="11.4">
      <c r="A911" s="211" t="str">
        <f t="shared" si="246"/>
        <v/>
      </c>
      <c r="B911" s="211"/>
      <c r="C911" s="215"/>
      <c r="D911" s="213" t="str">
        <f t="shared" si="247"/>
        <v/>
      </c>
      <c r="E911" s="213" t="str">
        <f t="shared" si="238"/>
        <v/>
      </c>
      <c r="F911" s="214" t="str">
        <f t="shared" si="248"/>
        <v/>
      </c>
      <c r="G911" s="180"/>
      <c r="H911" s="181" t="str">
        <f t="shared" si="249"/>
        <v/>
      </c>
      <c r="I911" s="227"/>
      <c r="J911" s="227"/>
      <c r="K911" s="227"/>
      <c r="L911" s="227"/>
      <c r="M911" s="210" t="str">
        <f t="shared" ref="M911:M974" si="254">IF(J911="","",J911)</f>
        <v/>
      </c>
      <c r="N911" s="210"/>
      <c r="O911" s="207"/>
      <c r="P911" s="182" t="str">
        <f t="shared" si="239"/>
        <v/>
      </c>
      <c r="Q911" s="183" t="str">
        <f t="shared" si="250"/>
        <v/>
      </c>
      <c r="R911" s="182" t="str">
        <f>IF(M911&lt;&gt;"",IF(#REF!*F911*10=0,"",#REF!*F911*10),"")</f>
        <v/>
      </c>
      <c r="S911" s="184" t="str">
        <f t="shared" si="251"/>
        <v/>
      </c>
      <c r="T911" s="185" t="str">
        <f t="shared" si="240"/>
        <v/>
      </c>
      <c r="U911" s="183" t="str">
        <f t="shared" si="252"/>
        <v/>
      </c>
      <c r="V911" s="186" t="str">
        <f t="shared" si="241"/>
        <v/>
      </c>
      <c r="W911" s="186" t="str">
        <f t="shared" si="242"/>
        <v/>
      </c>
      <c r="X911" s="187" t="str">
        <f t="shared" si="243"/>
        <v/>
      </c>
      <c r="Y911" s="182" t="str">
        <f t="shared" si="253"/>
        <v/>
      </c>
      <c r="Z911" s="209" t="str">
        <f t="shared" si="244"/>
        <v/>
      </c>
      <c r="AA911" s="209" t="str">
        <f t="shared" si="245"/>
        <v/>
      </c>
      <c r="AB911" s="200"/>
      <c r="AC911" s="192"/>
    </row>
    <row r="912" spans="1:29" ht="11.4">
      <c r="A912" s="211" t="str">
        <f t="shared" si="246"/>
        <v/>
      </c>
      <c r="B912" s="211"/>
      <c r="C912" s="215"/>
      <c r="D912" s="213" t="str">
        <f t="shared" si="247"/>
        <v/>
      </c>
      <c r="E912" s="213" t="str">
        <f t="shared" ref="E912:E975" si="255">IF(G912="","","M30")</f>
        <v/>
      </c>
      <c r="F912" s="214" t="str">
        <f t="shared" si="248"/>
        <v/>
      </c>
      <c r="G912" s="180"/>
      <c r="H912" s="181" t="str">
        <f t="shared" si="249"/>
        <v/>
      </c>
      <c r="I912" s="227"/>
      <c r="J912" s="227"/>
      <c r="K912" s="227"/>
      <c r="L912" s="227"/>
      <c r="M912" s="210" t="str">
        <f t="shared" si="254"/>
        <v/>
      </c>
      <c r="N912" s="210"/>
      <c r="O912" s="207"/>
      <c r="P912" s="182" t="str">
        <f t="shared" si="239"/>
        <v/>
      </c>
      <c r="Q912" s="183" t="str">
        <f t="shared" si="250"/>
        <v/>
      </c>
      <c r="R912" s="182" t="str">
        <f>IF(M912&lt;&gt;"",IF(#REF!*F912*10=0,"",#REF!*F912*10),"")</f>
        <v/>
      </c>
      <c r="S912" s="184" t="str">
        <f t="shared" si="251"/>
        <v/>
      </c>
      <c r="T912" s="185" t="str">
        <f t="shared" si="240"/>
        <v/>
      </c>
      <c r="U912" s="183" t="str">
        <f t="shared" si="252"/>
        <v/>
      </c>
      <c r="V912" s="186" t="str">
        <f t="shared" si="241"/>
        <v/>
      </c>
      <c r="W912" s="186" t="str">
        <f t="shared" si="242"/>
        <v/>
      </c>
      <c r="X912" s="187" t="str">
        <f t="shared" si="243"/>
        <v/>
      </c>
      <c r="Y912" s="182" t="str">
        <f t="shared" si="253"/>
        <v/>
      </c>
      <c r="Z912" s="209" t="str">
        <f t="shared" si="244"/>
        <v/>
      </c>
      <c r="AA912" s="209" t="str">
        <f t="shared" si="245"/>
        <v/>
      </c>
      <c r="AB912" s="200"/>
      <c r="AC912" s="192"/>
    </row>
    <row r="913" spans="1:29" ht="11.4">
      <c r="A913" s="211" t="str">
        <f t="shared" si="246"/>
        <v/>
      </c>
      <c r="B913" s="211"/>
      <c r="C913" s="215"/>
      <c r="D913" s="213" t="str">
        <f t="shared" si="247"/>
        <v/>
      </c>
      <c r="E913" s="213" t="str">
        <f t="shared" si="255"/>
        <v/>
      </c>
      <c r="F913" s="214" t="str">
        <f t="shared" si="248"/>
        <v/>
      </c>
      <c r="G913" s="180"/>
      <c r="H913" s="181" t="str">
        <f t="shared" si="249"/>
        <v/>
      </c>
      <c r="I913" s="227"/>
      <c r="J913" s="227"/>
      <c r="K913" s="227"/>
      <c r="L913" s="227"/>
      <c r="M913" s="210" t="str">
        <f t="shared" si="254"/>
        <v/>
      </c>
      <c r="N913" s="210"/>
      <c r="O913" s="207"/>
      <c r="P913" s="182" t="str">
        <f t="shared" si="239"/>
        <v/>
      </c>
      <c r="Q913" s="183" t="str">
        <f t="shared" si="250"/>
        <v/>
      </c>
      <c r="R913" s="182" t="str">
        <f>IF(M913&lt;&gt;"",IF(#REF!*F913*10=0,"",#REF!*F913*10),"")</f>
        <v/>
      </c>
      <c r="S913" s="184" t="str">
        <f t="shared" si="251"/>
        <v/>
      </c>
      <c r="T913" s="185" t="str">
        <f t="shared" si="240"/>
        <v/>
      </c>
      <c r="U913" s="183" t="str">
        <f t="shared" si="252"/>
        <v/>
      </c>
      <c r="V913" s="186" t="str">
        <f t="shared" si="241"/>
        <v/>
      </c>
      <c r="W913" s="186" t="str">
        <f t="shared" si="242"/>
        <v/>
      </c>
      <c r="X913" s="187" t="str">
        <f t="shared" si="243"/>
        <v/>
      </c>
      <c r="Y913" s="182" t="str">
        <f t="shared" si="253"/>
        <v/>
      </c>
      <c r="Z913" s="209" t="str">
        <f t="shared" si="244"/>
        <v/>
      </c>
      <c r="AA913" s="209" t="str">
        <f t="shared" si="245"/>
        <v/>
      </c>
      <c r="AB913" s="200"/>
      <c r="AC913" s="192"/>
    </row>
    <row r="914" spans="1:29" ht="11.4">
      <c r="A914" s="211" t="str">
        <f t="shared" si="246"/>
        <v/>
      </c>
      <c r="B914" s="211"/>
      <c r="C914" s="215"/>
      <c r="D914" s="213" t="str">
        <f t="shared" si="247"/>
        <v/>
      </c>
      <c r="E914" s="213" t="str">
        <f t="shared" si="255"/>
        <v/>
      </c>
      <c r="F914" s="214" t="str">
        <f t="shared" si="248"/>
        <v/>
      </c>
      <c r="G914" s="180"/>
      <c r="H914" s="181" t="str">
        <f t="shared" si="249"/>
        <v/>
      </c>
      <c r="I914" s="227"/>
      <c r="J914" s="227"/>
      <c r="K914" s="227"/>
      <c r="L914" s="227"/>
      <c r="M914" s="210" t="str">
        <f t="shared" si="254"/>
        <v/>
      </c>
      <c r="N914" s="210"/>
      <c r="O914" s="207"/>
      <c r="P914" s="182" t="str">
        <f t="shared" si="239"/>
        <v/>
      </c>
      <c r="Q914" s="183" t="str">
        <f t="shared" si="250"/>
        <v/>
      </c>
      <c r="R914" s="182" t="str">
        <f>IF(M914&lt;&gt;"",IF(#REF!*F914*10=0,"",#REF!*F914*10),"")</f>
        <v/>
      </c>
      <c r="S914" s="184" t="str">
        <f t="shared" si="251"/>
        <v/>
      </c>
      <c r="T914" s="185" t="str">
        <f t="shared" si="240"/>
        <v/>
      </c>
      <c r="U914" s="183" t="str">
        <f t="shared" si="252"/>
        <v/>
      </c>
      <c r="V914" s="186" t="str">
        <f t="shared" si="241"/>
        <v/>
      </c>
      <c r="W914" s="186" t="str">
        <f t="shared" si="242"/>
        <v/>
      </c>
      <c r="X914" s="187" t="str">
        <f t="shared" si="243"/>
        <v/>
      </c>
      <c r="Y914" s="182" t="str">
        <f t="shared" si="253"/>
        <v/>
      </c>
      <c r="Z914" s="209" t="str">
        <f t="shared" si="244"/>
        <v/>
      </c>
      <c r="AA914" s="209" t="str">
        <f t="shared" si="245"/>
        <v/>
      </c>
      <c r="AB914" s="200"/>
      <c r="AC914" s="192"/>
    </row>
    <row r="915" spans="1:29" ht="11.4">
      <c r="A915" s="211" t="str">
        <f t="shared" si="246"/>
        <v/>
      </c>
      <c r="B915" s="211"/>
      <c r="C915" s="215"/>
      <c r="D915" s="213" t="str">
        <f t="shared" si="247"/>
        <v/>
      </c>
      <c r="E915" s="213" t="str">
        <f t="shared" si="255"/>
        <v/>
      </c>
      <c r="F915" s="214" t="str">
        <f t="shared" si="248"/>
        <v/>
      </c>
      <c r="G915" s="180"/>
      <c r="H915" s="181" t="str">
        <f t="shared" si="249"/>
        <v/>
      </c>
      <c r="I915" s="227"/>
      <c r="J915" s="227"/>
      <c r="K915" s="227"/>
      <c r="L915" s="227"/>
      <c r="M915" s="210" t="str">
        <f t="shared" si="254"/>
        <v/>
      </c>
      <c r="N915" s="210"/>
      <c r="O915" s="207"/>
      <c r="P915" s="182" t="str">
        <f t="shared" si="239"/>
        <v/>
      </c>
      <c r="Q915" s="183" t="str">
        <f t="shared" si="250"/>
        <v/>
      </c>
      <c r="R915" s="182" t="str">
        <f>IF(M915&lt;&gt;"",IF(#REF!*F915*10=0,"",#REF!*F915*10),"")</f>
        <v/>
      </c>
      <c r="S915" s="184" t="str">
        <f t="shared" si="251"/>
        <v/>
      </c>
      <c r="T915" s="185" t="str">
        <f t="shared" si="240"/>
        <v/>
      </c>
      <c r="U915" s="183" t="str">
        <f t="shared" si="252"/>
        <v/>
      </c>
      <c r="V915" s="186" t="str">
        <f t="shared" si="241"/>
        <v/>
      </c>
      <c r="W915" s="186" t="str">
        <f t="shared" si="242"/>
        <v/>
      </c>
      <c r="X915" s="187" t="str">
        <f t="shared" si="243"/>
        <v/>
      </c>
      <c r="Y915" s="182" t="str">
        <f t="shared" si="253"/>
        <v/>
      </c>
      <c r="Z915" s="209" t="str">
        <f t="shared" si="244"/>
        <v/>
      </c>
      <c r="AA915" s="209" t="str">
        <f t="shared" si="245"/>
        <v/>
      </c>
      <c r="AB915" s="200"/>
      <c r="AC915" s="192"/>
    </row>
    <row r="916" spans="1:29" ht="11.4">
      <c r="A916" s="211" t="str">
        <f t="shared" si="246"/>
        <v/>
      </c>
      <c r="B916" s="211"/>
      <c r="C916" s="215"/>
      <c r="D916" s="213" t="str">
        <f t="shared" si="247"/>
        <v/>
      </c>
      <c r="E916" s="213" t="str">
        <f t="shared" si="255"/>
        <v/>
      </c>
      <c r="F916" s="214" t="str">
        <f t="shared" si="248"/>
        <v/>
      </c>
      <c r="G916" s="180"/>
      <c r="H916" s="181" t="str">
        <f t="shared" si="249"/>
        <v/>
      </c>
      <c r="I916" s="227"/>
      <c r="J916" s="227"/>
      <c r="K916" s="227"/>
      <c r="L916" s="227"/>
      <c r="M916" s="210" t="str">
        <f t="shared" si="254"/>
        <v/>
      </c>
      <c r="N916" s="210"/>
      <c r="O916" s="207"/>
      <c r="P916" s="182" t="str">
        <f t="shared" si="239"/>
        <v/>
      </c>
      <c r="Q916" s="183" t="str">
        <f t="shared" si="250"/>
        <v/>
      </c>
      <c r="R916" s="182" t="str">
        <f>IF(M916&lt;&gt;"",IF(#REF!*F916*10=0,"",#REF!*F916*10),"")</f>
        <v/>
      </c>
      <c r="S916" s="184" t="str">
        <f t="shared" si="251"/>
        <v/>
      </c>
      <c r="T916" s="185" t="str">
        <f t="shared" si="240"/>
        <v/>
      </c>
      <c r="U916" s="183" t="str">
        <f t="shared" si="252"/>
        <v/>
      </c>
      <c r="V916" s="186" t="str">
        <f t="shared" si="241"/>
        <v/>
      </c>
      <c r="W916" s="186" t="str">
        <f t="shared" si="242"/>
        <v/>
      </c>
      <c r="X916" s="187" t="str">
        <f t="shared" si="243"/>
        <v/>
      </c>
      <c r="Y916" s="182" t="str">
        <f t="shared" si="253"/>
        <v/>
      </c>
      <c r="Z916" s="209" t="str">
        <f t="shared" si="244"/>
        <v/>
      </c>
      <c r="AA916" s="209" t="str">
        <f t="shared" si="245"/>
        <v/>
      </c>
      <c r="AB916" s="200"/>
      <c r="AC916" s="192"/>
    </row>
    <row r="917" spans="1:29" ht="11.4">
      <c r="A917" s="211" t="str">
        <f t="shared" si="246"/>
        <v/>
      </c>
      <c r="B917" s="211"/>
      <c r="C917" s="215"/>
      <c r="D917" s="213" t="str">
        <f t="shared" si="247"/>
        <v/>
      </c>
      <c r="E917" s="213" t="str">
        <f t="shared" si="255"/>
        <v/>
      </c>
      <c r="F917" s="214" t="str">
        <f t="shared" si="248"/>
        <v/>
      </c>
      <c r="G917" s="180"/>
      <c r="H917" s="181" t="str">
        <f t="shared" si="249"/>
        <v/>
      </c>
      <c r="I917" s="227"/>
      <c r="J917" s="227"/>
      <c r="K917" s="227"/>
      <c r="L917" s="227"/>
      <c r="M917" s="210" t="str">
        <f t="shared" si="254"/>
        <v/>
      </c>
      <c r="N917" s="210"/>
      <c r="O917" s="207"/>
      <c r="P917" s="182" t="str">
        <f t="shared" si="239"/>
        <v/>
      </c>
      <c r="Q917" s="183" t="str">
        <f t="shared" si="250"/>
        <v/>
      </c>
      <c r="R917" s="182" t="str">
        <f>IF(M917&lt;&gt;"",IF(#REF!*F917*10=0,"",#REF!*F917*10),"")</f>
        <v/>
      </c>
      <c r="S917" s="184" t="str">
        <f t="shared" si="251"/>
        <v/>
      </c>
      <c r="T917" s="185" t="str">
        <f t="shared" si="240"/>
        <v/>
      </c>
      <c r="U917" s="183" t="str">
        <f t="shared" si="252"/>
        <v/>
      </c>
      <c r="V917" s="186" t="str">
        <f t="shared" si="241"/>
        <v/>
      </c>
      <c r="W917" s="186" t="str">
        <f t="shared" si="242"/>
        <v/>
      </c>
      <c r="X917" s="187" t="str">
        <f t="shared" si="243"/>
        <v/>
      </c>
      <c r="Y917" s="182" t="str">
        <f t="shared" si="253"/>
        <v/>
      </c>
      <c r="Z917" s="209" t="str">
        <f t="shared" si="244"/>
        <v/>
      </c>
      <c r="AA917" s="209" t="str">
        <f t="shared" si="245"/>
        <v/>
      </c>
      <c r="AB917" s="200"/>
      <c r="AC917" s="192"/>
    </row>
    <row r="918" spans="1:29" ht="11.4">
      <c r="A918" s="211" t="str">
        <f t="shared" si="246"/>
        <v/>
      </c>
      <c r="B918" s="211"/>
      <c r="C918" s="215"/>
      <c r="D918" s="213" t="str">
        <f t="shared" si="247"/>
        <v/>
      </c>
      <c r="E918" s="213" t="str">
        <f t="shared" si="255"/>
        <v/>
      </c>
      <c r="F918" s="214" t="str">
        <f t="shared" si="248"/>
        <v/>
      </c>
      <c r="G918" s="180"/>
      <c r="H918" s="181" t="str">
        <f t="shared" si="249"/>
        <v/>
      </c>
      <c r="I918" s="227"/>
      <c r="J918" s="227"/>
      <c r="K918" s="227"/>
      <c r="L918" s="227"/>
      <c r="M918" s="210" t="str">
        <f t="shared" si="254"/>
        <v/>
      </c>
      <c r="N918" s="210"/>
      <c r="O918" s="207"/>
      <c r="P918" s="182" t="str">
        <f t="shared" si="239"/>
        <v/>
      </c>
      <c r="Q918" s="183" t="str">
        <f t="shared" si="250"/>
        <v/>
      </c>
      <c r="R918" s="182" t="str">
        <f>IF(M918&lt;&gt;"",IF(#REF!*F918*10=0,"",#REF!*F918*10),"")</f>
        <v/>
      </c>
      <c r="S918" s="184" t="str">
        <f t="shared" si="251"/>
        <v/>
      </c>
      <c r="T918" s="185" t="str">
        <f t="shared" si="240"/>
        <v/>
      </c>
      <c r="U918" s="183" t="str">
        <f t="shared" si="252"/>
        <v/>
      </c>
      <c r="V918" s="186" t="str">
        <f t="shared" si="241"/>
        <v/>
      </c>
      <c r="W918" s="186" t="str">
        <f t="shared" si="242"/>
        <v/>
      </c>
      <c r="X918" s="187" t="str">
        <f t="shared" si="243"/>
        <v/>
      </c>
      <c r="Y918" s="182" t="str">
        <f t="shared" si="253"/>
        <v/>
      </c>
      <c r="Z918" s="209" t="str">
        <f t="shared" si="244"/>
        <v/>
      </c>
      <c r="AA918" s="209" t="str">
        <f t="shared" si="245"/>
        <v/>
      </c>
      <c r="AB918" s="200"/>
      <c r="AC918" s="192"/>
    </row>
    <row r="919" spans="1:29" ht="11.4">
      <c r="A919" s="211" t="str">
        <f t="shared" si="246"/>
        <v/>
      </c>
      <c r="B919" s="211"/>
      <c r="C919" s="215"/>
      <c r="D919" s="213" t="str">
        <f t="shared" si="247"/>
        <v/>
      </c>
      <c r="E919" s="213" t="str">
        <f t="shared" si="255"/>
        <v/>
      </c>
      <c r="F919" s="214" t="str">
        <f t="shared" si="248"/>
        <v/>
      </c>
      <c r="G919" s="180"/>
      <c r="H919" s="181" t="str">
        <f t="shared" si="249"/>
        <v/>
      </c>
      <c r="I919" s="227"/>
      <c r="J919" s="227"/>
      <c r="K919" s="227"/>
      <c r="L919" s="227"/>
      <c r="M919" s="210" t="str">
        <f t="shared" si="254"/>
        <v/>
      </c>
      <c r="N919" s="210"/>
      <c r="O919" s="207"/>
      <c r="P919" s="182" t="str">
        <f t="shared" si="239"/>
        <v/>
      </c>
      <c r="Q919" s="183" t="str">
        <f t="shared" si="250"/>
        <v/>
      </c>
      <c r="R919" s="182" t="str">
        <f>IF(M919&lt;&gt;"",IF(#REF!*F919*10=0,"",#REF!*F919*10),"")</f>
        <v/>
      </c>
      <c r="S919" s="184" t="str">
        <f t="shared" si="251"/>
        <v/>
      </c>
      <c r="T919" s="185" t="str">
        <f t="shared" si="240"/>
        <v/>
      </c>
      <c r="U919" s="183" t="str">
        <f t="shared" si="252"/>
        <v/>
      </c>
      <c r="V919" s="186" t="str">
        <f t="shared" si="241"/>
        <v/>
      </c>
      <c r="W919" s="186" t="str">
        <f t="shared" si="242"/>
        <v/>
      </c>
      <c r="X919" s="187" t="str">
        <f t="shared" si="243"/>
        <v/>
      </c>
      <c r="Y919" s="182" t="str">
        <f t="shared" si="253"/>
        <v/>
      </c>
      <c r="Z919" s="209" t="str">
        <f t="shared" si="244"/>
        <v/>
      </c>
      <c r="AA919" s="209" t="str">
        <f t="shared" si="245"/>
        <v/>
      </c>
      <c r="AB919" s="200"/>
      <c r="AC919" s="192"/>
    </row>
    <row r="920" spans="1:29" ht="11.4">
      <c r="A920" s="211" t="str">
        <f t="shared" si="246"/>
        <v/>
      </c>
      <c r="B920" s="211"/>
      <c r="C920" s="215"/>
      <c r="D920" s="213" t="str">
        <f t="shared" si="247"/>
        <v/>
      </c>
      <c r="E920" s="213" t="str">
        <f t="shared" si="255"/>
        <v/>
      </c>
      <c r="F920" s="214" t="str">
        <f t="shared" si="248"/>
        <v/>
      </c>
      <c r="G920" s="180"/>
      <c r="H920" s="181" t="str">
        <f t="shared" si="249"/>
        <v/>
      </c>
      <c r="I920" s="227"/>
      <c r="J920" s="227"/>
      <c r="K920" s="227"/>
      <c r="L920" s="227"/>
      <c r="M920" s="210" t="str">
        <f t="shared" si="254"/>
        <v/>
      </c>
      <c r="N920" s="210"/>
      <c r="O920" s="207"/>
      <c r="P920" s="182" t="str">
        <f t="shared" si="239"/>
        <v/>
      </c>
      <c r="Q920" s="183" t="str">
        <f t="shared" si="250"/>
        <v/>
      </c>
      <c r="R920" s="182" t="str">
        <f>IF(M920&lt;&gt;"",IF(#REF!*F920*10=0,"",#REF!*F920*10),"")</f>
        <v/>
      </c>
      <c r="S920" s="184" t="str">
        <f t="shared" si="251"/>
        <v/>
      </c>
      <c r="T920" s="185" t="str">
        <f t="shared" si="240"/>
        <v/>
      </c>
      <c r="U920" s="183" t="str">
        <f t="shared" si="252"/>
        <v/>
      </c>
      <c r="V920" s="186" t="str">
        <f t="shared" si="241"/>
        <v/>
      </c>
      <c r="W920" s="186" t="str">
        <f t="shared" si="242"/>
        <v/>
      </c>
      <c r="X920" s="187" t="str">
        <f t="shared" si="243"/>
        <v/>
      </c>
      <c r="Y920" s="182" t="str">
        <f t="shared" si="253"/>
        <v/>
      </c>
      <c r="Z920" s="209" t="str">
        <f t="shared" si="244"/>
        <v/>
      </c>
      <c r="AA920" s="209" t="str">
        <f t="shared" si="245"/>
        <v/>
      </c>
      <c r="AB920" s="200"/>
      <c r="AC920" s="192"/>
    </row>
    <row r="921" spans="1:29" ht="11.4">
      <c r="A921" s="211" t="str">
        <f t="shared" si="246"/>
        <v/>
      </c>
      <c r="B921" s="211"/>
      <c r="C921" s="215"/>
      <c r="D921" s="213" t="str">
        <f t="shared" si="247"/>
        <v/>
      </c>
      <c r="E921" s="213" t="str">
        <f t="shared" si="255"/>
        <v/>
      </c>
      <c r="F921" s="214" t="str">
        <f t="shared" si="248"/>
        <v/>
      </c>
      <c r="G921" s="180"/>
      <c r="H921" s="181" t="str">
        <f t="shared" si="249"/>
        <v/>
      </c>
      <c r="I921" s="227"/>
      <c r="J921" s="227"/>
      <c r="K921" s="227"/>
      <c r="L921" s="227"/>
      <c r="M921" s="210" t="str">
        <f t="shared" si="254"/>
        <v/>
      </c>
      <c r="N921" s="210"/>
      <c r="O921" s="207"/>
      <c r="P921" s="182" t="str">
        <f t="shared" si="239"/>
        <v/>
      </c>
      <c r="Q921" s="183" t="str">
        <f t="shared" si="250"/>
        <v/>
      </c>
      <c r="R921" s="182" t="str">
        <f>IF(M921&lt;&gt;"",IF(#REF!*F921*10=0,"",#REF!*F921*10),"")</f>
        <v/>
      </c>
      <c r="S921" s="184" t="str">
        <f t="shared" si="251"/>
        <v/>
      </c>
      <c r="T921" s="185" t="str">
        <f t="shared" si="240"/>
        <v/>
      </c>
      <c r="U921" s="183" t="str">
        <f t="shared" si="252"/>
        <v/>
      </c>
      <c r="V921" s="186" t="str">
        <f t="shared" si="241"/>
        <v/>
      </c>
      <c r="W921" s="186" t="str">
        <f t="shared" si="242"/>
        <v/>
      </c>
      <c r="X921" s="187" t="str">
        <f t="shared" si="243"/>
        <v/>
      </c>
      <c r="Y921" s="182" t="str">
        <f t="shared" si="253"/>
        <v/>
      </c>
      <c r="Z921" s="209" t="str">
        <f t="shared" si="244"/>
        <v/>
      </c>
      <c r="AA921" s="209" t="str">
        <f t="shared" si="245"/>
        <v/>
      </c>
      <c r="AB921" s="200"/>
      <c r="AC921" s="192"/>
    </row>
    <row r="922" spans="1:29" ht="11.4">
      <c r="A922" s="211" t="str">
        <f t="shared" si="246"/>
        <v/>
      </c>
      <c r="B922" s="211"/>
      <c r="C922" s="215"/>
      <c r="D922" s="213" t="str">
        <f t="shared" si="247"/>
        <v/>
      </c>
      <c r="E922" s="213" t="str">
        <f t="shared" si="255"/>
        <v/>
      </c>
      <c r="F922" s="214" t="str">
        <f t="shared" si="248"/>
        <v/>
      </c>
      <c r="G922" s="180"/>
      <c r="H922" s="181" t="str">
        <f t="shared" si="249"/>
        <v/>
      </c>
      <c r="I922" s="227"/>
      <c r="J922" s="227"/>
      <c r="K922" s="227"/>
      <c r="L922" s="227"/>
      <c r="M922" s="210" t="str">
        <f t="shared" si="254"/>
        <v/>
      </c>
      <c r="N922" s="210"/>
      <c r="O922" s="207"/>
      <c r="P922" s="182" t="str">
        <f t="shared" si="239"/>
        <v/>
      </c>
      <c r="Q922" s="183" t="str">
        <f t="shared" si="250"/>
        <v/>
      </c>
      <c r="R922" s="182" t="str">
        <f>IF(M922&lt;&gt;"",IF(#REF!*F922*10=0,"",#REF!*F922*10),"")</f>
        <v/>
      </c>
      <c r="S922" s="184" t="str">
        <f t="shared" si="251"/>
        <v/>
      </c>
      <c r="T922" s="185" t="str">
        <f t="shared" si="240"/>
        <v/>
      </c>
      <c r="U922" s="183" t="str">
        <f t="shared" si="252"/>
        <v/>
      </c>
      <c r="V922" s="186" t="str">
        <f t="shared" si="241"/>
        <v/>
      </c>
      <c r="W922" s="186" t="str">
        <f t="shared" si="242"/>
        <v/>
      </c>
      <c r="X922" s="187" t="str">
        <f t="shared" si="243"/>
        <v/>
      </c>
      <c r="Y922" s="182" t="str">
        <f t="shared" si="253"/>
        <v/>
      </c>
      <c r="Z922" s="209" t="str">
        <f t="shared" si="244"/>
        <v/>
      </c>
      <c r="AA922" s="209" t="str">
        <f t="shared" si="245"/>
        <v/>
      </c>
      <c r="AB922" s="200"/>
      <c r="AC922" s="192"/>
    </row>
    <row r="923" spans="1:29" ht="11.4">
      <c r="A923" s="211" t="str">
        <f t="shared" si="246"/>
        <v/>
      </c>
      <c r="B923" s="211"/>
      <c r="C923" s="215"/>
      <c r="D923" s="213" t="str">
        <f t="shared" si="247"/>
        <v/>
      </c>
      <c r="E923" s="213" t="str">
        <f t="shared" si="255"/>
        <v/>
      </c>
      <c r="F923" s="214" t="str">
        <f t="shared" si="248"/>
        <v/>
      </c>
      <c r="G923" s="180"/>
      <c r="H923" s="181" t="str">
        <f t="shared" si="249"/>
        <v/>
      </c>
      <c r="I923" s="227"/>
      <c r="J923" s="227"/>
      <c r="K923" s="227"/>
      <c r="L923" s="227"/>
      <c r="M923" s="210" t="str">
        <f t="shared" si="254"/>
        <v/>
      </c>
      <c r="N923" s="210"/>
      <c r="O923" s="207"/>
      <c r="P923" s="182" t="str">
        <f t="shared" si="239"/>
        <v/>
      </c>
      <c r="Q923" s="183" t="str">
        <f t="shared" si="250"/>
        <v/>
      </c>
      <c r="R923" s="182" t="str">
        <f>IF(M923&lt;&gt;"",IF(#REF!*F923*10=0,"",#REF!*F923*10),"")</f>
        <v/>
      </c>
      <c r="S923" s="184" t="str">
        <f t="shared" si="251"/>
        <v/>
      </c>
      <c r="T923" s="185" t="str">
        <f t="shared" si="240"/>
        <v/>
      </c>
      <c r="U923" s="183" t="str">
        <f t="shared" si="252"/>
        <v/>
      </c>
      <c r="V923" s="186" t="str">
        <f t="shared" si="241"/>
        <v/>
      </c>
      <c r="W923" s="186" t="str">
        <f t="shared" si="242"/>
        <v/>
      </c>
      <c r="X923" s="187" t="str">
        <f t="shared" si="243"/>
        <v/>
      </c>
      <c r="Y923" s="182" t="str">
        <f t="shared" si="253"/>
        <v/>
      </c>
      <c r="Z923" s="209" t="str">
        <f t="shared" si="244"/>
        <v/>
      </c>
      <c r="AA923" s="209" t="str">
        <f t="shared" si="245"/>
        <v/>
      </c>
      <c r="AB923" s="200"/>
      <c r="AC923" s="192"/>
    </row>
    <row r="924" spans="1:29" ht="11.4">
      <c r="A924" s="211" t="str">
        <f t="shared" si="246"/>
        <v/>
      </c>
      <c r="B924" s="211"/>
      <c r="C924" s="215"/>
      <c r="D924" s="213" t="str">
        <f t="shared" si="247"/>
        <v/>
      </c>
      <c r="E924" s="213" t="str">
        <f t="shared" si="255"/>
        <v/>
      </c>
      <c r="F924" s="214" t="str">
        <f t="shared" si="248"/>
        <v/>
      </c>
      <c r="G924" s="180"/>
      <c r="H924" s="181" t="str">
        <f t="shared" si="249"/>
        <v/>
      </c>
      <c r="I924" s="227"/>
      <c r="J924" s="227"/>
      <c r="K924" s="227"/>
      <c r="L924" s="227"/>
      <c r="M924" s="210" t="str">
        <f t="shared" si="254"/>
        <v/>
      </c>
      <c r="N924" s="210"/>
      <c r="O924" s="207"/>
      <c r="P924" s="182" t="str">
        <f t="shared" si="239"/>
        <v/>
      </c>
      <c r="Q924" s="183" t="str">
        <f t="shared" si="250"/>
        <v/>
      </c>
      <c r="R924" s="182" t="str">
        <f>IF(M924&lt;&gt;"",IF(#REF!*F924*10=0,"",#REF!*F924*10),"")</f>
        <v/>
      </c>
      <c r="S924" s="184" t="str">
        <f t="shared" si="251"/>
        <v/>
      </c>
      <c r="T924" s="185" t="str">
        <f t="shared" si="240"/>
        <v/>
      </c>
      <c r="U924" s="183" t="str">
        <f t="shared" si="252"/>
        <v/>
      </c>
      <c r="V924" s="186" t="str">
        <f t="shared" si="241"/>
        <v/>
      </c>
      <c r="W924" s="186" t="str">
        <f t="shared" si="242"/>
        <v/>
      </c>
      <c r="X924" s="187" t="str">
        <f t="shared" si="243"/>
        <v/>
      </c>
      <c r="Y924" s="182" t="str">
        <f t="shared" si="253"/>
        <v/>
      </c>
      <c r="Z924" s="209" t="str">
        <f t="shared" si="244"/>
        <v/>
      </c>
      <c r="AA924" s="209" t="str">
        <f t="shared" si="245"/>
        <v/>
      </c>
      <c r="AB924" s="200"/>
      <c r="AC924" s="192"/>
    </row>
    <row r="925" spans="1:29" ht="11.4">
      <c r="A925" s="211" t="str">
        <f t="shared" si="246"/>
        <v/>
      </c>
      <c r="B925" s="211"/>
      <c r="C925" s="215"/>
      <c r="D925" s="213" t="str">
        <f t="shared" si="247"/>
        <v/>
      </c>
      <c r="E925" s="213" t="str">
        <f t="shared" si="255"/>
        <v/>
      </c>
      <c r="F925" s="214" t="str">
        <f t="shared" si="248"/>
        <v/>
      </c>
      <c r="G925" s="180"/>
      <c r="H925" s="181" t="str">
        <f t="shared" si="249"/>
        <v/>
      </c>
      <c r="I925" s="227"/>
      <c r="J925" s="227"/>
      <c r="K925" s="227"/>
      <c r="L925" s="227"/>
      <c r="M925" s="210" t="str">
        <f t="shared" si="254"/>
        <v/>
      </c>
      <c r="N925" s="210"/>
      <c r="O925" s="207"/>
      <c r="P925" s="182" t="str">
        <f t="shared" si="239"/>
        <v/>
      </c>
      <c r="Q925" s="183" t="str">
        <f t="shared" si="250"/>
        <v/>
      </c>
      <c r="R925" s="182" t="str">
        <f>IF(M925&lt;&gt;"",IF(#REF!*F925*10=0,"",#REF!*F925*10),"")</f>
        <v/>
      </c>
      <c r="S925" s="184" t="str">
        <f t="shared" si="251"/>
        <v/>
      </c>
      <c r="T925" s="185" t="str">
        <f t="shared" si="240"/>
        <v/>
      </c>
      <c r="U925" s="183" t="str">
        <f t="shared" si="252"/>
        <v/>
      </c>
      <c r="V925" s="186" t="str">
        <f t="shared" si="241"/>
        <v/>
      </c>
      <c r="W925" s="186" t="str">
        <f t="shared" si="242"/>
        <v/>
      </c>
      <c r="X925" s="187" t="str">
        <f t="shared" si="243"/>
        <v/>
      </c>
      <c r="Y925" s="182" t="str">
        <f t="shared" si="253"/>
        <v/>
      </c>
      <c r="Z925" s="209" t="str">
        <f t="shared" si="244"/>
        <v/>
      </c>
      <c r="AA925" s="209" t="str">
        <f t="shared" si="245"/>
        <v/>
      </c>
      <c r="AB925" s="200"/>
      <c r="AC925" s="192"/>
    </row>
    <row r="926" spans="1:29" ht="11.4">
      <c r="A926" s="211" t="str">
        <f t="shared" si="246"/>
        <v/>
      </c>
      <c r="B926" s="211"/>
      <c r="C926" s="215"/>
      <c r="D926" s="213" t="str">
        <f t="shared" si="247"/>
        <v/>
      </c>
      <c r="E926" s="213" t="str">
        <f t="shared" si="255"/>
        <v/>
      </c>
      <c r="F926" s="214" t="str">
        <f t="shared" si="248"/>
        <v/>
      </c>
      <c r="G926" s="180"/>
      <c r="H926" s="181" t="str">
        <f t="shared" si="249"/>
        <v/>
      </c>
      <c r="I926" s="227"/>
      <c r="J926" s="227"/>
      <c r="K926" s="227"/>
      <c r="L926" s="227"/>
      <c r="M926" s="210" t="str">
        <f t="shared" si="254"/>
        <v/>
      </c>
      <c r="N926" s="210"/>
      <c r="O926" s="207"/>
      <c r="P926" s="182" t="str">
        <f t="shared" si="239"/>
        <v/>
      </c>
      <c r="Q926" s="183" t="str">
        <f t="shared" si="250"/>
        <v/>
      </c>
      <c r="R926" s="182" t="str">
        <f>IF(M926&lt;&gt;"",IF(#REF!*F926*10=0,"",#REF!*F926*10),"")</f>
        <v/>
      </c>
      <c r="S926" s="184" t="str">
        <f t="shared" si="251"/>
        <v/>
      </c>
      <c r="T926" s="185" t="str">
        <f t="shared" si="240"/>
        <v/>
      </c>
      <c r="U926" s="183" t="str">
        <f t="shared" si="252"/>
        <v/>
      </c>
      <c r="V926" s="186" t="str">
        <f t="shared" si="241"/>
        <v/>
      </c>
      <c r="W926" s="186" t="str">
        <f t="shared" si="242"/>
        <v/>
      </c>
      <c r="X926" s="187" t="str">
        <f t="shared" si="243"/>
        <v/>
      </c>
      <c r="Y926" s="182" t="str">
        <f t="shared" si="253"/>
        <v/>
      </c>
      <c r="Z926" s="209" t="str">
        <f t="shared" si="244"/>
        <v/>
      </c>
      <c r="AA926" s="209" t="str">
        <f t="shared" si="245"/>
        <v/>
      </c>
      <c r="AB926" s="200"/>
      <c r="AC926" s="192"/>
    </row>
    <row r="927" spans="1:29" ht="11.4">
      <c r="A927" s="211" t="str">
        <f t="shared" si="246"/>
        <v/>
      </c>
      <c r="B927" s="211"/>
      <c r="C927" s="215"/>
      <c r="D927" s="213" t="str">
        <f t="shared" si="247"/>
        <v/>
      </c>
      <c r="E927" s="213" t="str">
        <f t="shared" si="255"/>
        <v/>
      </c>
      <c r="F927" s="214" t="str">
        <f t="shared" si="248"/>
        <v/>
      </c>
      <c r="G927" s="180"/>
      <c r="H927" s="181" t="str">
        <f t="shared" si="249"/>
        <v/>
      </c>
      <c r="I927" s="227"/>
      <c r="J927" s="227"/>
      <c r="K927" s="227"/>
      <c r="L927" s="227"/>
      <c r="M927" s="210" t="str">
        <f t="shared" si="254"/>
        <v/>
      </c>
      <c r="N927" s="210"/>
      <c r="O927" s="207"/>
      <c r="P927" s="182" t="str">
        <f t="shared" si="239"/>
        <v/>
      </c>
      <c r="Q927" s="183" t="str">
        <f t="shared" si="250"/>
        <v/>
      </c>
      <c r="R927" s="182" t="str">
        <f>IF(M927&lt;&gt;"",IF(#REF!*F927*10=0,"",#REF!*F927*10),"")</f>
        <v/>
      </c>
      <c r="S927" s="184" t="str">
        <f t="shared" si="251"/>
        <v/>
      </c>
      <c r="T927" s="185" t="str">
        <f t="shared" si="240"/>
        <v/>
      </c>
      <c r="U927" s="183" t="str">
        <f t="shared" si="252"/>
        <v/>
      </c>
      <c r="V927" s="186" t="str">
        <f t="shared" si="241"/>
        <v/>
      </c>
      <c r="W927" s="186" t="str">
        <f t="shared" si="242"/>
        <v/>
      </c>
      <c r="X927" s="187" t="str">
        <f t="shared" si="243"/>
        <v/>
      </c>
      <c r="Y927" s="182" t="str">
        <f t="shared" si="253"/>
        <v/>
      </c>
      <c r="Z927" s="209" t="str">
        <f t="shared" si="244"/>
        <v/>
      </c>
      <c r="AA927" s="209" t="str">
        <f t="shared" si="245"/>
        <v/>
      </c>
      <c r="AB927" s="200"/>
      <c r="AC927" s="192"/>
    </row>
    <row r="928" spans="1:29" ht="11.4">
      <c r="A928" s="211" t="str">
        <f t="shared" si="246"/>
        <v/>
      </c>
      <c r="B928" s="211"/>
      <c r="C928" s="215"/>
      <c r="D928" s="213" t="str">
        <f t="shared" si="247"/>
        <v/>
      </c>
      <c r="E928" s="213" t="str">
        <f t="shared" si="255"/>
        <v/>
      </c>
      <c r="F928" s="214" t="str">
        <f t="shared" si="248"/>
        <v/>
      </c>
      <c r="G928" s="180"/>
      <c r="H928" s="181" t="str">
        <f t="shared" si="249"/>
        <v/>
      </c>
      <c r="I928" s="227"/>
      <c r="J928" s="227"/>
      <c r="K928" s="227"/>
      <c r="L928" s="227"/>
      <c r="M928" s="210" t="str">
        <f t="shared" si="254"/>
        <v/>
      </c>
      <c r="N928" s="210"/>
      <c r="O928" s="207"/>
      <c r="P928" s="182" t="str">
        <f t="shared" si="239"/>
        <v/>
      </c>
      <c r="Q928" s="183" t="str">
        <f t="shared" si="250"/>
        <v/>
      </c>
      <c r="R928" s="182" t="str">
        <f>IF(M928&lt;&gt;"",IF(#REF!*F928*10=0,"",#REF!*F928*10),"")</f>
        <v/>
      </c>
      <c r="S928" s="184" t="str">
        <f t="shared" si="251"/>
        <v/>
      </c>
      <c r="T928" s="185" t="str">
        <f t="shared" si="240"/>
        <v/>
      </c>
      <c r="U928" s="183" t="str">
        <f t="shared" si="252"/>
        <v/>
      </c>
      <c r="V928" s="186" t="str">
        <f t="shared" si="241"/>
        <v/>
      </c>
      <c r="W928" s="186" t="str">
        <f t="shared" si="242"/>
        <v/>
      </c>
      <c r="X928" s="187" t="str">
        <f t="shared" si="243"/>
        <v/>
      </c>
      <c r="Y928" s="182" t="str">
        <f t="shared" si="253"/>
        <v/>
      </c>
      <c r="Z928" s="209" t="str">
        <f t="shared" si="244"/>
        <v/>
      </c>
      <c r="AA928" s="209" t="str">
        <f t="shared" si="245"/>
        <v/>
      </c>
      <c r="AB928" s="200"/>
      <c r="AC928" s="192"/>
    </row>
    <row r="929" spans="1:29" ht="11.4">
      <c r="A929" s="211" t="str">
        <f t="shared" si="246"/>
        <v/>
      </c>
      <c r="B929" s="211"/>
      <c r="C929" s="215"/>
      <c r="D929" s="213" t="str">
        <f t="shared" si="247"/>
        <v/>
      </c>
      <c r="E929" s="213" t="str">
        <f t="shared" si="255"/>
        <v/>
      </c>
      <c r="F929" s="214" t="str">
        <f t="shared" si="248"/>
        <v/>
      </c>
      <c r="G929" s="180"/>
      <c r="H929" s="181" t="str">
        <f t="shared" si="249"/>
        <v/>
      </c>
      <c r="I929" s="227"/>
      <c r="J929" s="227"/>
      <c r="K929" s="227"/>
      <c r="L929" s="227"/>
      <c r="M929" s="210" t="str">
        <f t="shared" si="254"/>
        <v/>
      </c>
      <c r="N929" s="210"/>
      <c r="O929" s="207"/>
      <c r="P929" s="182" t="str">
        <f t="shared" si="239"/>
        <v/>
      </c>
      <c r="Q929" s="183" t="str">
        <f t="shared" si="250"/>
        <v/>
      </c>
      <c r="R929" s="182" t="str">
        <f>IF(M929&lt;&gt;"",IF(#REF!*F929*10=0,"",#REF!*F929*10),"")</f>
        <v/>
      </c>
      <c r="S929" s="184" t="str">
        <f t="shared" si="251"/>
        <v/>
      </c>
      <c r="T929" s="185" t="str">
        <f t="shared" si="240"/>
        <v/>
      </c>
      <c r="U929" s="183" t="str">
        <f t="shared" si="252"/>
        <v/>
      </c>
      <c r="V929" s="186" t="str">
        <f t="shared" si="241"/>
        <v/>
      </c>
      <c r="W929" s="186" t="str">
        <f t="shared" si="242"/>
        <v/>
      </c>
      <c r="X929" s="187" t="str">
        <f t="shared" si="243"/>
        <v/>
      </c>
      <c r="Y929" s="182" t="str">
        <f t="shared" si="253"/>
        <v/>
      </c>
      <c r="Z929" s="209" t="str">
        <f t="shared" si="244"/>
        <v/>
      </c>
      <c r="AA929" s="209" t="str">
        <f t="shared" si="245"/>
        <v/>
      </c>
      <c r="AB929" s="200"/>
      <c r="AC929" s="192"/>
    </row>
    <row r="930" spans="1:29" ht="11.4">
      <c r="A930" s="211" t="str">
        <f t="shared" si="246"/>
        <v/>
      </c>
      <c r="B930" s="211"/>
      <c r="C930" s="215"/>
      <c r="D930" s="213" t="str">
        <f t="shared" si="247"/>
        <v/>
      </c>
      <c r="E930" s="213" t="str">
        <f t="shared" si="255"/>
        <v/>
      </c>
      <c r="F930" s="214" t="str">
        <f t="shared" si="248"/>
        <v/>
      </c>
      <c r="G930" s="180"/>
      <c r="H930" s="181" t="str">
        <f t="shared" si="249"/>
        <v/>
      </c>
      <c r="I930" s="227"/>
      <c r="J930" s="227"/>
      <c r="K930" s="227"/>
      <c r="L930" s="227"/>
      <c r="M930" s="210" t="str">
        <f t="shared" si="254"/>
        <v/>
      </c>
      <c r="N930" s="210"/>
      <c r="O930" s="207"/>
      <c r="P930" s="182" t="str">
        <f t="shared" si="239"/>
        <v/>
      </c>
      <c r="Q930" s="183" t="str">
        <f t="shared" si="250"/>
        <v/>
      </c>
      <c r="R930" s="182" t="str">
        <f>IF(M930&lt;&gt;"",IF(#REF!*F930*10=0,"",#REF!*F930*10),"")</f>
        <v/>
      </c>
      <c r="S930" s="184" t="str">
        <f t="shared" si="251"/>
        <v/>
      </c>
      <c r="T930" s="185" t="str">
        <f t="shared" si="240"/>
        <v/>
      </c>
      <c r="U930" s="183" t="str">
        <f t="shared" si="252"/>
        <v/>
      </c>
      <c r="V930" s="186" t="str">
        <f t="shared" si="241"/>
        <v/>
      </c>
      <c r="W930" s="186" t="str">
        <f t="shared" si="242"/>
        <v/>
      </c>
      <c r="X930" s="187" t="str">
        <f t="shared" si="243"/>
        <v/>
      </c>
      <c r="Y930" s="182" t="str">
        <f t="shared" si="253"/>
        <v/>
      </c>
      <c r="Z930" s="209" t="str">
        <f t="shared" si="244"/>
        <v/>
      </c>
      <c r="AA930" s="209" t="str">
        <f t="shared" si="245"/>
        <v/>
      </c>
      <c r="AB930" s="200"/>
      <c r="AC930" s="192"/>
    </row>
    <row r="931" spans="1:29" ht="11.4">
      <c r="A931" s="211" t="str">
        <f t="shared" si="246"/>
        <v/>
      </c>
      <c r="B931" s="211"/>
      <c r="C931" s="215"/>
      <c r="D931" s="213" t="str">
        <f t="shared" si="247"/>
        <v/>
      </c>
      <c r="E931" s="213" t="str">
        <f t="shared" si="255"/>
        <v/>
      </c>
      <c r="F931" s="214" t="str">
        <f t="shared" si="248"/>
        <v/>
      </c>
      <c r="G931" s="180"/>
      <c r="H931" s="181" t="str">
        <f t="shared" si="249"/>
        <v/>
      </c>
      <c r="I931" s="227"/>
      <c r="J931" s="227"/>
      <c r="K931" s="227"/>
      <c r="L931" s="227"/>
      <c r="M931" s="210" t="str">
        <f t="shared" si="254"/>
        <v/>
      </c>
      <c r="N931" s="210"/>
      <c r="O931" s="207"/>
      <c r="P931" s="182" t="str">
        <f t="shared" si="239"/>
        <v/>
      </c>
      <c r="Q931" s="183" t="str">
        <f t="shared" si="250"/>
        <v/>
      </c>
      <c r="R931" s="182" t="str">
        <f>IF(M931&lt;&gt;"",IF(#REF!*F931*10=0,"",#REF!*F931*10),"")</f>
        <v/>
      </c>
      <c r="S931" s="184" t="str">
        <f t="shared" si="251"/>
        <v/>
      </c>
      <c r="T931" s="185" t="str">
        <f t="shared" si="240"/>
        <v/>
      </c>
      <c r="U931" s="183" t="str">
        <f t="shared" si="252"/>
        <v/>
      </c>
      <c r="V931" s="186" t="str">
        <f t="shared" si="241"/>
        <v/>
      </c>
      <c r="W931" s="186" t="str">
        <f t="shared" si="242"/>
        <v/>
      </c>
      <c r="X931" s="187" t="str">
        <f t="shared" si="243"/>
        <v/>
      </c>
      <c r="Y931" s="182" t="str">
        <f t="shared" si="253"/>
        <v/>
      </c>
      <c r="Z931" s="209" t="str">
        <f t="shared" si="244"/>
        <v/>
      </c>
      <c r="AA931" s="209" t="str">
        <f t="shared" si="245"/>
        <v/>
      </c>
      <c r="AB931" s="200"/>
      <c r="AC931" s="192"/>
    </row>
    <row r="932" spans="1:29" ht="11.4">
      <c r="A932" s="211" t="str">
        <f t="shared" si="246"/>
        <v/>
      </c>
      <c r="B932" s="211"/>
      <c r="C932" s="215"/>
      <c r="D932" s="213" t="str">
        <f t="shared" si="247"/>
        <v/>
      </c>
      <c r="E932" s="213" t="str">
        <f t="shared" si="255"/>
        <v/>
      </c>
      <c r="F932" s="214" t="str">
        <f t="shared" si="248"/>
        <v/>
      </c>
      <c r="G932" s="180"/>
      <c r="H932" s="181" t="str">
        <f t="shared" si="249"/>
        <v/>
      </c>
      <c r="I932" s="227"/>
      <c r="J932" s="227"/>
      <c r="K932" s="227"/>
      <c r="L932" s="227"/>
      <c r="M932" s="210" t="str">
        <f t="shared" si="254"/>
        <v/>
      </c>
      <c r="N932" s="210"/>
      <c r="O932" s="207"/>
      <c r="P932" s="182" t="str">
        <f t="shared" si="239"/>
        <v/>
      </c>
      <c r="Q932" s="183" t="str">
        <f t="shared" si="250"/>
        <v/>
      </c>
      <c r="R932" s="182" t="str">
        <f>IF(M932&lt;&gt;"",IF(#REF!*F932*10=0,"",#REF!*F932*10),"")</f>
        <v/>
      </c>
      <c r="S932" s="184" t="str">
        <f t="shared" si="251"/>
        <v/>
      </c>
      <c r="T932" s="185" t="str">
        <f t="shared" si="240"/>
        <v/>
      </c>
      <c r="U932" s="183" t="str">
        <f t="shared" si="252"/>
        <v/>
      </c>
      <c r="V932" s="186" t="str">
        <f t="shared" si="241"/>
        <v/>
      </c>
      <c r="W932" s="186" t="str">
        <f t="shared" si="242"/>
        <v/>
      </c>
      <c r="X932" s="187" t="str">
        <f t="shared" si="243"/>
        <v/>
      </c>
      <c r="Y932" s="182" t="str">
        <f t="shared" si="253"/>
        <v/>
      </c>
      <c r="Z932" s="209" t="str">
        <f t="shared" si="244"/>
        <v/>
      </c>
      <c r="AA932" s="209" t="str">
        <f t="shared" si="245"/>
        <v/>
      </c>
      <c r="AB932" s="200"/>
      <c r="AC932" s="192"/>
    </row>
    <row r="933" spans="1:29" ht="11.4">
      <c r="A933" s="211" t="str">
        <f t="shared" si="246"/>
        <v/>
      </c>
      <c r="B933" s="211"/>
      <c r="C933" s="215"/>
      <c r="D933" s="213" t="str">
        <f t="shared" si="247"/>
        <v/>
      </c>
      <c r="E933" s="213" t="str">
        <f t="shared" si="255"/>
        <v/>
      </c>
      <c r="F933" s="214" t="str">
        <f t="shared" si="248"/>
        <v/>
      </c>
      <c r="G933" s="180"/>
      <c r="H933" s="181" t="str">
        <f t="shared" si="249"/>
        <v/>
      </c>
      <c r="I933" s="227"/>
      <c r="J933" s="227"/>
      <c r="K933" s="227"/>
      <c r="L933" s="227"/>
      <c r="M933" s="210" t="str">
        <f t="shared" si="254"/>
        <v/>
      </c>
      <c r="N933" s="210"/>
      <c r="O933" s="207"/>
      <c r="P933" s="182" t="str">
        <f t="shared" si="239"/>
        <v/>
      </c>
      <c r="Q933" s="183" t="str">
        <f t="shared" si="250"/>
        <v/>
      </c>
      <c r="R933" s="182" t="str">
        <f>IF(M933&lt;&gt;"",IF(#REF!*F933*10=0,"",#REF!*F933*10),"")</f>
        <v/>
      </c>
      <c r="S933" s="184" t="str">
        <f t="shared" si="251"/>
        <v/>
      </c>
      <c r="T933" s="185" t="str">
        <f t="shared" si="240"/>
        <v/>
      </c>
      <c r="U933" s="183" t="str">
        <f t="shared" si="252"/>
        <v/>
      </c>
      <c r="V933" s="186" t="str">
        <f t="shared" si="241"/>
        <v/>
      </c>
      <c r="W933" s="186" t="str">
        <f t="shared" si="242"/>
        <v/>
      </c>
      <c r="X933" s="187" t="str">
        <f t="shared" si="243"/>
        <v/>
      </c>
      <c r="Y933" s="182" t="str">
        <f t="shared" si="253"/>
        <v/>
      </c>
      <c r="Z933" s="209" t="str">
        <f t="shared" si="244"/>
        <v/>
      </c>
      <c r="AA933" s="209" t="str">
        <f t="shared" si="245"/>
        <v/>
      </c>
      <c r="AB933" s="200"/>
      <c r="AC933" s="192"/>
    </row>
    <row r="934" spans="1:29" ht="11.4">
      <c r="A934" s="211" t="str">
        <f t="shared" si="246"/>
        <v/>
      </c>
      <c r="B934" s="211"/>
      <c r="C934" s="215"/>
      <c r="D934" s="213" t="str">
        <f t="shared" si="247"/>
        <v/>
      </c>
      <c r="E934" s="213" t="str">
        <f t="shared" si="255"/>
        <v/>
      </c>
      <c r="F934" s="214" t="str">
        <f t="shared" si="248"/>
        <v/>
      </c>
      <c r="G934" s="180"/>
      <c r="H934" s="181" t="str">
        <f t="shared" si="249"/>
        <v/>
      </c>
      <c r="I934" s="227"/>
      <c r="J934" s="227"/>
      <c r="K934" s="227"/>
      <c r="L934" s="227"/>
      <c r="M934" s="210" t="str">
        <f t="shared" si="254"/>
        <v/>
      </c>
      <c r="N934" s="210"/>
      <c r="O934" s="207"/>
      <c r="P934" s="182" t="str">
        <f t="shared" si="239"/>
        <v/>
      </c>
      <c r="Q934" s="183" t="str">
        <f t="shared" si="250"/>
        <v/>
      </c>
      <c r="R934" s="182" t="str">
        <f>IF(M934&lt;&gt;"",IF(#REF!*F934*10=0,"",#REF!*F934*10),"")</f>
        <v/>
      </c>
      <c r="S934" s="184" t="str">
        <f t="shared" si="251"/>
        <v/>
      </c>
      <c r="T934" s="185" t="str">
        <f t="shared" si="240"/>
        <v/>
      </c>
      <c r="U934" s="183" t="str">
        <f t="shared" si="252"/>
        <v/>
      </c>
      <c r="V934" s="186" t="str">
        <f t="shared" si="241"/>
        <v/>
      </c>
      <c r="W934" s="186" t="str">
        <f t="shared" si="242"/>
        <v/>
      </c>
      <c r="X934" s="187" t="str">
        <f t="shared" si="243"/>
        <v/>
      </c>
      <c r="Y934" s="182" t="str">
        <f t="shared" si="253"/>
        <v/>
      </c>
      <c r="Z934" s="209" t="str">
        <f t="shared" si="244"/>
        <v/>
      </c>
      <c r="AA934" s="209" t="str">
        <f t="shared" si="245"/>
        <v/>
      </c>
      <c r="AB934" s="200"/>
      <c r="AC934" s="192"/>
    </row>
    <row r="935" spans="1:29" ht="11.4">
      <c r="A935" s="211" t="str">
        <f t="shared" si="246"/>
        <v/>
      </c>
      <c r="B935" s="211"/>
      <c r="C935" s="215"/>
      <c r="D935" s="213" t="str">
        <f t="shared" si="247"/>
        <v/>
      </c>
      <c r="E935" s="213" t="str">
        <f t="shared" si="255"/>
        <v/>
      </c>
      <c r="F935" s="214" t="str">
        <f t="shared" si="248"/>
        <v/>
      </c>
      <c r="G935" s="180"/>
      <c r="H935" s="181" t="str">
        <f t="shared" si="249"/>
        <v/>
      </c>
      <c r="I935" s="227"/>
      <c r="J935" s="227"/>
      <c r="K935" s="227"/>
      <c r="L935" s="227"/>
      <c r="M935" s="210" t="str">
        <f t="shared" si="254"/>
        <v/>
      </c>
      <c r="N935" s="210"/>
      <c r="O935" s="207"/>
      <c r="P935" s="182" t="str">
        <f t="shared" si="239"/>
        <v/>
      </c>
      <c r="Q935" s="183" t="str">
        <f t="shared" si="250"/>
        <v/>
      </c>
      <c r="R935" s="182" t="str">
        <f>IF(M935&lt;&gt;"",IF(#REF!*F935*10=0,"",#REF!*F935*10),"")</f>
        <v/>
      </c>
      <c r="S935" s="184" t="str">
        <f t="shared" si="251"/>
        <v/>
      </c>
      <c r="T935" s="185" t="str">
        <f t="shared" si="240"/>
        <v/>
      </c>
      <c r="U935" s="183" t="str">
        <f t="shared" si="252"/>
        <v/>
      </c>
      <c r="V935" s="186" t="str">
        <f t="shared" si="241"/>
        <v/>
      </c>
      <c r="W935" s="186" t="str">
        <f t="shared" si="242"/>
        <v/>
      </c>
      <c r="X935" s="187" t="str">
        <f t="shared" si="243"/>
        <v/>
      </c>
      <c r="Y935" s="182" t="str">
        <f t="shared" si="253"/>
        <v/>
      </c>
      <c r="Z935" s="209" t="str">
        <f t="shared" si="244"/>
        <v/>
      </c>
      <c r="AA935" s="209" t="str">
        <f t="shared" si="245"/>
        <v/>
      </c>
      <c r="AB935" s="200"/>
      <c r="AC935" s="192"/>
    </row>
    <row r="936" spans="1:29" ht="11.4">
      <c r="A936" s="211" t="str">
        <f t="shared" si="246"/>
        <v/>
      </c>
      <c r="B936" s="211"/>
      <c r="C936" s="215"/>
      <c r="D936" s="213" t="str">
        <f t="shared" si="247"/>
        <v/>
      </c>
      <c r="E936" s="213" t="str">
        <f t="shared" si="255"/>
        <v/>
      </c>
      <c r="F936" s="214" t="str">
        <f t="shared" si="248"/>
        <v/>
      </c>
      <c r="G936" s="180"/>
      <c r="H936" s="181" t="str">
        <f t="shared" si="249"/>
        <v/>
      </c>
      <c r="I936" s="227"/>
      <c r="J936" s="227"/>
      <c r="K936" s="227"/>
      <c r="L936" s="227"/>
      <c r="M936" s="210" t="str">
        <f t="shared" si="254"/>
        <v/>
      </c>
      <c r="N936" s="210"/>
      <c r="O936" s="207"/>
      <c r="P936" s="182" t="str">
        <f t="shared" si="239"/>
        <v/>
      </c>
      <c r="Q936" s="183" t="str">
        <f t="shared" si="250"/>
        <v/>
      </c>
      <c r="R936" s="182" t="str">
        <f>IF(M936&lt;&gt;"",IF(#REF!*F936*10=0,"",#REF!*F936*10),"")</f>
        <v/>
      </c>
      <c r="S936" s="184" t="str">
        <f t="shared" si="251"/>
        <v/>
      </c>
      <c r="T936" s="185" t="str">
        <f t="shared" si="240"/>
        <v/>
      </c>
      <c r="U936" s="183" t="str">
        <f t="shared" si="252"/>
        <v/>
      </c>
      <c r="V936" s="186" t="str">
        <f t="shared" si="241"/>
        <v/>
      </c>
      <c r="W936" s="186" t="str">
        <f t="shared" si="242"/>
        <v/>
      </c>
      <c r="X936" s="187" t="str">
        <f t="shared" si="243"/>
        <v/>
      </c>
      <c r="Y936" s="182" t="str">
        <f t="shared" si="253"/>
        <v/>
      </c>
      <c r="Z936" s="209" t="str">
        <f t="shared" si="244"/>
        <v/>
      </c>
      <c r="AA936" s="209" t="str">
        <f t="shared" si="245"/>
        <v/>
      </c>
      <c r="AB936" s="200"/>
      <c r="AC936" s="192"/>
    </row>
    <row r="937" spans="1:29" ht="11.4">
      <c r="A937" s="211" t="str">
        <f t="shared" si="246"/>
        <v/>
      </c>
      <c r="B937" s="211"/>
      <c r="C937" s="215"/>
      <c r="D937" s="213" t="str">
        <f t="shared" si="247"/>
        <v/>
      </c>
      <c r="E937" s="213" t="str">
        <f t="shared" si="255"/>
        <v/>
      </c>
      <c r="F937" s="214" t="str">
        <f t="shared" si="248"/>
        <v/>
      </c>
      <c r="G937" s="180"/>
      <c r="H937" s="181" t="str">
        <f t="shared" si="249"/>
        <v/>
      </c>
      <c r="I937" s="227"/>
      <c r="J937" s="227"/>
      <c r="K937" s="227"/>
      <c r="L937" s="227"/>
      <c r="M937" s="210" t="str">
        <f t="shared" si="254"/>
        <v/>
      </c>
      <c r="N937" s="210"/>
      <c r="O937" s="207"/>
      <c r="P937" s="182" t="str">
        <f t="shared" si="239"/>
        <v/>
      </c>
      <c r="Q937" s="183" t="str">
        <f t="shared" si="250"/>
        <v/>
      </c>
      <c r="R937" s="182" t="str">
        <f>IF(M937&lt;&gt;"",IF(#REF!*F937*10=0,"",#REF!*F937*10),"")</f>
        <v/>
      </c>
      <c r="S937" s="184" t="str">
        <f t="shared" si="251"/>
        <v/>
      </c>
      <c r="T937" s="185" t="str">
        <f t="shared" si="240"/>
        <v/>
      </c>
      <c r="U937" s="183" t="str">
        <f t="shared" si="252"/>
        <v/>
      </c>
      <c r="V937" s="186" t="str">
        <f t="shared" si="241"/>
        <v/>
      </c>
      <c r="W937" s="186" t="str">
        <f t="shared" si="242"/>
        <v/>
      </c>
      <c r="X937" s="187" t="str">
        <f t="shared" si="243"/>
        <v/>
      </c>
      <c r="Y937" s="182" t="str">
        <f t="shared" si="253"/>
        <v/>
      </c>
      <c r="Z937" s="209" t="str">
        <f t="shared" si="244"/>
        <v/>
      </c>
      <c r="AA937" s="209" t="str">
        <f t="shared" si="245"/>
        <v/>
      </c>
      <c r="AB937" s="200"/>
      <c r="AC937" s="192"/>
    </row>
    <row r="938" spans="1:29" ht="11.4">
      <c r="A938" s="211" t="str">
        <f t="shared" si="246"/>
        <v/>
      </c>
      <c r="B938" s="211"/>
      <c r="C938" s="215"/>
      <c r="D938" s="213" t="str">
        <f t="shared" si="247"/>
        <v/>
      </c>
      <c r="E938" s="213" t="str">
        <f t="shared" si="255"/>
        <v/>
      </c>
      <c r="F938" s="214" t="str">
        <f t="shared" si="248"/>
        <v/>
      </c>
      <c r="G938" s="180"/>
      <c r="H938" s="181" t="str">
        <f t="shared" si="249"/>
        <v/>
      </c>
      <c r="I938" s="227"/>
      <c r="J938" s="227"/>
      <c r="K938" s="227"/>
      <c r="L938" s="227"/>
      <c r="M938" s="210" t="str">
        <f t="shared" si="254"/>
        <v/>
      </c>
      <c r="N938" s="210"/>
      <c r="O938" s="207"/>
      <c r="P938" s="182" t="str">
        <f t="shared" si="239"/>
        <v/>
      </c>
      <c r="Q938" s="183" t="str">
        <f t="shared" si="250"/>
        <v/>
      </c>
      <c r="R938" s="182" t="str">
        <f>IF(M938&lt;&gt;"",IF(#REF!*F938*10=0,"",#REF!*F938*10),"")</f>
        <v/>
      </c>
      <c r="S938" s="184" t="str">
        <f t="shared" si="251"/>
        <v/>
      </c>
      <c r="T938" s="185" t="str">
        <f t="shared" si="240"/>
        <v/>
      </c>
      <c r="U938" s="183" t="str">
        <f t="shared" si="252"/>
        <v/>
      </c>
      <c r="V938" s="186" t="str">
        <f t="shared" si="241"/>
        <v/>
      </c>
      <c r="W938" s="186" t="str">
        <f t="shared" si="242"/>
        <v/>
      </c>
      <c r="X938" s="187" t="str">
        <f t="shared" si="243"/>
        <v/>
      </c>
      <c r="Y938" s="182" t="str">
        <f t="shared" si="253"/>
        <v/>
      </c>
      <c r="Z938" s="209" t="str">
        <f t="shared" si="244"/>
        <v/>
      </c>
      <c r="AA938" s="209" t="str">
        <f t="shared" si="245"/>
        <v/>
      </c>
      <c r="AB938" s="200"/>
      <c r="AC938" s="192"/>
    </row>
    <row r="939" spans="1:29" ht="11.4">
      <c r="A939" s="211" t="str">
        <f t="shared" si="246"/>
        <v/>
      </c>
      <c r="B939" s="211"/>
      <c r="C939" s="215"/>
      <c r="D939" s="213" t="str">
        <f t="shared" si="247"/>
        <v/>
      </c>
      <c r="E939" s="213" t="str">
        <f t="shared" si="255"/>
        <v/>
      </c>
      <c r="F939" s="214" t="str">
        <f t="shared" si="248"/>
        <v/>
      </c>
      <c r="G939" s="180"/>
      <c r="H939" s="181" t="str">
        <f t="shared" si="249"/>
        <v/>
      </c>
      <c r="I939" s="227"/>
      <c r="J939" s="227"/>
      <c r="K939" s="227"/>
      <c r="L939" s="227"/>
      <c r="M939" s="210" t="str">
        <f t="shared" si="254"/>
        <v/>
      </c>
      <c r="N939" s="210"/>
      <c r="O939" s="207"/>
      <c r="P939" s="182" t="str">
        <f t="shared" si="239"/>
        <v/>
      </c>
      <c r="Q939" s="183" t="str">
        <f t="shared" si="250"/>
        <v/>
      </c>
      <c r="R939" s="182" t="str">
        <f>IF(M939&lt;&gt;"",IF(#REF!*F939*10=0,"",#REF!*F939*10),"")</f>
        <v/>
      </c>
      <c r="S939" s="184" t="str">
        <f t="shared" si="251"/>
        <v/>
      </c>
      <c r="T939" s="185" t="str">
        <f t="shared" si="240"/>
        <v/>
      </c>
      <c r="U939" s="183" t="str">
        <f t="shared" si="252"/>
        <v/>
      </c>
      <c r="V939" s="186" t="str">
        <f t="shared" si="241"/>
        <v/>
      </c>
      <c r="W939" s="186" t="str">
        <f t="shared" si="242"/>
        <v/>
      </c>
      <c r="X939" s="187" t="str">
        <f t="shared" si="243"/>
        <v/>
      </c>
      <c r="Y939" s="182" t="str">
        <f t="shared" si="253"/>
        <v/>
      </c>
      <c r="Z939" s="209" t="str">
        <f t="shared" si="244"/>
        <v/>
      </c>
      <c r="AA939" s="209" t="str">
        <f t="shared" si="245"/>
        <v/>
      </c>
      <c r="AB939" s="200"/>
      <c r="AC939" s="192"/>
    </row>
    <row r="940" spans="1:29" ht="11.4">
      <c r="A940" s="211" t="str">
        <f t="shared" si="246"/>
        <v/>
      </c>
      <c r="B940" s="211"/>
      <c r="C940" s="215"/>
      <c r="D940" s="213" t="str">
        <f t="shared" si="247"/>
        <v/>
      </c>
      <c r="E940" s="213" t="str">
        <f t="shared" si="255"/>
        <v/>
      </c>
      <c r="F940" s="214" t="str">
        <f t="shared" si="248"/>
        <v/>
      </c>
      <c r="G940" s="180"/>
      <c r="H940" s="181" t="str">
        <f t="shared" si="249"/>
        <v/>
      </c>
      <c r="I940" s="227"/>
      <c r="J940" s="227"/>
      <c r="K940" s="227"/>
      <c r="L940" s="227"/>
      <c r="M940" s="210" t="str">
        <f t="shared" si="254"/>
        <v/>
      </c>
      <c r="N940" s="210"/>
      <c r="O940" s="207"/>
      <c r="P940" s="182" t="str">
        <f t="shared" si="239"/>
        <v/>
      </c>
      <c r="Q940" s="183" t="str">
        <f t="shared" si="250"/>
        <v/>
      </c>
      <c r="R940" s="182" t="str">
        <f>IF(M940&lt;&gt;"",IF(#REF!*F940*10=0,"",#REF!*F940*10),"")</f>
        <v/>
      </c>
      <c r="S940" s="184" t="str">
        <f t="shared" si="251"/>
        <v/>
      </c>
      <c r="T940" s="185" t="str">
        <f t="shared" si="240"/>
        <v/>
      </c>
      <c r="U940" s="183" t="str">
        <f t="shared" si="252"/>
        <v/>
      </c>
      <c r="V940" s="186" t="str">
        <f t="shared" si="241"/>
        <v/>
      </c>
      <c r="W940" s="186" t="str">
        <f t="shared" si="242"/>
        <v/>
      </c>
      <c r="X940" s="187" t="str">
        <f t="shared" si="243"/>
        <v/>
      </c>
      <c r="Y940" s="182" t="str">
        <f t="shared" si="253"/>
        <v/>
      </c>
      <c r="Z940" s="209" t="str">
        <f t="shared" si="244"/>
        <v/>
      </c>
      <c r="AA940" s="209" t="str">
        <f t="shared" si="245"/>
        <v/>
      </c>
      <c r="AB940" s="200"/>
      <c r="AC940" s="192"/>
    </row>
    <row r="941" spans="1:29" ht="11.4">
      <c r="A941" s="211" t="str">
        <f t="shared" si="246"/>
        <v/>
      </c>
      <c r="B941" s="211"/>
      <c r="C941" s="215"/>
      <c r="D941" s="213" t="str">
        <f t="shared" si="247"/>
        <v/>
      </c>
      <c r="E941" s="213" t="str">
        <f t="shared" si="255"/>
        <v/>
      </c>
      <c r="F941" s="214" t="str">
        <f t="shared" si="248"/>
        <v/>
      </c>
      <c r="G941" s="180"/>
      <c r="H941" s="181" t="str">
        <f t="shared" si="249"/>
        <v/>
      </c>
      <c r="I941" s="227"/>
      <c r="J941" s="227"/>
      <c r="K941" s="227"/>
      <c r="L941" s="227"/>
      <c r="M941" s="210" t="str">
        <f t="shared" si="254"/>
        <v/>
      </c>
      <c r="N941" s="210"/>
      <c r="O941" s="207"/>
      <c r="P941" s="182" t="str">
        <f t="shared" si="239"/>
        <v/>
      </c>
      <c r="Q941" s="183" t="str">
        <f t="shared" si="250"/>
        <v/>
      </c>
      <c r="R941" s="182" t="str">
        <f>IF(M941&lt;&gt;"",IF(#REF!*F941*10=0,"",#REF!*F941*10),"")</f>
        <v/>
      </c>
      <c r="S941" s="184" t="str">
        <f t="shared" si="251"/>
        <v/>
      </c>
      <c r="T941" s="185" t="str">
        <f t="shared" si="240"/>
        <v/>
      </c>
      <c r="U941" s="183" t="str">
        <f t="shared" si="252"/>
        <v/>
      </c>
      <c r="V941" s="186" t="str">
        <f t="shared" si="241"/>
        <v/>
      </c>
      <c r="W941" s="186" t="str">
        <f t="shared" si="242"/>
        <v/>
      </c>
      <c r="X941" s="187" t="str">
        <f t="shared" si="243"/>
        <v/>
      </c>
      <c r="Y941" s="182" t="str">
        <f t="shared" si="253"/>
        <v/>
      </c>
      <c r="Z941" s="209" t="str">
        <f t="shared" si="244"/>
        <v/>
      </c>
      <c r="AA941" s="209" t="str">
        <f t="shared" si="245"/>
        <v/>
      </c>
      <c r="AB941" s="200"/>
      <c r="AC941" s="192"/>
    </row>
    <row r="942" spans="1:29" ht="11.4">
      <c r="A942" s="211" t="str">
        <f t="shared" si="246"/>
        <v/>
      </c>
      <c r="B942" s="211"/>
      <c r="C942" s="215"/>
      <c r="D942" s="213" t="str">
        <f t="shared" si="247"/>
        <v/>
      </c>
      <c r="E942" s="213" t="str">
        <f t="shared" si="255"/>
        <v/>
      </c>
      <c r="F942" s="214" t="str">
        <f t="shared" si="248"/>
        <v/>
      </c>
      <c r="G942" s="180"/>
      <c r="H942" s="181" t="str">
        <f t="shared" si="249"/>
        <v/>
      </c>
      <c r="I942" s="227"/>
      <c r="J942" s="227"/>
      <c r="K942" s="227"/>
      <c r="L942" s="227"/>
      <c r="M942" s="210" t="str">
        <f t="shared" si="254"/>
        <v/>
      </c>
      <c r="N942" s="210"/>
      <c r="O942" s="207"/>
      <c r="P942" s="182" t="str">
        <f t="shared" si="239"/>
        <v/>
      </c>
      <c r="Q942" s="183" t="str">
        <f t="shared" si="250"/>
        <v/>
      </c>
      <c r="R942" s="182" t="str">
        <f>IF(M942&lt;&gt;"",IF(#REF!*F942*10=0,"",#REF!*F942*10),"")</f>
        <v/>
      </c>
      <c r="S942" s="184" t="str">
        <f t="shared" si="251"/>
        <v/>
      </c>
      <c r="T942" s="185" t="str">
        <f t="shared" si="240"/>
        <v/>
      </c>
      <c r="U942" s="183" t="str">
        <f t="shared" si="252"/>
        <v/>
      </c>
      <c r="V942" s="186" t="str">
        <f t="shared" si="241"/>
        <v/>
      </c>
      <c r="W942" s="186" t="str">
        <f t="shared" si="242"/>
        <v/>
      </c>
      <c r="X942" s="187" t="str">
        <f t="shared" si="243"/>
        <v/>
      </c>
      <c r="Y942" s="182" t="str">
        <f t="shared" si="253"/>
        <v/>
      </c>
      <c r="Z942" s="209" t="str">
        <f t="shared" si="244"/>
        <v/>
      </c>
      <c r="AA942" s="209" t="str">
        <f t="shared" si="245"/>
        <v/>
      </c>
      <c r="AB942" s="200"/>
      <c r="AC942" s="192"/>
    </row>
    <row r="943" spans="1:29" ht="11.4">
      <c r="A943" s="211" t="str">
        <f t="shared" si="246"/>
        <v/>
      </c>
      <c r="B943" s="211"/>
      <c r="C943" s="215"/>
      <c r="D943" s="213" t="str">
        <f t="shared" si="247"/>
        <v/>
      </c>
      <c r="E943" s="213" t="str">
        <f t="shared" si="255"/>
        <v/>
      </c>
      <c r="F943" s="214" t="str">
        <f t="shared" si="248"/>
        <v/>
      </c>
      <c r="G943" s="180"/>
      <c r="H943" s="181" t="str">
        <f t="shared" si="249"/>
        <v/>
      </c>
      <c r="I943" s="227"/>
      <c r="J943" s="227"/>
      <c r="K943" s="227"/>
      <c r="L943" s="227"/>
      <c r="M943" s="210" t="str">
        <f t="shared" si="254"/>
        <v/>
      </c>
      <c r="N943" s="210"/>
      <c r="O943" s="207"/>
      <c r="P943" s="182" t="str">
        <f t="shared" si="239"/>
        <v/>
      </c>
      <c r="Q943" s="183" t="str">
        <f t="shared" si="250"/>
        <v/>
      </c>
      <c r="R943" s="182" t="str">
        <f>IF(M943&lt;&gt;"",IF(#REF!*F943*10=0,"",#REF!*F943*10),"")</f>
        <v/>
      </c>
      <c r="S943" s="184" t="str">
        <f t="shared" si="251"/>
        <v/>
      </c>
      <c r="T943" s="185" t="str">
        <f t="shared" si="240"/>
        <v/>
      </c>
      <c r="U943" s="183" t="str">
        <f t="shared" si="252"/>
        <v/>
      </c>
      <c r="V943" s="186" t="str">
        <f t="shared" si="241"/>
        <v/>
      </c>
      <c r="W943" s="186" t="str">
        <f t="shared" si="242"/>
        <v/>
      </c>
      <c r="X943" s="187" t="str">
        <f t="shared" si="243"/>
        <v/>
      </c>
      <c r="Y943" s="182" t="str">
        <f t="shared" si="253"/>
        <v/>
      </c>
      <c r="Z943" s="209" t="str">
        <f t="shared" si="244"/>
        <v/>
      </c>
      <c r="AA943" s="209" t="str">
        <f t="shared" si="245"/>
        <v/>
      </c>
      <c r="AB943" s="200"/>
      <c r="AC943" s="192"/>
    </row>
    <row r="944" spans="1:29" ht="11.4">
      <c r="A944" s="211" t="str">
        <f t="shared" si="246"/>
        <v/>
      </c>
      <c r="B944" s="211"/>
      <c r="C944" s="215"/>
      <c r="D944" s="213" t="str">
        <f t="shared" si="247"/>
        <v/>
      </c>
      <c r="E944" s="213" t="str">
        <f t="shared" si="255"/>
        <v/>
      </c>
      <c r="F944" s="214" t="str">
        <f t="shared" si="248"/>
        <v/>
      </c>
      <c r="G944" s="180"/>
      <c r="H944" s="181" t="str">
        <f t="shared" si="249"/>
        <v/>
      </c>
      <c r="I944" s="227"/>
      <c r="J944" s="227"/>
      <c r="K944" s="227"/>
      <c r="L944" s="227"/>
      <c r="M944" s="210" t="str">
        <f t="shared" si="254"/>
        <v/>
      </c>
      <c r="N944" s="210"/>
      <c r="O944" s="207"/>
      <c r="P944" s="182" t="str">
        <f t="shared" si="239"/>
        <v/>
      </c>
      <c r="Q944" s="183" t="str">
        <f t="shared" si="250"/>
        <v/>
      </c>
      <c r="R944" s="182" t="str">
        <f>IF(M944&lt;&gt;"",IF(#REF!*F944*10=0,"",#REF!*F944*10),"")</f>
        <v/>
      </c>
      <c r="S944" s="184" t="str">
        <f t="shared" si="251"/>
        <v/>
      </c>
      <c r="T944" s="185" t="str">
        <f t="shared" si="240"/>
        <v/>
      </c>
      <c r="U944" s="183" t="str">
        <f t="shared" si="252"/>
        <v/>
      </c>
      <c r="V944" s="186" t="str">
        <f t="shared" si="241"/>
        <v/>
      </c>
      <c r="W944" s="186" t="str">
        <f t="shared" si="242"/>
        <v/>
      </c>
      <c r="X944" s="187" t="str">
        <f t="shared" si="243"/>
        <v/>
      </c>
      <c r="Y944" s="182" t="str">
        <f t="shared" si="253"/>
        <v/>
      </c>
      <c r="Z944" s="209" t="str">
        <f t="shared" si="244"/>
        <v/>
      </c>
      <c r="AA944" s="209" t="str">
        <f t="shared" si="245"/>
        <v/>
      </c>
      <c r="AB944" s="200"/>
      <c r="AC944" s="192"/>
    </row>
    <row r="945" spans="1:29" ht="11.4">
      <c r="A945" s="211" t="str">
        <f t="shared" si="246"/>
        <v/>
      </c>
      <c r="B945" s="211"/>
      <c r="C945" s="215"/>
      <c r="D945" s="213" t="str">
        <f t="shared" si="247"/>
        <v/>
      </c>
      <c r="E945" s="213" t="str">
        <f t="shared" si="255"/>
        <v/>
      </c>
      <c r="F945" s="214" t="str">
        <f t="shared" si="248"/>
        <v/>
      </c>
      <c r="G945" s="180"/>
      <c r="H945" s="181" t="str">
        <f t="shared" si="249"/>
        <v/>
      </c>
      <c r="I945" s="227"/>
      <c r="J945" s="227"/>
      <c r="K945" s="227"/>
      <c r="L945" s="227"/>
      <c r="M945" s="210" t="str">
        <f t="shared" si="254"/>
        <v/>
      </c>
      <c r="N945" s="210"/>
      <c r="O945" s="207"/>
      <c r="P945" s="182" t="str">
        <f t="shared" si="239"/>
        <v/>
      </c>
      <c r="Q945" s="183" t="str">
        <f t="shared" si="250"/>
        <v/>
      </c>
      <c r="R945" s="182" t="str">
        <f>IF(M945&lt;&gt;"",IF(#REF!*F945*10=0,"",#REF!*F945*10),"")</f>
        <v/>
      </c>
      <c r="S945" s="184" t="str">
        <f t="shared" si="251"/>
        <v/>
      </c>
      <c r="T945" s="185" t="str">
        <f t="shared" si="240"/>
        <v/>
      </c>
      <c r="U945" s="183" t="str">
        <f t="shared" si="252"/>
        <v/>
      </c>
      <c r="V945" s="186" t="str">
        <f t="shared" si="241"/>
        <v/>
      </c>
      <c r="W945" s="186" t="str">
        <f t="shared" si="242"/>
        <v/>
      </c>
      <c r="X945" s="187" t="str">
        <f t="shared" si="243"/>
        <v/>
      </c>
      <c r="Y945" s="182" t="str">
        <f t="shared" si="253"/>
        <v/>
      </c>
      <c r="Z945" s="209" t="str">
        <f t="shared" si="244"/>
        <v/>
      </c>
      <c r="AA945" s="209" t="str">
        <f t="shared" si="245"/>
        <v/>
      </c>
      <c r="AB945" s="200"/>
      <c r="AC945" s="192"/>
    </row>
    <row r="946" spans="1:29" ht="11.4">
      <c r="A946" s="211" t="str">
        <f t="shared" si="246"/>
        <v/>
      </c>
      <c r="B946" s="211"/>
      <c r="C946" s="215"/>
      <c r="D946" s="213" t="str">
        <f t="shared" si="247"/>
        <v/>
      </c>
      <c r="E946" s="213" t="str">
        <f t="shared" si="255"/>
        <v/>
      </c>
      <c r="F946" s="214" t="str">
        <f t="shared" si="248"/>
        <v/>
      </c>
      <c r="G946" s="180"/>
      <c r="H946" s="181" t="str">
        <f t="shared" si="249"/>
        <v/>
      </c>
      <c r="I946" s="227"/>
      <c r="J946" s="227"/>
      <c r="K946" s="227"/>
      <c r="L946" s="227"/>
      <c r="M946" s="210" t="str">
        <f t="shared" si="254"/>
        <v/>
      </c>
      <c r="N946" s="210"/>
      <c r="O946" s="207"/>
      <c r="P946" s="182" t="str">
        <f t="shared" si="239"/>
        <v/>
      </c>
      <c r="Q946" s="183" t="str">
        <f t="shared" si="250"/>
        <v/>
      </c>
      <c r="R946" s="182" t="str">
        <f>IF(M946&lt;&gt;"",IF(#REF!*F946*10=0,"",#REF!*F946*10),"")</f>
        <v/>
      </c>
      <c r="S946" s="184" t="str">
        <f t="shared" si="251"/>
        <v/>
      </c>
      <c r="T946" s="185" t="str">
        <f t="shared" si="240"/>
        <v/>
      </c>
      <c r="U946" s="183" t="str">
        <f t="shared" si="252"/>
        <v/>
      </c>
      <c r="V946" s="186" t="str">
        <f t="shared" si="241"/>
        <v/>
      </c>
      <c r="W946" s="186" t="str">
        <f t="shared" si="242"/>
        <v/>
      </c>
      <c r="X946" s="187" t="str">
        <f t="shared" si="243"/>
        <v/>
      </c>
      <c r="Y946" s="182" t="str">
        <f t="shared" si="253"/>
        <v/>
      </c>
      <c r="Z946" s="209" t="str">
        <f t="shared" si="244"/>
        <v/>
      </c>
      <c r="AA946" s="209" t="str">
        <f t="shared" si="245"/>
        <v/>
      </c>
      <c r="AB946" s="200"/>
      <c r="AC946" s="192"/>
    </row>
    <row r="947" spans="1:29" ht="11.4">
      <c r="A947" s="211" t="str">
        <f t="shared" si="246"/>
        <v/>
      </c>
      <c r="B947" s="211"/>
      <c r="C947" s="215"/>
      <c r="D947" s="213" t="str">
        <f t="shared" si="247"/>
        <v/>
      </c>
      <c r="E947" s="213" t="str">
        <f t="shared" si="255"/>
        <v/>
      </c>
      <c r="F947" s="214" t="str">
        <f t="shared" si="248"/>
        <v/>
      </c>
      <c r="G947" s="180"/>
      <c r="H947" s="181" t="str">
        <f t="shared" si="249"/>
        <v/>
      </c>
      <c r="I947" s="227"/>
      <c r="J947" s="227"/>
      <c r="K947" s="227"/>
      <c r="L947" s="227"/>
      <c r="M947" s="210" t="str">
        <f t="shared" si="254"/>
        <v/>
      </c>
      <c r="N947" s="210"/>
      <c r="O947" s="207"/>
      <c r="P947" s="182" t="str">
        <f t="shared" si="239"/>
        <v/>
      </c>
      <c r="Q947" s="183" t="str">
        <f t="shared" si="250"/>
        <v/>
      </c>
      <c r="R947" s="182" t="str">
        <f>IF(M947&lt;&gt;"",IF(#REF!*F947*10=0,"",#REF!*F947*10),"")</f>
        <v/>
      </c>
      <c r="S947" s="184" t="str">
        <f t="shared" si="251"/>
        <v/>
      </c>
      <c r="T947" s="185" t="str">
        <f t="shared" si="240"/>
        <v/>
      </c>
      <c r="U947" s="183" t="str">
        <f t="shared" si="252"/>
        <v/>
      </c>
      <c r="V947" s="186" t="str">
        <f t="shared" si="241"/>
        <v/>
      </c>
      <c r="W947" s="186" t="str">
        <f t="shared" si="242"/>
        <v/>
      </c>
      <c r="X947" s="187" t="str">
        <f t="shared" si="243"/>
        <v/>
      </c>
      <c r="Y947" s="182" t="str">
        <f t="shared" si="253"/>
        <v/>
      </c>
      <c r="Z947" s="209" t="str">
        <f t="shared" si="244"/>
        <v/>
      </c>
      <c r="AA947" s="209" t="str">
        <f t="shared" si="245"/>
        <v/>
      </c>
      <c r="AB947" s="200"/>
      <c r="AC947" s="192"/>
    </row>
    <row r="948" spans="1:29" ht="11.4">
      <c r="A948" s="211" t="str">
        <f t="shared" si="246"/>
        <v/>
      </c>
      <c r="B948" s="211"/>
      <c r="C948" s="215"/>
      <c r="D948" s="213" t="str">
        <f t="shared" si="247"/>
        <v/>
      </c>
      <c r="E948" s="213" t="str">
        <f t="shared" si="255"/>
        <v/>
      </c>
      <c r="F948" s="214" t="str">
        <f t="shared" si="248"/>
        <v/>
      </c>
      <c r="G948" s="180"/>
      <c r="H948" s="181" t="str">
        <f t="shared" si="249"/>
        <v/>
      </c>
      <c r="I948" s="227"/>
      <c r="J948" s="227"/>
      <c r="K948" s="227"/>
      <c r="L948" s="227"/>
      <c r="M948" s="210" t="str">
        <f t="shared" si="254"/>
        <v/>
      </c>
      <c r="N948" s="210"/>
      <c r="O948" s="207"/>
      <c r="P948" s="182" t="str">
        <f t="shared" si="239"/>
        <v/>
      </c>
      <c r="Q948" s="183" t="str">
        <f t="shared" si="250"/>
        <v/>
      </c>
      <c r="R948" s="182" t="str">
        <f>IF(M948&lt;&gt;"",IF(#REF!*F948*10=0,"",#REF!*F948*10),"")</f>
        <v/>
      </c>
      <c r="S948" s="184" t="str">
        <f t="shared" si="251"/>
        <v/>
      </c>
      <c r="T948" s="185" t="str">
        <f t="shared" si="240"/>
        <v/>
      </c>
      <c r="U948" s="183" t="str">
        <f t="shared" si="252"/>
        <v/>
      </c>
      <c r="V948" s="186" t="str">
        <f t="shared" si="241"/>
        <v/>
      </c>
      <c r="W948" s="186" t="str">
        <f t="shared" si="242"/>
        <v/>
      </c>
      <c r="X948" s="187" t="str">
        <f t="shared" si="243"/>
        <v/>
      </c>
      <c r="Y948" s="182" t="str">
        <f t="shared" si="253"/>
        <v/>
      </c>
      <c r="Z948" s="209" t="str">
        <f t="shared" si="244"/>
        <v/>
      </c>
      <c r="AA948" s="209" t="str">
        <f t="shared" si="245"/>
        <v/>
      </c>
      <c r="AB948" s="200"/>
      <c r="AC948" s="192"/>
    </row>
    <row r="949" spans="1:29" ht="11.4">
      <c r="A949" s="211" t="str">
        <f t="shared" si="246"/>
        <v/>
      </c>
      <c r="B949" s="211"/>
      <c r="C949" s="215"/>
      <c r="D949" s="213" t="str">
        <f t="shared" si="247"/>
        <v/>
      </c>
      <c r="E949" s="213" t="str">
        <f t="shared" si="255"/>
        <v/>
      </c>
      <c r="F949" s="214" t="str">
        <f t="shared" si="248"/>
        <v/>
      </c>
      <c r="G949" s="180"/>
      <c r="H949" s="181" t="str">
        <f t="shared" si="249"/>
        <v/>
      </c>
      <c r="I949" s="227"/>
      <c r="J949" s="227"/>
      <c r="K949" s="227"/>
      <c r="L949" s="227"/>
      <c r="M949" s="210" t="str">
        <f t="shared" si="254"/>
        <v/>
      </c>
      <c r="N949" s="210"/>
      <c r="O949" s="207"/>
      <c r="P949" s="182" t="str">
        <f t="shared" si="239"/>
        <v/>
      </c>
      <c r="Q949" s="183" t="str">
        <f t="shared" si="250"/>
        <v/>
      </c>
      <c r="R949" s="182" t="str">
        <f>IF(M949&lt;&gt;"",IF(#REF!*F949*10=0,"",#REF!*F949*10),"")</f>
        <v/>
      </c>
      <c r="S949" s="184" t="str">
        <f t="shared" si="251"/>
        <v/>
      </c>
      <c r="T949" s="185" t="str">
        <f t="shared" si="240"/>
        <v/>
      </c>
      <c r="U949" s="183" t="str">
        <f t="shared" si="252"/>
        <v/>
      </c>
      <c r="V949" s="186" t="str">
        <f t="shared" si="241"/>
        <v/>
      </c>
      <c r="W949" s="186" t="str">
        <f t="shared" si="242"/>
        <v/>
      </c>
      <c r="X949" s="187" t="str">
        <f t="shared" si="243"/>
        <v/>
      </c>
      <c r="Y949" s="182" t="str">
        <f t="shared" si="253"/>
        <v/>
      </c>
      <c r="Z949" s="209" t="str">
        <f t="shared" si="244"/>
        <v/>
      </c>
      <c r="AA949" s="209" t="str">
        <f t="shared" si="245"/>
        <v/>
      </c>
      <c r="AB949" s="200"/>
      <c r="AC949" s="192"/>
    </row>
    <row r="950" spans="1:29" ht="11.4">
      <c r="A950" s="211" t="str">
        <f t="shared" si="246"/>
        <v/>
      </c>
      <c r="B950" s="211"/>
      <c r="C950" s="215"/>
      <c r="D950" s="213" t="str">
        <f t="shared" si="247"/>
        <v/>
      </c>
      <c r="E950" s="213" t="str">
        <f t="shared" si="255"/>
        <v/>
      </c>
      <c r="F950" s="214" t="str">
        <f t="shared" si="248"/>
        <v/>
      </c>
      <c r="G950" s="180"/>
      <c r="H950" s="181" t="str">
        <f t="shared" si="249"/>
        <v/>
      </c>
      <c r="I950" s="227"/>
      <c r="J950" s="227"/>
      <c r="K950" s="227"/>
      <c r="L950" s="227"/>
      <c r="M950" s="210" t="str">
        <f t="shared" si="254"/>
        <v/>
      </c>
      <c r="N950" s="210"/>
      <c r="O950" s="207"/>
      <c r="P950" s="182" t="str">
        <f t="shared" si="239"/>
        <v/>
      </c>
      <c r="Q950" s="183" t="str">
        <f t="shared" si="250"/>
        <v/>
      </c>
      <c r="R950" s="182" t="str">
        <f>IF(M950&lt;&gt;"",IF(#REF!*F950*10=0,"",#REF!*F950*10),"")</f>
        <v/>
      </c>
      <c r="S950" s="184" t="str">
        <f t="shared" si="251"/>
        <v/>
      </c>
      <c r="T950" s="185" t="str">
        <f t="shared" si="240"/>
        <v/>
      </c>
      <c r="U950" s="183" t="str">
        <f t="shared" si="252"/>
        <v/>
      </c>
      <c r="V950" s="186" t="str">
        <f t="shared" si="241"/>
        <v/>
      </c>
      <c r="W950" s="186" t="str">
        <f t="shared" si="242"/>
        <v/>
      </c>
      <c r="X950" s="187" t="str">
        <f t="shared" si="243"/>
        <v/>
      </c>
      <c r="Y950" s="182" t="str">
        <f t="shared" si="253"/>
        <v/>
      </c>
      <c r="Z950" s="209" t="str">
        <f t="shared" si="244"/>
        <v/>
      </c>
      <c r="AA950" s="209" t="str">
        <f t="shared" si="245"/>
        <v/>
      </c>
      <c r="AB950" s="200"/>
      <c r="AC950" s="192"/>
    </row>
    <row r="951" spans="1:29" ht="11.4">
      <c r="A951" s="211" t="str">
        <f t="shared" si="246"/>
        <v/>
      </c>
      <c r="B951" s="211"/>
      <c r="C951" s="215"/>
      <c r="D951" s="213" t="str">
        <f t="shared" si="247"/>
        <v/>
      </c>
      <c r="E951" s="213" t="str">
        <f t="shared" si="255"/>
        <v/>
      </c>
      <c r="F951" s="214" t="str">
        <f t="shared" si="248"/>
        <v/>
      </c>
      <c r="G951" s="180"/>
      <c r="H951" s="181" t="str">
        <f t="shared" si="249"/>
        <v/>
      </c>
      <c r="I951" s="227"/>
      <c r="J951" s="227"/>
      <c r="K951" s="227"/>
      <c r="L951" s="227"/>
      <c r="M951" s="210" t="str">
        <f t="shared" si="254"/>
        <v/>
      </c>
      <c r="N951" s="210"/>
      <c r="O951" s="207"/>
      <c r="P951" s="182" t="str">
        <f t="shared" si="239"/>
        <v/>
      </c>
      <c r="Q951" s="183" t="str">
        <f t="shared" si="250"/>
        <v/>
      </c>
      <c r="R951" s="182" t="str">
        <f>IF(M951&lt;&gt;"",IF(#REF!*F951*10=0,"",#REF!*F951*10),"")</f>
        <v/>
      </c>
      <c r="S951" s="184" t="str">
        <f t="shared" si="251"/>
        <v/>
      </c>
      <c r="T951" s="185" t="str">
        <f t="shared" si="240"/>
        <v/>
      </c>
      <c r="U951" s="183" t="str">
        <f t="shared" si="252"/>
        <v/>
      </c>
      <c r="V951" s="186" t="str">
        <f t="shared" si="241"/>
        <v/>
      </c>
      <c r="W951" s="186" t="str">
        <f t="shared" si="242"/>
        <v/>
      </c>
      <c r="X951" s="187" t="str">
        <f t="shared" si="243"/>
        <v/>
      </c>
      <c r="Y951" s="182" t="str">
        <f t="shared" si="253"/>
        <v/>
      </c>
      <c r="Z951" s="209" t="str">
        <f t="shared" si="244"/>
        <v/>
      </c>
      <c r="AA951" s="209" t="str">
        <f t="shared" si="245"/>
        <v/>
      </c>
      <c r="AB951" s="200"/>
      <c r="AC951" s="192"/>
    </row>
    <row r="952" spans="1:29" ht="11.4">
      <c r="A952" s="211" t="str">
        <f t="shared" si="246"/>
        <v/>
      </c>
      <c r="B952" s="211"/>
      <c r="C952" s="215"/>
      <c r="D952" s="213" t="str">
        <f t="shared" si="247"/>
        <v/>
      </c>
      <c r="E952" s="213" t="str">
        <f t="shared" si="255"/>
        <v/>
      </c>
      <c r="F952" s="214" t="str">
        <f t="shared" si="248"/>
        <v/>
      </c>
      <c r="G952" s="180"/>
      <c r="H952" s="181" t="str">
        <f t="shared" si="249"/>
        <v/>
      </c>
      <c r="I952" s="227"/>
      <c r="J952" s="227"/>
      <c r="K952" s="227"/>
      <c r="L952" s="227"/>
      <c r="M952" s="210" t="str">
        <f t="shared" si="254"/>
        <v/>
      </c>
      <c r="N952" s="210"/>
      <c r="O952" s="207"/>
      <c r="P952" s="182" t="str">
        <f t="shared" si="239"/>
        <v/>
      </c>
      <c r="Q952" s="183" t="str">
        <f t="shared" si="250"/>
        <v/>
      </c>
      <c r="R952" s="182" t="str">
        <f>IF(M952&lt;&gt;"",IF(#REF!*F952*10=0,"",#REF!*F952*10),"")</f>
        <v/>
      </c>
      <c r="S952" s="184" t="str">
        <f t="shared" si="251"/>
        <v/>
      </c>
      <c r="T952" s="185" t="str">
        <f t="shared" si="240"/>
        <v/>
      </c>
      <c r="U952" s="183" t="str">
        <f t="shared" si="252"/>
        <v/>
      </c>
      <c r="V952" s="186" t="str">
        <f t="shared" si="241"/>
        <v/>
      </c>
      <c r="W952" s="186" t="str">
        <f t="shared" si="242"/>
        <v/>
      </c>
      <c r="X952" s="187" t="str">
        <f t="shared" si="243"/>
        <v/>
      </c>
      <c r="Y952" s="182" t="str">
        <f t="shared" si="253"/>
        <v/>
      </c>
      <c r="Z952" s="209" t="str">
        <f t="shared" si="244"/>
        <v/>
      </c>
      <c r="AA952" s="209" t="str">
        <f t="shared" si="245"/>
        <v/>
      </c>
      <c r="AB952" s="200"/>
      <c r="AC952" s="192"/>
    </row>
    <row r="953" spans="1:29" ht="11.4">
      <c r="A953" s="211" t="str">
        <f t="shared" si="246"/>
        <v/>
      </c>
      <c r="B953" s="211"/>
      <c r="C953" s="215"/>
      <c r="D953" s="213" t="str">
        <f t="shared" si="247"/>
        <v/>
      </c>
      <c r="E953" s="213" t="str">
        <f t="shared" si="255"/>
        <v/>
      </c>
      <c r="F953" s="214" t="str">
        <f t="shared" si="248"/>
        <v/>
      </c>
      <c r="G953" s="180"/>
      <c r="H953" s="181" t="str">
        <f t="shared" si="249"/>
        <v/>
      </c>
      <c r="I953" s="227"/>
      <c r="J953" s="227"/>
      <c r="K953" s="227"/>
      <c r="L953" s="227"/>
      <c r="M953" s="210" t="str">
        <f t="shared" si="254"/>
        <v/>
      </c>
      <c r="N953" s="210"/>
      <c r="O953" s="207"/>
      <c r="P953" s="182" t="str">
        <f t="shared" si="239"/>
        <v/>
      </c>
      <c r="Q953" s="183" t="str">
        <f t="shared" si="250"/>
        <v/>
      </c>
      <c r="R953" s="182" t="str">
        <f>IF(M953&lt;&gt;"",IF(#REF!*F953*10=0,"",#REF!*F953*10),"")</f>
        <v/>
      </c>
      <c r="S953" s="184" t="str">
        <f t="shared" si="251"/>
        <v/>
      </c>
      <c r="T953" s="185" t="str">
        <f t="shared" si="240"/>
        <v/>
      </c>
      <c r="U953" s="183" t="str">
        <f t="shared" si="252"/>
        <v/>
      </c>
      <c r="V953" s="186" t="str">
        <f t="shared" si="241"/>
        <v/>
      </c>
      <c r="W953" s="186" t="str">
        <f t="shared" si="242"/>
        <v/>
      </c>
      <c r="X953" s="187" t="str">
        <f t="shared" si="243"/>
        <v/>
      </c>
      <c r="Y953" s="182" t="str">
        <f t="shared" si="253"/>
        <v/>
      </c>
      <c r="Z953" s="209" t="str">
        <f t="shared" si="244"/>
        <v/>
      </c>
      <c r="AA953" s="209" t="str">
        <f t="shared" si="245"/>
        <v/>
      </c>
      <c r="AB953" s="200"/>
      <c r="AC953" s="192"/>
    </row>
    <row r="954" spans="1:29" ht="11.4">
      <c r="A954" s="211" t="str">
        <f t="shared" si="246"/>
        <v/>
      </c>
      <c r="B954" s="211"/>
      <c r="C954" s="215"/>
      <c r="D954" s="213" t="str">
        <f t="shared" si="247"/>
        <v/>
      </c>
      <c r="E954" s="213" t="str">
        <f t="shared" si="255"/>
        <v/>
      </c>
      <c r="F954" s="214" t="str">
        <f t="shared" si="248"/>
        <v/>
      </c>
      <c r="G954" s="180"/>
      <c r="H954" s="181" t="str">
        <f t="shared" si="249"/>
        <v/>
      </c>
      <c r="I954" s="227"/>
      <c r="J954" s="227"/>
      <c r="K954" s="227"/>
      <c r="L954" s="227"/>
      <c r="M954" s="210" t="str">
        <f t="shared" si="254"/>
        <v/>
      </c>
      <c r="N954" s="210"/>
      <c r="O954" s="207"/>
      <c r="P954" s="182" t="str">
        <f t="shared" si="239"/>
        <v/>
      </c>
      <c r="Q954" s="183" t="str">
        <f t="shared" si="250"/>
        <v/>
      </c>
      <c r="R954" s="182" t="str">
        <f>IF(M954&lt;&gt;"",IF(#REF!*F954*10=0,"",#REF!*F954*10),"")</f>
        <v/>
      </c>
      <c r="S954" s="184" t="str">
        <f t="shared" si="251"/>
        <v/>
      </c>
      <c r="T954" s="185" t="str">
        <f t="shared" si="240"/>
        <v/>
      </c>
      <c r="U954" s="183" t="str">
        <f t="shared" si="252"/>
        <v/>
      </c>
      <c r="V954" s="186" t="str">
        <f t="shared" si="241"/>
        <v/>
      </c>
      <c r="W954" s="186" t="str">
        <f t="shared" si="242"/>
        <v/>
      </c>
      <c r="X954" s="187" t="str">
        <f t="shared" si="243"/>
        <v/>
      </c>
      <c r="Y954" s="182" t="str">
        <f t="shared" si="253"/>
        <v/>
      </c>
      <c r="Z954" s="209" t="str">
        <f t="shared" si="244"/>
        <v/>
      </c>
      <c r="AA954" s="209" t="str">
        <f t="shared" si="245"/>
        <v/>
      </c>
      <c r="AB954" s="200"/>
      <c r="AC954" s="192"/>
    </row>
    <row r="955" spans="1:29" ht="11.4">
      <c r="A955" s="211" t="str">
        <f t="shared" si="246"/>
        <v/>
      </c>
      <c r="B955" s="211"/>
      <c r="C955" s="215"/>
      <c r="D955" s="213" t="str">
        <f t="shared" si="247"/>
        <v/>
      </c>
      <c r="E955" s="213" t="str">
        <f t="shared" si="255"/>
        <v/>
      </c>
      <c r="F955" s="214" t="str">
        <f t="shared" si="248"/>
        <v/>
      </c>
      <c r="G955" s="180"/>
      <c r="H955" s="181" t="str">
        <f t="shared" si="249"/>
        <v/>
      </c>
      <c r="I955" s="227"/>
      <c r="J955" s="227"/>
      <c r="K955" s="227"/>
      <c r="L955" s="227"/>
      <c r="M955" s="210" t="str">
        <f t="shared" si="254"/>
        <v/>
      </c>
      <c r="N955" s="210"/>
      <c r="O955" s="207"/>
      <c r="P955" s="182" t="str">
        <f t="shared" si="239"/>
        <v/>
      </c>
      <c r="Q955" s="183" t="str">
        <f t="shared" si="250"/>
        <v/>
      </c>
      <c r="R955" s="182" t="str">
        <f>IF(M955&lt;&gt;"",IF(#REF!*F955*10=0,"",#REF!*F955*10),"")</f>
        <v/>
      </c>
      <c r="S955" s="184" t="str">
        <f t="shared" si="251"/>
        <v/>
      </c>
      <c r="T955" s="185" t="str">
        <f t="shared" si="240"/>
        <v/>
      </c>
      <c r="U955" s="183" t="str">
        <f t="shared" si="252"/>
        <v/>
      </c>
      <c r="V955" s="186" t="str">
        <f t="shared" si="241"/>
        <v/>
      </c>
      <c r="W955" s="186" t="str">
        <f t="shared" si="242"/>
        <v/>
      </c>
      <c r="X955" s="187" t="str">
        <f t="shared" si="243"/>
        <v/>
      </c>
      <c r="Y955" s="182" t="str">
        <f t="shared" si="253"/>
        <v/>
      </c>
      <c r="Z955" s="209" t="str">
        <f t="shared" si="244"/>
        <v/>
      </c>
      <c r="AA955" s="209" t="str">
        <f t="shared" si="245"/>
        <v/>
      </c>
      <c r="AB955" s="200"/>
      <c r="AC955" s="192"/>
    </row>
    <row r="956" spans="1:29" ht="11.4">
      <c r="A956" s="211" t="str">
        <f t="shared" si="246"/>
        <v/>
      </c>
      <c r="B956" s="211"/>
      <c r="C956" s="215"/>
      <c r="D956" s="213" t="str">
        <f t="shared" si="247"/>
        <v/>
      </c>
      <c r="E956" s="213" t="str">
        <f t="shared" si="255"/>
        <v/>
      </c>
      <c r="F956" s="214" t="str">
        <f t="shared" si="248"/>
        <v/>
      </c>
      <c r="G956" s="180"/>
      <c r="H956" s="181" t="str">
        <f t="shared" si="249"/>
        <v/>
      </c>
      <c r="I956" s="227"/>
      <c r="J956" s="227"/>
      <c r="K956" s="227"/>
      <c r="L956" s="227"/>
      <c r="M956" s="210" t="str">
        <f t="shared" si="254"/>
        <v/>
      </c>
      <c r="N956" s="210"/>
      <c r="O956" s="207"/>
      <c r="P956" s="182" t="str">
        <f t="shared" si="239"/>
        <v/>
      </c>
      <c r="Q956" s="183" t="str">
        <f t="shared" si="250"/>
        <v/>
      </c>
      <c r="R956" s="182" t="str">
        <f>IF(M956&lt;&gt;"",IF(#REF!*F956*10=0,"",#REF!*F956*10),"")</f>
        <v/>
      </c>
      <c r="S956" s="184" t="str">
        <f t="shared" si="251"/>
        <v/>
      </c>
      <c r="T956" s="185" t="str">
        <f t="shared" si="240"/>
        <v/>
      </c>
      <c r="U956" s="183" t="str">
        <f t="shared" si="252"/>
        <v/>
      </c>
      <c r="V956" s="186" t="str">
        <f t="shared" si="241"/>
        <v/>
      </c>
      <c r="W956" s="186" t="str">
        <f t="shared" si="242"/>
        <v/>
      </c>
      <c r="X956" s="187" t="str">
        <f t="shared" si="243"/>
        <v/>
      </c>
      <c r="Y956" s="182" t="str">
        <f t="shared" si="253"/>
        <v/>
      </c>
      <c r="Z956" s="209" t="str">
        <f t="shared" si="244"/>
        <v/>
      </c>
      <c r="AA956" s="209" t="str">
        <f t="shared" si="245"/>
        <v/>
      </c>
      <c r="AB956" s="200"/>
      <c r="AC956" s="192"/>
    </row>
    <row r="957" spans="1:29" ht="11.4">
      <c r="A957" s="211" t="str">
        <f t="shared" si="246"/>
        <v/>
      </c>
      <c r="B957" s="211"/>
      <c r="C957" s="215"/>
      <c r="D957" s="213" t="str">
        <f t="shared" si="247"/>
        <v/>
      </c>
      <c r="E957" s="213" t="str">
        <f t="shared" si="255"/>
        <v/>
      </c>
      <c r="F957" s="214" t="str">
        <f t="shared" si="248"/>
        <v/>
      </c>
      <c r="G957" s="180"/>
      <c r="H957" s="181" t="str">
        <f t="shared" si="249"/>
        <v/>
      </c>
      <c r="I957" s="227"/>
      <c r="J957" s="227"/>
      <c r="K957" s="227"/>
      <c r="L957" s="227"/>
      <c r="M957" s="210" t="str">
        <f t="shared" si="254"/>
        <v/>
      </c>
      <c r="N957" s="210"/>
      <c r="O957" s="207"/>
      <c r="P957" s="182" t="str">
        <f t="shared" si="239"/>
        <v/>
      </c>
      <c r="Q957" s="183" t="str">
        <f t="shared" si="250"/>
        <v/>
      </c>
      <c r="R957" s="182" t="str">
        <f>IF(M957&lt;&gt;"",IF(#REF!*F957*10=0,"",#REF!*F957*10),"")</f>
        <v/>
      </c>
      <c r="S957" s="184" t="str">
        <f t="shared" si="251"/>
        <v/>
      </c>
      <c r="T957" s="185" t="str">
        <f t="shared" si="240"/>
        <v/>
      </c>
      <c r="U957" s="183" t="str">
        <f t="shared" si="252"/>
        <v/>
      </c>
      <c r="V957" s="186" t="str">
        <f t="shared" si="241"/>
        <v/>
      </c>
      <c r="W957" s="186" t="str">
        <f t="shared" si="242"/>
        <v/>
      </c>
      <c r="X957" s="187" t="str">
        <f t="shared" si="243"/>
        <v/>
      </c>
      <c r="Y957" s="182" t="str">
        <f t="shared" si="253"/>
        <v/>
      </c>
      <c r="Z957" s="209" t="str">
        <f t="shared" si="244"/>
        <v/>
      </c>
      <c r="AA957" s="209" t="str">
        <f t="shared" si="245"/>
        <v/>
      </c>
      <c r="AB957" s="200"/>
      <c r="AC957" s="192"/>
    </row>
    <row r="958" spans="1:29" ht="11.4">
      <c r="A958" s="211" t="str">
        <f t="shared" si="246"/>
        <v/>
      </c>
      <c r="B958" s="211"/>
      <c r="C958" s="215"/>
      <c r="D958" s="213" t="str">
        <f t="shared" si="247"/>
        <v/>
      </c>
      <c r="E958" s="213" t="str">
        <f t="shared" si="255"/>
        <v/>
      </c>
      <c r="F958" s="214" t="str">
        <f t="shared" si="248"/>
        <v/>
      </c>
      <c r="G958" s="180"/>
      <c r="H958" s="181" t="str">
        <f t="shared" si="249"/>
        <v/>
      </c>
      <c r="I958" s="227"/>
      <c r="J958" s="227"/>
      <c r="K958" s="227"/>
      <c r="L958" s="227"/>
      <c r="M958" s="210" t="str">
        <f t="shared" si="254"/>
        <v/>
      </c>
      <c r="N958" s="210"/>
      <c r="O958" s="207"/>
      <c r="P958" s="182" t="str">
        <f t="shared" si="239"/>
        <v/>
      </c>
      <c r="Q958" s="183" t="str">
        <f t="shared" si="250"/>
        <v/>
      </c>
      <c r="R958" s="182" t="str">
        <f>IF(M958&lt;&gt;"",IF(#REF!*F958*10=0,"",#REF!*F958*10),"")</f>
        <v/>
      </c>
      <c r="S958" s="184" t="str">
        <f t="shared" si="251"/>
        <v/>
      </c>
      <c r="T958" s="185" t="str">
        <f t="shared" si="240"/>
        <v/>
      </c>
      <c r="U958" s="183" t="str">
        <f t="shared" si="252"/>
        <v/>
      </c>
      <c r="V958" s="186" t="str">
        <f t="shared" si="241"/>
        <v/>
      </c>
      <c r="W958" s="186" t="str">
        <f t="shared" si="242"/>
        <v/>
      </c>
      <c r="X958" s="187" t="str">
        <f t="shared" si="243"/>
        <v/>
      </c>
      <c r="Y958" s="182" t="str">
        <f t="shared" si="253"/>
        <v/>
      </c>
      <c r="Z958" s="209" t="str">
        <f t="shared" si="244"/>
        <v/>
      </c>
      <c r="AA958" s="209" t="str">
        <f t="shared" si="245"/>
        <v/>
      </c>
      <c r="AB958" s="200"/>
      <c r="AC958" s="192"/>
    </row>
    <row r="959" spans="1:29" ht="11.4">
      <c r="A959" s="211" t="str">
        <f t="shared" si="246"/>
        <v/>
      </c>
      <c r="B959" s="211"/>
      <c r="C959" s="215"/>
      <c r="D959" s="213" t="str">
        <f t="shared" si="247"/>
        <v/>
      </c>
      <c r="E959" s="213" t="str">
        <f t="shared" si="255"/>
        <v/>
      </c>
      <c r="F959" s="214" t="str">
        <f t="shared" si="248"/>
        <v/>
      </c>
      <c r="G959" s="180"/>
      <c r="H959" s="181" t="str">
        <f t="shared" si="249"/>
        <v/>
      </c>
      <c r="I959" s="227"/>
      <c r="J959" s="227"/>
      <c r="K959" s="227"/>
      <c r="L959" s="227"/>
      <c r="M959" s="210" t="str">
        <f t="shared" si="254"/>
        <v/>
      </c>
      <c r="N959" s="210"/>
      <c r="O959" s="207"/>
      <c r="P959" s="182" t="str">
        <f t="shared" si="239"/>
        <v/>
      </c>
      <c r="Q959" s="183" t="str">
        <f t="shared" si="250"/>
        <v/>
      </c>
      <c r="R959" s="182" t="str">
        <f>IF(M959&lt;&gt;"",IF(#REF!*F959*10=0,"",#REF!*F959*10),"")</f>
        <v/>
      </c>
      <c r="S959" s="184" t="str">
        <f t="shared" si="251"/>
        <v/>
      </c>
      <c r="T959" s="185" t="str">
        <f t="shared" si="240"/>
        <v/>
      </c>
      <c r="U959" s="183" t="str">
        <f t="shared" si="252"/>
        <v/>
      </c>
      <c r="V959" s="186" t="str">
        <f t="shared" si="241"/>
        <v/>
      </c>
      <c r="W959" s="186" t="str">
        <f t="shared" si="242"/>
        <v/>
      </c>
      <c r="X959" s="187" t="str">
        <f t="shared" si="243"/>
        <v/>
      </c>
      <c r="Y959" s="182" t="str">
        <f t="shared" si="253"/>
        <v/>
      </c>
      <c r="Z959" s="209" t="str">
        <f t="shared" si="244"/>
        <v/>
      </c>
      <c r="AA959" s="209" t="str">
        <f t="shared" si="245"/>
        <v/>
      </c>
      <c r="AB959" s="200"/>
      <c r="AC959" s="192"/>
    </row>
    <row r="960" spans="1:29" ht="11.4">
      <c r="A960" s="211" t="str">
        <f t="shared" si="246"/>
        <v/>
      </c>
      <c r="B960" s="211"/>
      <c r="C960" s="215"/>
      <c r="D960" s="213" t="str">
        <f t="shared" si="247"/>
        <v/>
      </c>
      <c r="E960" s="213" t="str">
        <f t="shared" si="255"/>
        <v/>
      </c>
      <c r="F960" s="214" t="str">
        <f t="shared" si="248"/>
        <v/>
      </c>
      <c r="G960" s="180"/>
      <c r="H960" s="181" t="str">
        <f t="shared" si="249"/>
        <v/>
      </c>
      <c r="I960" s="227"/>
      <c r="J960" s="227"/>
      <c r="K960" s="227"/>
      <c r="L960" s="227"/>
      <c r="M960" s="210" t="str">
        <f t="shared" si="254"/>
        <v/>
      </c>
      <c r="N960" s="210"/>
      <c r="O960" s="207"/>
      <c r="P960" s="182" t="str">
        <f t="shared" si="239"/>
        <v/>
      </c>
      <c r="Q960" s="183" t="str">
        <f t="shared" si="250"/>
        <v/>
      </c>
      <c r="R960" s="182" t="str">
        <f>IF(M960&lt;&gt;"",IF(#REF!*F960*10=0,"",#REF!*F960*10),"")</f>
        <v/>
      </c>
      <c r="S960" s="184" t="str">
        <f t="shared" si="251"/>
        <v/>
      </c>
      <c r="T960" s="185" t="str">
        <f t="shared" si="240"/>
        <v/>
      </c>
      <c r="U960" s="183" t="str">
        <f t="shared" si="252"/>
        <v/>
      </c>
      <c r="V960" s="186" t="str">
        <f t="shared" si="241"/>
        <v/>
      </c>
      <c r="W960" s="186" t="str">
        <f t="shared" si="242"/>
        <v/>
      </c>
      <c r="X960" s="187" t="str">
        <f t="shared" si="243"/>
        <v/>
      </c>
      <c r="Y960" s="182" t="str">
        <f t="shared" si="253"/>
        <v/>
      </c>
      <c r="Z960" s="209" t="str">
        <f t="shared" si="244"/>
        <v/>
      </c>
      <c r="AA960" s="209" t="str">
        <f t="shared" si="245"/>
        <v/>
      </c>
      <c r="AB960" s="200"/>
      <c r="AC960" s="192"/>
    </row>
    <row r="961" spans="1:29" ht="11.4">
      <c r="A961" s="211" t="str">
        <f t="shared" si="246"/>
        <v/>
      </c>
      <c r="B961" s="211"/>
      <c r="C961" s="215"/>
      <c r="D961" s="213" t="str">
        <f t="shared" si="247"/>
        <v/>
      </c>
      <c r="E961" s="213" t="str">
        <f t="shared" si="255"/>
        <v/>
      </c>
      <c r="F961" s="214" t="str">
        <f t="shared" si="248"/>
        <v/>
      </c>
      <c r="G961" s="180"/>
      <c r="H961" s="181" t="str">
        <f t="shared" si="249"/>
        <v/>
      </c>
      <c r="I961" s="227"/>
      <c r="J961" s="227"/>
      <c r="K961" s="227"/>
      <c r="L961" s="227"/>
      <c r="M961" s="210" t="str">
        <f t="shared" si="254"/>
        <v/>
      </c>
      <c r="N961" s="210"/>
      <c r="O961" s="207"/>
      <c r="P961" s="182" t="str">
        <f t="shared" si="239"/>
        <v/>
      </c>
      <c r="Q961" s="183" t="str">
        <f t="shared" si="250"/>
        <v/>
      </c>
      <c r="R961" s="182" t="str">
        <f>IF(M961&lt;&gt;"",IF(#REF!*F961*10=0,"",#REF!*F961*10),"")</f>
        <v/>
      </c>
      <c r="S961" s="184" t="str">
        <f t="shared" si="251"/>
        <v/>
      </c>
      <c r="T961" s="185" t="str">
        <f t="shared" si="240"/>
        <v/>
      </c>
      <c r="U961" s="183" t="str">
        <f t="shared" si="252"/>
        <v/>
      </c>
      <c r="V961" s="186" t="str">
        <f t="shared" si="241"/>
        <v/>
      </c>
      <c r="W961" s="186" t="str">
        <f t="shared" si="242"/>
        <v/>
      </c>
      <c r="X961" s="187" t="str">
        <f t="shared" si="243"/>
        <v/>
      </c>
      <c r="Y961" s="182" t="str">
        <f t="shared" si="253"/>
        <v/>
      </c>
      <c r="Z961" s="209" t="str">
        <f t="shared" si="244"/>
        <v/>
      </c>
      <c r="AA961" s="209" t="str">
        <f t="shared" si="245"/>
        <v/>
      </c>
      <c r="AB961" s="200"/>
      <c r="AC961" s="192"/>
    </row>
    <row r="962" spans="1:29" ht="11.4">
      <c r="A962" s="211" t="str">
        <f t="shared" si="246"/>
        <v/>
      </c>
      <c r="B962" s="211"/>
      <c r="C962" s="215"/>
      <c r="D962" s="213" t="str">
        <f t="shared" si="247"/>
        <v/>
      </c>
      <c r="E962" s="213" t="str">
        <f t="shared" si="255"/>
        <v/>
      </c>
      <c r="F962" s="214" t="str">
        <f t="shared" si="248"/>
        <v/>
      </c>
      <c r="G962" s="180"/>
      <c r="H962" s="181" t="str">
        <f t="shared" si="249"/>
        <v/>
      </c>
      <c r="I962" s="227"/>
      <c r="J962" s="227"/>
      <c r="K962" s="227"/>
      <c r="L962" s="227"/>
      <c r="M962" s="210" t="str">
        <f t="shared" si="254"/>
        <v/>
      </c>
      <c r="N962" s="210"/>
      <c r="O962" s="207"/>
      <c r="P962" s="182" t="str">
        <f t="shared" si="239"/>
        <v/>
      </c>
      <c r="Q962" s="183" t="str">
        <f t="shared" si="250"/>
        <v/>
      </c>
      <c r="R962" s="182" t="str">
        <f>IF(M962&lt;&gt;"",IF(#REF!*F962*10=0,"",#REF!*F962*10),"")</f>
        <v/>
      </c>
      <c r="S962" s="184" t="str">
        <f t="shared" si="251"/>
        <v/>
      </c>
      <c r="T962" s="185" t="str">
        <f t="shared" si="240"/>
        <v/>
      </c>
      <c r="U962" s="183" t="str">
        <f t="shared" si="252"/>
        <v/>
      </c>
      <c r="V962" s="186" t="str">
        <f t="shared" si="241"/>
        <v/>
      </c>
      <c r="W962" s="186" t="str">
        <f t="shared" si="242"/>
        <v/>
      </c>
      <c r="X962" s="187" t="str">
        <f t="shared" si="243"/>
        <v/>
      </c>
      <c r="Y962" s="182" t="str">
        <f t="shared" si="253"/>
        <v/>
      </c>
      <c r="Z962" s="209" t="str">
        <f t="shared" si="244"/>
        <v/>
      </c>
      <c r="AA962" s="209" t="str">
        <f t="shared" si="245"/>
        <v/>
      </c>
      <c r="AB962" s="200"/>
      <c r="AC962" s="192"/>
    </row>
    <row r="963" spans="1:29" ht="11.4">
      <c r="A963" s="211" t="str">
        <f t="shared" si="246"/>
        <v/>
      </c>
      <c r="B963" s="211"/>
      <c r="C963" s="215"/>
      <c r="D963" s="213" t="str">
        <f t="shared" si="247"/>
        <v/>
      </c>
      <c r="E963" s="213" t="str">
        <f t="shared" si="255"/>
        <v/>
      </c>
      <c r="F963" s="214" t="str">
        <f t="shared" si="248"/>
        <v/>
      </c>
      <c r="G963" s="180"/>
      <c r="H963" s="181" t="str">
        <f t="shared" si="249"/>
        <v/>
      </c>
      <c r="I963" s="227"/>
      <c r="J963" s="227"/>
      <c r="K963" s="227"/>
      <c r="L963" s="227"/>
      <c r="M963" s="210" t="str">
        <f t="shared" si="254"/>
        <v/>
      </c>
      <c r="N963" s="210"/>
      <c r="O963" s="207"/>
      <c r="P963" s="182" t="str">
        <f t="shared" si="239"/>
        <v/>
      </c>
      <c r="Q963" s="183" t="str">
        <f t="shared" si="250"/>
        <v/>
      </c>
      <c r="R963" s="182" t="str">
        <f>IF(M963&lt;&gt;"",IF(#REF!*F963*10=0,"",#REF!*F963*10),"")</f>
        <v/>
      </c>
      <c r="S963" s="184" t="str">
        <f t="shared" si="251"/>
        <v/>
      </c>
      <c r="T963" s="185" t="str">
        <f t="shared" si="240"/>
        <v/>
      </c>
      <c r="U963" s="183" t="str">
        <f t="shared" si="252"/>
        <v/>
      </c>
      <c r="V963" s="186" t="str">
        <f t="shared" si="241"/>
        <v/>
      </c>
      <c r="W963" s="186" t="str">
        <f t="shared" si="242"/>
        <v/>
      </c>
      <c r="X963" s="187" t="str">
        <f t="shared" si="243"/>
        <v/>
      </c>
      <c r="Y963" s="182" t="str">
        <f t="shared" si="253"/>
        <v/>
      </c>
      <c r="Z963" s="209" t="str">
        <f t="shared" si="244"/>
        <v/>
      </c>
      <c r="AA963" s="209" t="str">
        <f t="shared" si="245"/>
        <v/>
      </c>
      <c r="AB963" s="200"/>
      <c r="AC963" s="192"/>
    </row>
    <row r="964" spans="1:29" ht="11.4">
      <c r="A964" s="211" t="str">
        <f t="shared" si="246"/>
        <v/>
      </c>
      <c r="B964" s="211"/>
      <c r="C964" s="215"/>
      <c r="D964" s="213" t="str">
        <f t="shared" si="247"/>
        <v/>
      </c>
      <c r="E964" s="213" t="str">
        <f t="shared" si="255"/>
        <v/>
      </c>
      <c r="F964" s="214" t="str">
        <f t="shared" si="248"/>
        <v/>
      </c>
      <c r="G964" s="180"/>
      <c r="H964" s="181" t="str">
        <f t="shared" si="249"/>
        <v/>
      </c>
      <c r="I964" s="227"/>
      <c r="J964" s="227"/>
      <c r="K964" s="227"/>
      <c r="L964" s="227"/>
      <c r="M964" s="210" t="str">
        <f t="shared" si="254"/>
        <v/>
      </c>
      <c r="N964" s="210"/>
      <c r="O964" s="207"/>
      <c r="P964" s="182" t="str">
        <f t="shared" si="239"/>
        <v/>
      </c>
      <c r="Q964" s="183" t="str">
        <f t="shared" si="250"/>
        <v/>
      </c>
      <c r="R964" s="182" t="str">
        <f>IF(M964&lt;&gt;"",IF(#REF!*F964*10=0,"",#REF!*F964*10),"")</f>
        <v/>
      </c>
      <c r="S964" s="184" t="str">
        <f t="shared" si="251"/>
        <v/>
      </c>
      <c r="T964" s="185" t="str">
        <f t="shared" si="240"/>
        <v/>
      </c>
      <c r="U964" s="183" t="str">
        <f t="shared" si="252"/>
        <v/>
      </c>
      <c r="V964" s="186" t="str">
        <f t="shared" si="241"/>
        <v/>
      </c>
      <c r="W964" s="186" t="str">
        <f t="shared" si="242"/>
        <v/>
      </c>
      <c r="X964" s="187" t="str">
        <f t="shared" si="243"/>
        <v/>
      </c>
      <c r="Y964" s="182" t="str">
        <f t="shared" si="253"/>
        <v/>
      </c>
      <c r="Z964" s="209" t="str">
        <f t="shared" si="244"/>
        <v/>
      </c>
      <c r="AA964" s="209" t="str">
        <f t="shared" si="245"/>
        <v/>
      </c>
      <c r="AB964" s="200"/>
      <c r="AC964" s="192"/>
    </row>
    <row r="965" spans="1:29" ht="11.4">
      <c r="A965" s="211" t="str">
        <f t="shared" si="246"/>
        <v/>
      </c>
      <c r="B965" s="211"/>
      <c r="C965" s="215"/>
      <c r="D965" s="213" t="str">
        <f t="shared" si="247"/>
        <v/>
      </c>
      <c r="E965" s="213" t="str">
        <f t="shared" si="255"/>
        <v/>
      </c>
      <c r="F965" s="214" t="str">
        <f t="shared" si="248"/>
        <v/>
      </c>
      <c r="G965" s="180"/>
      <c r="H965" s="181" t="str">
        <f t="shared" si="249"/>
        <v/>
      </c>
      <c r="I965" s="227"/>
      <c r="J965" s="227"/>
      <c r="K965" s="227"/>
      <c r="L965" s="227"/>
      <c r="M965" s="210" t="str">
        <f t="shared" si="254"/>
        <v/>
      </c>
      <c r="N965" s="210"/>
      <c r="O965" s="207"/>
      <c r="P965" s="182" t="str">
        <f t="shared" si="239"/>
        <v/>
      </c>
      <c r="Q965" s="183" t="str">
        <f t="shared" si="250"/>
        <v/>
      </c>
      <c r="R965" s="182" t="str">
        <f>IF(M965&lt;&gt;"",IF(#REF!*F965*10=0,"",#REF!*F965*10),"")</f>
        <v/>
      </c>
      <c r="S965" s="184" t="str">
        <f t="shared" si="251"/>
        <v/>
      </c>
      <c r="T965" s="185" t="str">
        <f t="shared" si="240"/>
        <v/>
      </c>
      <c r="U965" s="183" t="str">
        <f t="shared" si="252"/>
        <v/>
      </c>
      <c r="V965" s="186" t="str">
        <f t="shared" si="241"/>
        <v/>
      </c>
      <c r="W965" s="186" t="str">
        <f t="shared" si="242"/>
        <v/>
      </c>
      <c r="X965" s="187" t="str">
        <f t="shared" si="243"/>
        <v/>
      </c>
      <c r="Y965" s="182" t="str">
        <f t="shared" si="253"/>
        <v/>
      </c>
      <c r="Z965" s="209" t="str">
        <f t="shared" si="244"/>
        <v/>
      </c>
      <c r="AA965" s="209" t="str">
        <f t="shared" si="245"/>
        <v/>
      </c>
      <c r="AB965" s="200"/>
      <c r="AC965" s="192"/>
    </row>
    <row r="966" spans="1:29" ht="11.4">
      <c r="A966" s="211" t="str">
        <f t="shared" si="246"/>
        <v/>
      </c>
      <c r="B966" s="211"/>
      <c r="C966" s="215"/>
      <c r="D966" s="213" t="str">
        <f t="shared" si="247"/>
        <v/>
      </c>
      <c r="E966" s="213" t="str">
        <f t="shared" si="255"/>
        <v/>
      </c>
      <c r="F966" s="214" t="str">
        <f t="shared" si="248"/>
        <v/>
      </c>
      <c r="G966" s="180"/>
      <c r="H966" s="181" t="str">
        <f t="shared" si="249"/>
        <v/>
      </c>
      <c r="I966" s="227"/>
      <c r="J966" s="227"/>
      <c r="K966" s="227"/>
      <c r="L966" s="227"/>
      <c r="M966" s="210" t="str">
        <f t="shared" si="254"/>
        <v/>
      </c>
      <c r="N966" s="210"/>
      <c r="O966" s="207"/>
      <c r="P966" s="182" t="str">
        <f t="shared" si="239"/>
        <v/>
      </c>
      <c r="Q966" s="183" t="str">
        <f t="shared" si="250"/>
        <v/>
      </c>
      <c r="R966" s="182" t="str">
        <f>IF(M966&lt;&gt;"",IF(#REF!*F966*10=0,"",#REF!*F966*10),"")</f>
        <v/>
      </c>
      <c r="S966" s="184" t="str">
        <f t="shared" si="251"/>
        <v/>
      </c>
      <c r="T966" s="185" t="str">
        <f t="shared" si="240"/>
        <v/>
      </c>
      <c r="U966" s="183" t="str">
        <f t="shared" si="252"/>
        <v/>
      </c>
      <c r="V966" s="186" t="str">
        <f t="shared" si="241"/>
        <v/>
      </c>
      <c r="W966" s="186" t="str">
        <f t="shared" si="242"/>
        <v/>
      </c>
      <c r="X966" s="187" t="str">
        <f t="shared" si="243"/>
        <v/>
      </c>
      <c r="Y966" s="182" t="str">
        <f t="shared" si="253"/>
        <v/>
      </c>
      <c r="Z966" s="209" t="str">
        <f t="shared" si="244"/>
        <v/>
      </c>
      <c r="AA966" s="209" t="str">
        <f t="shared" si="245"/>
        <v/>
      </c>
      <c r="AB966" s="200"/>
      <c r="AC966" s="192"/>
    </row>
    <row r="967" spans="1:29" ht="11.4">
      <c r="A967" s="211" t="str">
        <f t="shared" si="246"/>
        <v/>
      </c>
      <c r="B967" s="211"/>
      <c r="C967" s="215"/>
      <c r="D967" s="213" t="str">
        <f t="shared" si="247"/>
        <v/>
      </c>
      <c r="E967" s="213" t="str">
        <f t="shared" si="255"/>
        <v/>
      </c>
      <c r="F967" s="214" t="str">
        <f t="shared" si="248"/>
        <v/>
      </c>
      <c r="G967" s="180"/>
      <c r="H967" s="181" t="str">
        <f t="shared" si="249"/>
        <v/>
      </c>
      <c r="I967" s="227"/>
      <c r="J967" s="227"/>
      <c r="K967" s="227"/>
      <c r="L967" s="227"/>
      <c r="M967" s="210" t="str">
        <f t="shared" si="254"/>
        <v/>
      </c>
      <c r="N967" s="210"/>
      <c r="O967" s="207"/>
      <c r="P967" s="182" t="str">
        <f t="shared" si="239"/>
        <v/>
      </c>
      <c r="Q967" s="183" t="str">
        <f t="shared" si="250"/>
        <v/>
      </c>
      <c r="R967" s="182" t="str">
        <f>IF(M967&lt;&gt;"",IF(#REF!*F967*10=0,"",#REF!*F967*10),"")</f>
        <v/>
      </c>
      <c r="S967" s="184" t="str">
        <f t="shared" si="251"/>
        <v/>
      </c>
      <c r="T967" s="185" t="str">
        <f t="shared" si="240"/>
        <v/>
      </c>
      <c r="U967" s="183" t="str">
        <f t="shared" si="252"/>
        <v/>
      </c>
      <c r="V967" s="186" t="str">
        <f t="shared" si="241"/>
        <v/>
      </c>
      <c r="W967" s="186" t="str">
        <f t="shared" si="242"/>
        <v/>
      </c>
      <c r="X967" s="187" t="str">
        <f t="shared" si="243"/>
        <v/>
      </c>
      <c r="Y967" s="182" t="str">
        <f t="shared" si="253"/>
        <v/>
      </c>
      <c r="Z967" s="209" t="str">
        <f t="shared" si="244"/>
        <v/>
      </c>
      <c r="AA967" s="209" t="str">
        <f t="shared" si="245"/>
        <v/>
      </c>
      <c r="AB967" s="200"/>
      <c r="AC967" s="192"/>
    </row>
    <row r="968" spans="1:29" ht="11.4">
      <c r="A968" s="211" t="str">
        <f t="shared" si="246"/>
        <v/>
      </c>
      <c r="B968" s="211"/>
      <c r="C968" s="215"/>
      <c r="D968" s="213" t="str">
        <f t="shared" si="247"/>
        <v/>
      </c>
      <c r="E968" s="213" t="str">
        <f t="shared" si="255"/>
        <v/>
      </c>
      <c r="F968" s="214" t="str">
        <f t="shared" si="248"/>
        <v/>
      </c>
      <c r="G968" s="180"/>
      <c r="H968" s="181" t="str">
        <f t="shared" si="249"/>
        <v/>
      </c>
      <c r="I968" s="227"/>
      <c r="J968" s="227"/>
      <c r="K968" s="227"/>
      <c r="L968" s="227"/>
      <c r="M968" s="210" t="str">
        <f t="shared" si="254"/>
        <v/>
      </c>
      <c r="N968" s="210"/>
      <c r="O968" s="207"/>
      <c r="P968" s="182" t="str">
        <f t="shared" si="239"/>
        <v/>
      </c>
      <c r="Q968" s="183" t="str">
        <f t="shared" si="250"/>
        <v/>
      </c>
      <c r="R968" s="182" t="str">
        <f>IF(M968&lt;&gt;"",IF(#REF!*F968*10=0,"",#REF!*F968*10),"")</f>
        <v/>
      </c>
      <c r="S968" s="184" t="str">
        <f t="shared" si="251"/>
        <v/>
      </c>
      <c r="T968" s="185" t="str">
        <f t="shared" si="240"/>
        <v/>
      </c>
      <c r="U968" s="183" t="str">
        <f t="shared" si="252"/>
        <v/>
      </c>
      <c r="V968" s="186" t="str">
        <f t="shared" si="241"/>
        <v/>
      </c>
      <c r="W968" s="186" t="str">
        <f t="shared" si="242"/>
        <v/>
      </c>
      <c r="X968" s="187" t="str">
        <f t="shared" si="243"/>
        <v/>
      </c>
      <c r="Y968" s="182" t="str">
        <f t="shared" si="253"/>
        <v/>
      </c>
      <c r="Z968" s="209" t="str">
        <f t="shared" si="244"/>
        <v/>
      </c>
      <c r="AA968" s="209" t="str">
        <f t="shared" si="245"/>
        <v/>
      </c>
      <c r="AB968" s="200"/>
      <c r="AC968" s="192"/>
    </row>
    <row r="969" spans="1:29" ht="11.4">
      <c r="A969" s="211" t="str">
        <f t="shared" si="246"/>
        <v/>
      </c>
      <c r="B969" s="211"/>
      <c r="C969" s="215"/>
      <c r="D969" s="213" t="str">
        <f t="shared" si="247"/>
        <v/>
      </c>
      <c r="E969" s="213" t="str">
        <f t="shared" si="255"/>
        <v/>
      </c>
      <c r="F969" s="214" t="str">
        <f t="shared" si="248"/>
        <v/>
      </c>
      <c r="G969" s="180"/>
      <c r="H969" s="181" t="str">
        <f t="shared" si="249"/>
        <v/>
      </c>
      <c r="I969" s="227"/>
      <c r="J969" s="227"/>
      <c r="K969" s="227"/>
      <c r="L969" s="227"/>
      <c r="M969" s="210" t="str">
        <f t="shared" si="254"/>
        <v/>
      </c>
      <c r="N969" s="210"/>
      <c r="O969" s="207"/>
      <c r="P969" s="182" t="str">
        <f t="shared" si="239"/>
        <v/>
      </c>
      <c r="Q969" s="183" t="str">
        <f t="shared" si="250"/>
        <v/>
      </c>
      <c r="R969" s="182" t="str">
        <f>IF(M969&lt;&gt;"",IF(#REF!*F969*10=0,"",#REF!*F969*10),"")</f>
        <v/>
      </c>
      <c r="S969" s="184" t="str">
        <f t="shared" si="251"/>
        <v/>
      </c>
      <c r="T969" s="185" t="str">
        <f t="shared" si="240"/>
        <v/>
      </c>
      <c r="U969" s="183" t="str">
        <f t="shared" si="252"/>
        <v/>
      </c>
      <c r="V969" s="186" t="str">
        <f t="shared" si="241"/>
        <v/>
      </c>
      <c r="W969" s="186" t="str">
        <f t="shared" si="242"/>
        <v/>
      </c>
      <c r="X969" s="187" t="str">
        <f t="shared" si="243"/>
        <v/>
      </c>
      <c r="Y969" s="182" t="str">
        <f t="shared" si="253"/>
        <v/>
      </c>
      <c r="Z969" s="209" t="str">
        <f t="shared" si="244"/>
        <v/>
      </c>
      <c r="AA969" s="209" t="str">
        <f t="shared" si="245"/>
        <v/>
      </c>
      <c r="AB969" s="200"/>
      <c r="AC969" s="192"/>
    </row>
    <row r="970" spans="1:29" ht="11.4">
      <c r="A970" s="211" t="str">
        <f t="shared" si="246"/>
        <v/>
      </c>
      <c r="B970" s="211"/>
      <c r="C970" s="215"/>
      <c r="D970" s="213" t="str">
        <f t="shared" si="247"/>
        <v/>
      </c>
      <c r="E970" s="213" t="str">
        <f t="shared" si="255"/>
        <v/>
      </c>
      <c r="F970" s="214" t="str">
        <f t="shared" si="248"/>
        <v/>
      </c>
      <c r="G970" s="180"/>
      <c r="H970" s="181" t="str">
        <f t="shared" si="249"/>
        <v/>
      </c>
      <c r="I970" s="227"/>
      <c r="J970" s="227"/>
      <c r="K970" s="227"/>
      <c r="L970" s="227"/>
      <c r="M970" s="210" t="str">
        <f t="shared" si="254"/>
        <v/>
      </c>
      <c r="N970" s="210"/>
      <c r="O970" s="207"/>
      <c r="P970" s="182" t="str">
        <f t="shared" si="239"/>
        <v/>
      </c>
      <c r="Q970" s="183" t="str">
        <f t="shared" si="250"/>
        <v/>
      </c>
      <c r="R970" s="182" t="str">
        <f>IF(M970&lt;&gt;"",IF(#REF!*F970*10=0,"",#REF!*F970*10),"")</f>
        <v/>
      </c>
      <c r="S970" s="184" t="str">
        <f t="shared" si="251"/>
        <v/>
      </c>
      <c r="T970" s="185" t="str">
        <f t="shared" si="240"/>
        <v/>
      </c>
      <c r="U970" s="183" t="str">
        <f t="shared" si="252"/>
        <v/>
      </c>
      <c r="V970" s="186" t="str">
        <f t="shared" si="241"/>
        <v/>
      </c>
      <c r="W970" s="186" t="str">
        <f t="shared" si="242"/>
        <v/>
      </c>
      <c r="X970" s="187" t="str">
        <f t="shared" si="243"/>
        <v/>
      </c>
      <c r="Y970" s="182" t="str">
        <f t="shared" si="253"/>
        <v/>
      </c>
      <c r="Z970" s="209" t="str">
        <f t="shared" si="244"/>
        <v/>
      </c>
      <c r="AA970" s="209" t="str">
        <f t="shared" si="245"/>
        <v/>
      </c>
      <c r="AB970" s="200"/>
      <c r="AC970" s="192"/>
    </row>
    <row r="971" spans="1:29" ht="11.4">
      <c r="A971" s="211" t="str">
        <f t="shared" si="246"/>
        <v/>
      </c>
      <c r="B971" s="211"/>
      <c r="C971" s="215"/>
      <c r="D971" s="213" t="str">
        <f t="shared" si="247"/>
        <v/>
      </c>
      <c r="E971" s="213" t="str">
        <f t="shared" si="255"/>
        <v/>
      </c>
      <c r="F971" s="214" t="str">
        <f t="shared" si="248"/>
        <v/>
      </c>
      <c r="G971" s="180"/>
      <c r="H971" s="181" t="str">
        <f t="shared" si="249"/>
        <v/>
      </c>
      <c r="I971" s="227"/>
      <c r="J971" s="227"/>
      <c r="K971" s="227"/>
      <c r="L971" s="227"/>
      <c r="M971" s="210" t="str">
        <f t="shared" si="254"/>
        <v/>
      </c>
      <c r="N971" s="210"/>
      <c r="O971" s="207"/>
      <c r="P971" s="182" t="str">
        <f t="shared" si="239"/>
        <v/>
      </c>
      <c r="Q971" s="183" t="str">
        <f t="shared" si="250"/>
        <v/>
      </c>
      <c r="R971" s="182" t="str">
        <f>IF(M971&lt;&gt;"",IF(#REF!*F971*10=0,"",#REF!*F971*10),"")</f>
        <v/>
      </c>
      <c r="S971" s="184" t="str">
        <f t="shared" si="251"/>
        <v/>
      </c>
      <c r="T971" s="185" t="str">
        <f t="shared" si="240"/>
        <v/>
      </c>
      <c r="U971" s="183" t="str">
        <f t="shared" si="252"/>
        <v/>
      </c>
      <c r="V971" s="186" t="str">
        <f t="shared" si="241"/>
        <v/>
      </c>
      <c r="W971" s="186" t="str">
        <f t="shared" si="242"/>
        <v/>
      </c>
      <c r="X971" s="187" t="str">
        <f t="shared" si="243"/>
        <v/>
      </c>
      <c r="Y971" s="182" t="str">
        <f t="shared" si="253"/>
        <v/>
      </c>
      <c r="Z971" s="209" t="str">
        <f t="shared" si="244"/>
        <v/>
      </c>
      <c r="AA971" s="209" t="str">
        <f t="shared" si="245"/>
        <v/>
      </c>
      <c r="AB971" s="200"/>
      <c r="AC971" s="192"/>
    </row>
    <row r="972" spans="1:29" ht="11.4">
      <c r="A972" s="211" t="str">
        <f t="shared" si="246"/>
        <v/>
      </c>
      <c r="B972" s="211"/>
      <c r="C972" s="215"/>
      <c r="D972" s="213" t="str">
        <f t="shared" si="247"/>
        <v/>
      </c>
      <c r="E972" s="213" t="str">
        <f t="shared" si="255"/>
        <v/>
      </c>
      <c r="F972" s="214" t="str">
        <f t="shared" si="248"/>
        <v/>
      </c>
      <c r="G972" s="180"/>
      <c r="H972" s="181" t="str">
        <f t="shared" si="249"/>
        <v/>
      </c>
      <c r="I972" s="227"/>
      <c r="J972" s="227"/>
      <c r="K972" s="227"/>
      <c r="L972" s="227"/>
      <c r="M972" s="210" t="str">
        <f t="shared" si="254"/>
        <v/>
      </c>
      <c r="N972" s="210"/>
      <c r="O972" s="207"/>
      <c r="P972" s="182" t="str">
        <f t="shared" ref="P972:P994" si="256">IF(M972="","",IF(L972*F972*$D$3=0,0,L972*F972*$D$3))</f>
        <v/>
      </c>
      <c r="Q972" s="183" t="str">
        <f t="shared" si="250"/>
        <v/>
      </c>
      <c r="R972" s="182" t="str">
        <f>IF(M972&lt;&gt;"",IF(#REF!*F972*10=0,"",#REF!*F972*10),"")</f>
        <v/>
      </c>
      <c r="S972" s="184" t="str">
        <f t="shared" si="251"/>
        <v/>
      </c>
      <c r="T972" s="185" t="str">
        <f t="shared" ref="T972:T994" si="257">IF(X972="","",X972*F972*$D$3)</f>
        <v/>
      </c>
      <c r="U972" s="183" t="str">
        <f t="shared" si="252"/>
        <v/>
      </c>
      <c r="V972" s="186" t="str">
        <f t="shared" ref="V972:V994" si="258">IF(M972="","",IF(AND(M972&gt;I972,H972="L"),1, IF(AND(I972&gt;M972,H972="S"),1,0)))</f>
        <v/>
      </c>
      <c r="W972" s="186" t="str">
        <f t="shared" ref="W972:W994" si="259">IF(M972="","",IF(AND(M972&lt;I972,H972="L"),1, IF(AND(I972&lt;M972,H972="S"),1,0)))</f>
        <v/>
      </c>
      <c r="X972" s="187" t="str">
        <f t="shared" ref="X972:X994" si="260">IF((M972=""),"",IF(H972="Buy",1,-1)*(M972-I972)*IF(LEN(RIGHT(I972,LEN(I972)-FIND(".",I972)))&gt;3,10000,100))</f>
        <v/>
      </c>
      <c r="Y972" s="182" t="str">
        <f t="shared" si="253"/>
        <v/>
      </c>
      <c r="Z972" s="209" t="str">
        <f t="shared" ref="Z972:Z994" si="261">IF(C972="","",MONTH(LEFT(C972,8)))</f>
        <v/>
      </c>
      <c r="AA972" s="209" t="str">
        <f t="shared" ref="AA972:AA994" si="262">IF(C972="","",YEAR(LEFT(C972,8)))</f>
        <v/>
      </c>
      <c r="AB972" s="200"/>
      <c r="AC972" s="192"/>
    </row>
    <row r="973" spans="1:29" ht="11.4">
      <c r="A973" s="211" t="str">
        <f t="shared" ref="A973:A994" si="263">IF(D973="","",1)</f>
        <v/>
      </c>
      <c r="B973" s="211"/>
      <c r="C973" s="215"/>
      <c r="D973" s="213" t="str">
        <f t="shared" ref="D973:D994" si="264">IF(G973="","","SUGAR")</f>
        <v/>
      </c>
      <c r="E973" s="213" t="str">
        <f t="shared" si="255"/>
        <v/>
      </c>
      <c r="F973" s="214" t="str">
        <f t="shared" ref="F973:F994" si="265">IF(G973="","",0.01)</f>
        <v/>
      </c>
      <c r="G973" s="180"/>
      <c r="H973" s="181" t="str">
        <f t="shared" ref="H973:H994" si="266">IF(G973="","",IF(OR(G973="第二类买点",G973="第三类买点"),"Buy","Sell"))</f>
        <v/>
      </c>
      <c r="I973" s="227"/>
      <c r="J973" s="227"/>
      <c r="K973" s="227"/>
      <c r="L973" s="227"/>
      <c r="M973" s="210" t="str">
        <f t="shared" si="254"/>
        <v/>
      </c>
      <c r="N973" s="210"/>
      <c r="O973" s="207"/>
      <c r="P973" s="182" t="str">
        <f t="shared" si="256"/>
        <v/>
      </c>
      <c r="Q973" s="183" t="str">
        <f t="shared" ref="Q973:Q994" si="267">IF(P973="","",IF(P973=0,0,P973/$I$4))</f>
        <v/>
      </c>
      <c r="R973" s="182" t="str">
        <f>IF(M973&lt;&gt;"",IF(#REF!*F973*10=0,"",#REF!*F973*10),"")</f>
        <v/>
      </c>
      <c r="S973" s="184" t="str">
        <f t="shared" ref="S973:S994" si="268">IF(P973="","",IF(P973=0,0,R973/P973))</f>
        <v/>
      </c>
      <c r="T973" s="185" t="str">
        <f t="shared" si="257"/>
        <v/>
      </c>
      <c r="U973" s="183" t="str">
        <f t="shared" ref="U973:U994" si="269">IF(T973="","",IF($I$4="","",T973/$I$4))</f>
        <v/>
      </c>
      <c r="V973" s="186" t="str">
        <f t="shared" si="258"/>
        <v/>
      </c>
      <c r="W973" s="186" t="str">
        <f t="shared" si="259"/>
        <v/>
      </c>
      <c r="X973" s="187" t="str">
        <f t="shared" si="260"/>
        <v/>
      </c>
      <c r="Y973" s="182" t="str">
        <f t="shared" si="253"/>
        <v/>
      </c>
      <c r="Z973" s="209" t="str">
        <f t="shared" si="261"/>
        <v/>
      </c>
      <c r="AA973" s="209" t="str">
        <f t="shared" si="262"/>
        <v/>
      </c>
      <c r="AB973" s="200"/>
      <c r="AC973" s="192"/>
    </row>
    <row r="974" spans="1:29" ht="11.4">
      <c r="A974" s="211" t="str">
        <f t="shared" si="263"/>
        <v/>
      </c>
      <c r="B974" s="211"/>
      <c r="C974" s="215"/>
      <c r="D974" s="213" t="str">
        <f t="shared" si="264"/>
        <v/>
      </c>
      <c r="E974" s="213" t="str">
        <f t="shared" si="255"/>
        <v/>
      </c>
      <c r="F974" s="214" t="str">
        <f t="shared" si="265"/>
        <v/>
      </c>
      <c r="G974" s="180"/>
      <c r="H974" s="181" t="str">
        <f t="shared" si="266"/>
        <v/>
      </c>
      <c r="I974" s="227"/>
      <c r="J974" s="227"/>
      <c r="K974" s="227"/>
      <c r="L974" s="227"/>
      <c r="M974" s="210" t="str">
        <f t="shared" si="254"/>
        <v/>
      </c>
      <c r="N974" s="210"/>
      <c r="O974" s="207"/>
      <c r="P974" s="182" t="str">
        <f t="shared" si="256"/>
        <v/>
      </c>
      <c r="Q974" s="183" t="str">
        <f t="shared" si="267"/>
        <v/>
      </c>
      <c r="R974" s="182" t="str">
        <f>IF(M974&lt;&gt;"",IF(#REF!*F974*10=0,"",#REF!*F974*10),"")</f>
        <v/>
      </c>
      <c r="S974" s="184" t="str">
        <f t="shared" si="268"/>
        <v/>
      </c>
      <c r="T974" s="185" t="str">
        <f t="shared" si="257"/>
        <v/>
      </c>
      <c r="U974" s="183" t="str">
        <f t="shared" si="269"/>
        <v/>
      </c>
      <c r="V974" s="186" t="str">
        <f t="shared" si="258"/>
        <v/>
      </c>
      <c r="W974" s="186" t="str">
        <f t="shared" si="259"/>
        <v/>
      </c>
      <c r="X974" s="187" t="str">
        <f t="shared" si="260"/>
        <v/>
      </c>
      <c r="Y974" s="182" t="str">
        <f t="shared" ref="Y974:Y994" si="270">IF(Y973="","",IF(T974="","",Y973+T974))</f>
        <v/>
      </c>
      <c r="Z974" s="209" t="str">
        <f t="shared" si="261"/>
        <v/>
      </c>
      <c r="AA974" s="209" t="str">
        <f t="shared" si="262"/>
        <v/>
      </c>
      <c r="AB974" s="200"/>
      <c r="AC974" s="192"/>
    </row>
    <row r="975" spans="1:29" ht="11.4">
      <c r="A975" s="211" t="str">
        <f t="shared" si="263"/>
        <v/>
      </c>
      <c r="B975" s="211"/>
      <c r="C975" s="215"/>
      <c r="D975" s="213" t="str">
        <f t="shared" si="264"/>
        <v/>
      </c>
      <c r="E975" s="213" t="str">
        <f t="shared" si="255"/>
        <v/>
      </c>
      <c r="F975" s="214" t="str">
        <f t="shared" si="265"/>
        <v/>
      </c>
      <c r="G975" s="180"/>
      <c r="H975" s="181" t="str">
        <f t="shared" si="266"/>
        <v/>
      </c>
      <c r="I975" s="227"/>
      <c r="J975" s="227"/>
      <c r="K975" s="227"/>
      <c r="L975" s="227"/>
      <c r="M975" s="210" t="str">
        <f t="shared" ref="M975:M994" si="271">IF(J975="","",J975)</f>
        <v/>
      </c>
      <c r="N975" s="210"/>
      <c r="O975" s="207"/>
      <c r="P975" s="182" t="str">
        <f t="shared" si="256"/>
        <v/>
      </c>
      <c r="Q975" s="183" t="str">
        <f t="shared" si="267"/>
        <v/>
      </c>
      <c r="R975" s="182" t="str">
        <f>IF(M975&lt;&gt;"",IF(#REF!*F975*10=0,"",#REF!*F975*10),"")</f>
        <v/>
      </c>
      <c r="S975" s="184" t="str">
        <f t="shared" si="268"/>
        <v/>
      </c>
      <c r="T975" s="185" t="str">
        <f t="shared" si="257"/>
        <v/>
      </c>
      <c r="U975" s="183" t="str">
        <f t="shared" si="269"/>
        <v/>
      </c>
      <c r="V975" s="186" t="str">
        <f t="shared" si="258"/>
        <v/>
      </c>
      <c r="W975" s="186" t="str">
        <f t="shared" si="259"/>
        <v/>
      </c>
      <c r="X975" s="187" t="str">
        <f t="shared" si="260"/>
        <v/>
      </c>
      <c r="Y975" s="182" t="str">
        <f t="shared" si="270"/>
        <v/>
      </c>
      <c r="Z975" s="209" t="str">
        <f t="shared" si="261"/>
        <v/>
      </c>
      <c r="AA975" s="209" t="str">
        <f t="shared" si="262"/>
        <v/>
      </c>
      <c r="AB975" s="200"/>
      <c r="AC975" s="192"/>
    </row>
    <row r="976" spans="1:29" ht="11.4">
      <c r="A976" s="211" t="str">
        <f t="shared" si="263"/>
        <v/>
      </c>
      <c r="B976" s="211"/>
      <c r="C976" s="215"/>
      <c r="D976" s="213" t="str">
        <f t="shared" si="264"/>
        <v/>
      </c>
      <c r="E976" s="213" t="str">
        <f t="shared" ref="E976:E994" si="272">IF(G976="","","M30")</f>
        <v/>
      </c>
      <c r="F976" s="214" t="str">
        <f t="shared" si="265"/>
        <v/>
      </c>
      <c r="G976" s="180"/>
      <c r="H976" s="181" t="str">
        <f t="shared" si="266"/>
        <v/>
      </c>
      <c r="I976" s="227"/>
      <c r="J976" s="227"/>
      <c r="K976" s="227"/>
      <c r="L976" s="227"/>
      <c r="M976" s="210" t="str">
        <f t="shared" si="271"/>
        <v/>
      </c>
      <c r="N976" s="210"/>
      <c r="O976" s="207"/>
      <c r="P976" s="182" t="str">
        <f t="shared" si="256"/>
        <v/>
      </c>
      <c r="Q976" s="183" t="str">
        <f t="shared" si="267"/>
        <v/>
      </c>
      <c r="R976" s="182" t="str">
        <f>IF(M976&lt;&gt;"",IF(#REF!*F976*10=0,"",#REF!*F976*10),"")</f>
        <v/>
      </c>
      <c r="S976" s="184" t="str">
        <f t="shared" si="268"/>
        <v/>
      </c>
      <c r="T976" s="185" t="str">
        <f t="shared" si="257"/>
        <v/>
      </c>
      <c r="U976" s="183" t="str">
        <f t="shared" si="269"/>
        <v/>
      </c>
      <c r="V976" s="186" t="str">
        <f t="shared" si="258"/>
        <v/>
      </c>
      <c r="W976" s="186" t="str">
        <f t="shared" si="259"/>
        <v/>
      </c>
      <c r="X976" s="187" t="str">
        <f t="shared" si="260"/>
        <v/>
      </c>
      <c r="Y976" s="182" t="str">
        <f t="shared" si="270"/>
        <v/>
      </c>
      <c r="Z976" s="209" t="str">
        <f t="shared" si="261"/>
        <v/>
      </c>
      <c r="AA976" s="209" t="str">
        <f t="shared" si="262"/>
        <v/>
      </c>
      <c r="AB976" s="200"/>
      <c r="AC976" s="192"/>
    </row>
    <row r="977" spans="1:29" ht="11.4">
      <c r="A977" s="211" t="str">
        <f t="shared" si="263"/>
        <v/>
      </c>
      <c r="B977" s="211"/>
      <c r="C977" s="215"/>
      <c r="D977" s="213" t="str">
        <f t="shared" si="264"/>
        <v/>
      </c>
      <c r="E977" s="213" t="str">
        <f t="shared" si="272"/>
        <v/>
      </c>
      <c r="F977" s="214" t="str">
        <f t="shared" si="265"/>
        <v/>
      </c>
      <c r="G977" s="180"/>
      <c r="H977" s="181" t="str">
        <f t="shared" si="266"/>
        <v/>
      </c>
      <c r="I977" s="227"/>
      <c r="J977" s="227"/>
      <c r="K977" s="227"/>
      <c r="L977" s="227"/>
      <c r="M977" s="210" t="str">
        <f t="shared" si="271"/>
        <v/>
      </c>
      <c r="N977" s="210"/>
      <c r="O977" s="207"/>
      <c r="P977" s="182" t="str">
        <f t="shared" si="256"/>
        <v/>
      </c>
      <c r="Q977" s="183" t="str">
        <f t="shared" si="267"/>
        <v/>
      </c>
      <c r="R977" s="182" t="str">
        <f>IF(M977&lt;&gt;"",IF(#REF!*F977*10=0,"",#REF!*F977*10),"")</f>
        <v/>
      </c>
      <c r="S977" s="184" t="str">
        <f t="shared" si="268"/>
        <v/>
      </c>
      <c r="T977" s="185" t="str">
        <f t="shared" si="257"/>
        <v/>
      </c>
      <c r="U977" s="183" t="str">
        <f t="shared" si="269"/>
        <v/>
      </c>
      <c r="V977" s="186" t="str">
        <f t="shared" si="258"/>
        <v/>
      </c>
      <c r="W977" s="186" t="str">
        <f t="shared" si="259"/>
        <v/>
      </c>
      <c r="X977" s="187" t="str">
        <f t="shared" si="260"/>
        <v/>
      </c>
      <c r="Y977" s="182" t="str">
        <f t="shared" si="270"/>
        <v/>
      </c>
      <c r="Z977" s="209" t="str">
        <f t="shared" si="261"/>
        <v/>
      </c>
      <c r="AA977" s="209" t="str">
        <f t="shared" si="262"/>
        <v/>
      </c>
      <c r="AB977" s="200"/>
      <c r="AC977" s="192"/>
    </row>
    <row r="978" spans="1:29" ht="11.4">
      <c r="A978" s="211" t="str">
        <f t="shared" si="263"/>
        <v/>
      </c>
      <c r="B978" s="211"/>
      <c r="C978" s="215"/>
      <c r="D978" s="213" t="str">
        <f t="shared" si="264"/>
        <v/>
      </c>
      <c r="E978" s="213" t="str">
        <f t="shared" si="272"/>
        <v/>
      </c>
      <c r="F978" s="214" t="str">
        <f t="shared" si="265"/>
        <v/>
      </c>
      <c r="G978" s="180"/>
      <c r="H978" s="181" t="str">
        <f t="shared" si="266"/>
        <v/>
      </c>
      <c r="I978" s="227"/>
      <c r="J978" s="227"/>
      <c r="K978" s="227"/>
      <c r="L978" s="227"/>
      <c r="M978" s="210" t="str">
        <f t="shared" si="271"/>
        <v/>
      </c>
      <c r="N978" s="210"/>
      <c r="O978" s="207"/>
      <c r="P978" s="182" t="str">
        <f t="shared" si="256"/>
        <v/>
      </c>
      <c r="Q978" s="183" t="str">
        <f t="shared" si="267"/>
        <v/>
      </c>
      <c r="R978" s="182" t="str">
        <f>IF(M978&lt;&gt;"",IF(#REF!*F978*10=0,"",#REF!*F978*10),"")</f>
        <v/>
      </c>
      <c r="S978" s="184" t="str">
        <f t="shared" si="268"/>
        <v/>
      </c>
      <c r="T978" s="185" t="str">
        <f t="shared" si="257"/>
        <v/>
      </c>
      <c r="U978" s="183" t="str">
        <f t="shared" si="269"/>
        <v/>
      </c>
      <c r="V978" s="186" t="str">
        <f t="shared" si="258"/>
        <v/>
      </c>
      <c r="W978" s="186" t="str">
        <f t="shared" si="259"/>
        <v/>
      </c>
      <c r="X978" s="187" t="str">
        <f t="shared" si="260"/>
        <v/>
      </c>
      <c r="Y978" s="182" t="str">
        <f t="shared" si="270"/>
        <v/>
      </c>
      <c r="Z978" s="209" t="str">
        <f t="shared" si="261"/>
        <v/>
      </c>
      <c r="AA978" s="209" t="str">
        <f t="shared" si="262"/>
        <v/>
      </c>
      <c r="AB978" s="200"/>
      <c r="AC978" s="192"/>
    </row>
    <row r="979" spans="1:29" ht="11.4">
      <c r="A979" s="211" t="str">
        <f t="shared" si="263"/>
        <v/>
      </c>
      <c r="B979" s="211"/>
      <c r="C979" s="215"/>
      <c r="D979" s="213" t="str">
        <f t="shared" si="264"/>
        <v/>
      </c>
      <c r="E979" s="213" t="str">
        <f t="shared" si="272"/>
        <v/>
      </c>
      <c r="F979" s="214" t="str">
        <f t="shared" si="265"/>
        <v/>
      </c>
      <c r="G979" s="180"/>
      <c r="H979" s="181" t="str">
        <f t="shared" si="266"/>
        <v/>
      </c>
      <c r="I979" s="227"/>
      <c r="J979" s="227"/>
      <c r="K979" s="227"/>
      <c r="L979" s="227"/>
      <c r="M979" s="210" t="str">
        <f t="shared" si="271"/>
        <v/>
      </c>
      <c r="N979" s="210"/>
      <c r="O979" s="207"/>
      <c r="P979" s="182" t="str">
        <f t="shared" si="256"/>
        <v/>
      </c>
      <c r="Q979" s="183" t="str">
        <f t="shared" si="267"/>
        <v/>
      </c>
      <c r="R979" s="182" t="str">
        <f>IF(M979&lt;&gt;"",IF(#REF!*F979*10=0,"",#REF!*F979*10),"")</f>
        <v/>
      </c>
      <c r="S979" s="184" t="str">
        <f t="shared" si="268"/>
        <v/>
      </c>
      <c r="T979" s="185" t="str">
        <f t="shared" si="257"/>
        <v/>
      </c>
      <c r="U979" s="183" t="str">
        <f t="shared" si="269"/>
        <v/>
      </c>
      <c r="V979" s="186" t="str">
        <f t="shared" si="258"/>
        <v/>
      </c>
      <c r="W979" s="186" t="str">
        <f t="shared" si="259"/>
        <v/>
      </c>
      <c r="X979" s="187" t="str">
        <f t="shared" si="260"/>
        <v/>
      </c>
      <c r="Y979" s="182" t="str">
        <f t="shared" si="270"/>
        <v/>
      </c>
      <c r="Z979" s="209" t="str">
        <f t="shared" si="261"/>
        <v/>
      </c>
      <c r="AA979" s="209" t="str">
        <f t="shared" si="262"/>
        <v/>
      </c>
      <c r="AB979" s="200"/>
      <c r="AC979" s="192"/>
    </row>
    <row r="980" spans="1:29" ht="11.4">
      <c r="A980" s="211" t="str">
        <f t="shared" si="263"/>
        <v/>
      </c>
      <c r="B980" s="211"/>
      <c r="C980" s="215"/>
      <c r="D980" s="213" t="str">
        <f t="shared" si="264"/>
        <v/>
      </c>
      <c r="E980" s="213" t="str">
        <f t="shared" si="272"/>
        <v/>
      </c>
      <c r="F980" s="214" t="str">
        <f t="shared" si="265"/>
        <v/>
      </c>
      <c r="G980" s="180"/>
      <c r="H980" s="181" t="str">
        <f t="shared" si="266"/>
        <v/>
      </c>
      <c r="I980" s="227"/>
      <c r="J980" s="227"/>
      <c r="K980" s="227"/>
      <c r="L980" s="227"/>
      <c r="M980" s="210" t="str">
        <f t="shared" si="271"/>
        <v/>
      </c>
      <c r="N980" s="210"/>
      <c r="O980" s="207"/>
      <c r="P980" s="182" t="str">
        <f t="shared" si="256"/>
        <v/>
      </c>
      <c r="Q980" s="183" t="str">
        <f t="shared" si="267"/>
        <v/>
      </c>
      <c r="R980" s="182" t="str">
        <f>IF(M980&lt;&gt;"",IF(#REF!*F980*10=0,"",#REF!*F980*10),"")</f>
        <v/>
      </c>
      <c r="S980" s="184" t="str">
        <f t="shared" si="268"/>
        <v/>
      </c>
      <c r="T980" s="185" t="str">
        <f t="shared" si="257"/>
        <v/>
      </c>
      <c r="U980" s="183" t="str">
        <f t="shared" si="269"/>
        <v/>
      </c>
      <c r="V980" s="186" t="str">
        <f t="shared" si="258"/>
        <v/>
      </c>
      <c r="W980" s="186" t="str">
        <f t="shared" si="259"/>
        <v/>
      </c>
      <c r="X980" s="187" t="str">
        <f t="shared" si="260"/>
        <v/>
      </c>
      <c r="Y980" s="182" t="str">
        <f t="shared" si="270"/>
        <v/>
      </c>
      <c r="Z980" s="209" t="str">
        <f t="shared" si="261"/>
        <v/>
      </c>
      <c r="AA980" s="209" t="str">
        <f t="shared" si="262"/>
        <v/>
      </c>
      <c r="AB980" s="200"/>
      <c r="AC980" s="192"/>
    </row>
    <row r="981" spans="1:29" ht="11.4">
      <c r="A981" s="211" t="str">
        <f t="shared" si="263"/>
        <v/>
      </c>
      <c r="B981" s="211"/>
      <c r="C981" s="215"/>
      <c r="D981" s="213" t="str">
        <f t="shared" si="264"/>
        <v/>
      </c>
      <c r="E981" s="213" t="str">
        <f t="shared" si="272"/>
        <v/>
      </c>
      <c r="F981" s="214" t="str">
        <f t="shared" si="265"/>
        <v/>
      </c>
      <c r="G981" s="180"/>
      <c r="H981" s="181" t="str">
        <f t="shared" si="266"/>
        <v/>
      </c>
      <c r="I981" s="227"/>
      <c r="J981" s="227"/>
      <c r="K981" s="227"/>
      <c r="L981" s="227"/>
      <c r="M981" s="210" t="str">
        <f t="shared" si="271"/>
        <v/>
      </c>
      <c r="N981" s="210"/>
      <c r="O981" s="207"/>
      <c r="P981" s="182" t="str">
        <f t="shared" si="256"/>
        <v/>
      </c>
      <c r="Q981" s="183" t="str">
        <f t="shared" si="267"/>
        <v/>
      </c>
      <c r="R981" s="182" t="str">
        <f>IF(M981&lt;&gt;"",IF(#REF!*F981*10=0,"",#REF!*F981*10),"")</f>
        <v/>
      </c>
      <c r="S981" s="184" t="str">
        <f t="shared" si="268"/>
        <v/>
      </c>
      <c r="T981" s="185" t="str">
        <f t="shared" si="257"/>
        <v/>
      </c>
      <c r="U981" s="183" t="str">
        <f t="shared" si="269"/>
        <v/>
      </c>
      <c r="V981" s="186" t="str">
        <f t="shared" si="258"/>
        <v/>
      </c>
      <c r="W981" s="186" t="str">
        <f t="shared" si="259"/>
        <v/>
      </c>
      <c r="X981" s="187" t="str">
        <f t="shared" si="260"/>
        <v/>
      </c>
      <c r="Y981" s="182" t="str">
        <f t="shared" si="270"/>
        <v/>
      </c>
      <c r="Z981" s="209" t="str">
        <f t="shared" si="261"/>
        <v/>
      </c>
      <c r="AA981" s="209" t="str">
        <f t="shared" si="262"/>
        <v/>
      </c>
      <c r="AB981" s="200"/>
      <c r="AC981" s="192"/>
    </row>
    <row r="982" spans="1:29" ht="11.4">
      <c r="A982" s="211" t="str">
        <f t="shared" si="263"/>
        <v/>
      </c>
      <c r="B982" s="211"/>
      <c r="C982" s="215"/>
      <c r="D982" s="213" t="str">
        <f t="shared" si="264"/>
        <v/>
      </c>
      <c r="E982" s="213" t="str">
        <f t="shared" si="272"/>
        <v/>
      </c>
      <c r="F982" s="214" t="str">
        <f t="shared" si="265"/>
        <v/>
      </c>
      <c r="G982" s="180"/>
      <c r="H982" s="181" t="str">
        <f t="shared" si="266"/>
        <v/>
      </c>
      <c r="I982" s="227"/>
      <c r="J982" s="227"/>
      <c r="K982" s="227"/>
      <c r="L982" s="227"/>
      <c r="M982" s="210" t="str">
        <f t="shared" si="271"/>
        <v/>
      </c>
      <c r="N982" s="210"/>
      <c r="O982" s="207"/>
      <c r="P982" s="182" t="str">
        <f t="shared" si="256"/>
        <v/>
      </c>
      <c r="Q982" s="183" t="str">
        <f t="shared" si="267"/>
        <v/>
      </c>
      <c r="R982" s="182" t="str">
        <f>IF(M982&lt;&gt;"",IF(#REF!*F982*10=0,"",#REF!*F982*10),"")</f>
        <v/>
      </c>
      <c r="S982" s="184" t="str">
        <f t="shared" si="268"/>
        <v/>
      </c>
      <c r="T982" s="185" t="str">
        <f t="shared" si="257"/>
        <v/>
      </c>
      <c r="U982" s="183" t="str">
        <f t="shared" si="269"/>
        <v/>
      </c>
      <c r="V982" s="186" t="str">
        <f t="shared" si="258"/>
        <v/>
      </c>
      <c r="W982" s="186" t="str">
        <f t="shared" si="259"/>
        <v/>
      </c>
      <c r="X982" s="187" t="str">
        <f t="shared" si="260"/>
        <v/>
      </c>
      <c r="Y982" s="182" t="str">
        <f t="shared" si="270"/>
        <v/>
      </c>
      <c r="Z982" s="209" t="str">
        <f t="shared" si="261"/>
        <v/>
      </c>
      <c r="AA982" s="209" t="str">
        <f t="shared" si="262"/>
        <v/>
      </c>
      <c r="AB982" s="200"/>
      <c r="AC982" s="192"/>
    </row>
    <row r="983" spans="1:29" ht="11.4">
      <c r="A983" s="211" t="str">
        <f t="shared" si="263"/>
        <v/>
      </c>
      <c r="B983" s="211"/>
      <c r="C983" s="215"/>
      <c r="D983" s="213" t="str">
        <f t="shared" si="264"/>
        <v/>
      </c>
      <c r="E983" s="213" t="str">
        <f t="shared" si="272"/>
        <v/>
      </c>
      <c r="F983" s="214" t="str">
        <f t="shared" si="265"/>
        <v/>
      </c>
      <c r="G983" s="180"/>
      <c r="H983" s="181" t="str">
        <f t="shared" si="266"/>
        <v/>
      </c>
      <c r="I983" s="227"/>
      <c r="J983" s="227"/>
      <c r="K983" s="227"/>
      <c r="L983" s="227"/>
      <c r="M983" s="210" t="str">
        <f t="shared" si="271"/>
        <v/>
      </c>
      <c r="N983" s="210"/>
      <c r="O983" s="207"/>
      <c r="P983" s="182" t="str">
        <f t="shared" si="256"/>
        <v/>
      </c>
      <c r="Q983" s="183" t="str">
        <f t="shared" si="267"/>
        <v/>
      </c>
      <c r="R983" s="182" t="str">
        <f>IF(M983&lt;&gt;"",IF(#REF!*F983*10=0,"",#REF!*F983*10),"")</f>
        <v/>
      </c>
      <c r="S983" s="184" t="str">
        <f t="shared" si="268"/>
        <v/>
      </c>
      <c r="T983" s="185" t="str">
        <f t="shared" si="257"/>
        <v/>
      </c>
      <c r="U983" s="183" t="str">
        <f t="shared" si="269"/>
        <v/>
      </c>
      <c r="V983" s="186" t="str">
        <f t="shared" si="258"/>
        <v/>
      </c>
      <c r="W983" s="186" t="str">
        <f t="shared" si="259"/>
        <v/>
      </c>
      <c r="X983" s="187" t="str">
        <f t="shared" si="260"/>
        <v/>
      </c>
      <c r="Y983" s="182" t="str">
        <f t="shared" si="270"/>
        <v/>
      </c>
      <c r="Z983" s="209" t="str">
        <f t="shared" si="261"/>
        <v/>
      </c>
      <c r="AA983" s="209" t="str">
        <f t="shared" si="262"/>
        <v/>
      </c>
      <c r="AB983" s="200"/>
      <c r="AC983" s="192"/>
    </row>
    <row r="984" spans="1:29" ht="11.4">
      <c r="A984" s="211" t="str">
        <f t="shared" si="263"/>
        <v/>
      </c>
      <c r="B984" s="211"/>
      <c r="C984" s="215"/>
      <c r="D984" s="213" t="str">
        <f t="shared" si="264"/>
        <v/>
      </c>
      <c r="E984" s="213" t="str">
        <f t="shared" si="272"/>
        <v/>
      </c>
      <c r="F984" s="214" t="str">
        <f t="shared" si="265"/>
        <v/>
      </c>
      <c r="G984" s="180"/>
      <c r="H984" s="181" t="str">
        <f t="shared" si="266"/>
        <v/>
      </c>
      <c r="I984" s="227"/>
      <c r="J984" s="227"/>
      <c r="K984" s="227"/>
      <c r="L984" s="227"/>
      <c r="M984" s="210" t="str">
        <f t="shared" si="271"/>
        <v/>
      </c>
      <c r="N984" s="210"/>
      <c r="O984" s="207"/>
      <c r="P984" s="182" t="str">
        <f t="shared" si="256"/>
        <v/>
      </c>
      <c r="Q984" s="183" t="str">
        <f t="shared" si="267"/>
        <v/>
      </c>
      <c r="R984" s="182" t="str">
        <f>IF(M984&lt;&gt;"",IF(#REF!*F984*10=0,"",#REF!*F984*10),"")</f>
        <v/>
      </c>
      <c r="S984" s="184" t="str">
        <f t="shared" si="268"/>
        <v/>
      </c>
      <c r="T984" s="185" t="str">
        <f t="shared" si="257"/>
        <v/>
      </c>
      <c r="U984" s="183" t="str">
        <f t="shared" si="269"/>
        <v/>
      </c>
      <c r="V984" s="186" t="str">
        <f t="shared" si="258"/>
        <v/>
      </c>
      <c r="W984" s="186" t="str">
        <f t="shared" si="259"/>
        <v/>
      </c>
      <c r="X984" s="187" t="str">
        <f t="shared" si="260"/>
        <v/>
      </c>
      <c r="Y984" s="182" t="str">
        <f t="shared" si="270"/>
        <v/>
      </c>
      <c r="Z984" s="209" t="str">
        <f t="shared" si="261"/>
        <v/>
      </c>
      <c r="AA984" s="209" t="str">
        <f t="shared" si="262"/>
        <v/>
      </c>
      <c r="AB984" s="200"/>
      <c r="AC984" s="192"/>
    </row>
    <row r="985" spans="1:29" ht="11.4">
      <c r="A985" s="211" t="str">
        <f t="shared" si="263"/>
        <v/>
      </c>
      <c r="B985" s="211"/>
      <c r="C985" s="215"/>
      <c r="D985" s="213" t="str">
        <f t="shared" si="264"/>
        <v/>
      </c>
      <c r="E985" s="213" t="str">
        <f t="shared" si="272"/>
        <v/>
      </c>
      <c r="F985" s="214" t="str">
        <f t="shared" si="265"/>
        <v/>
      </c>
      <c r="G985" s="180"/>
      <c r="H985" s="181" t="str">
        <f t="shared" si="266"/>
        <v/>
      </c>
      <c r="I985" s="227"/>
      <c r="J985" s="227"/>
      <c r="K985" s="227"/>
      <c r="L985" s="227"/>
      <c r="M985" s="210" t="str">
        <f t="shared" si="271"/>
        <v/>
      </c>
      <c r="N985" s="210"/>
      <c r="O985" s="207"/>
      <c r="P985" s="182" t="str">
        <f t="shared" si="256"/>
        <v/>
      </c>
      <c r="Q985" s="183" t="str">
        <f t="shared" si="267"/>
        <v/>
      </c>
      <c r="R985" s="182" t="str">
        <f>IF(M985&lt;&gt;"",IF(#REF!*F985*10=0,"",#REF!*F985*10),"")</f>
        <v/>
      </c>
      <c r="S985" s="184" t="str">
        <f t="shared" si="268"/>
        <v/>
      </c>
      <c r="T985" s="185" t="str">
        <f t="shared" si="257"/>
        <v/>
      </c>
      <c r="U985" s="183" t="str">
        <f t="shared" si="269"/>
        <v/>
      </c>
      <c r="V985" s="186" t="str">
        <f t="shared" si="258"/>
        <v/>
      </c>
      <c r="W985" s="186" t="str">
        <f t="shared" si="259"/>
        <v/>
      </c>
      <c r="X985" s="187" t="str">
        <f t="shared" si="260"/>
        <v/>
      </c>
      <c r="Y985" s="182" t="str">
        <f t="shared" si="270"/>
        <v/>
      </c>
      <c r="Z985" s="209" t="str">
        <f t="shared" si="261"/>
        <v/>
      </c>
      <c r="AA985" s="209" t="str">
        <f t="shared" si="262"/>
        <v/>
      </c>
      <c r="AB985" s="200"/>
      <c r="AC985" s="192"/>
    </row>
    <row r="986" spans="1:29" ht="11.4">
      <c r="A986" s="211" t="str">
        <f t="shared" si="263"/>
        <v/>
      </c>
      <c r="B986" s="211"/>
      <c r="C986" s="215"/>
      <c r="D986" s="213" t="str">
        <f t="shared" si="264"/>
        <v/>
      </c>
      <c r="E986" s="213" t="str">
        <f t="shared" si="272"/>
        <v/>
      </c>
      <c r="F986" s="214" t="str">
        <f t="shared" si="265"/>
        <v/>
      </c>
      <c r="G986" s="180"/>
      <c r="H986" s="181" t="str">
        <f t="shared" si="266"/>
        <v/>
      </c>
      <c r="I986" s="227"/>
      <c r="J986" s="227"/>
      <c r="K986" s="227"/>
      <c r="L986" s="227"/>
      <c r="M986" s="210" t="str">
        <f t="shared" si="271"/>
        <v/>
      </c>
      <c r="N986" s="210"/>
      <c r="O986" s="207"/>
      <c r="P986" s="182" t="str">
        <f t="shared" si="256"/>
        <v/>
      </c>
      <c r="Q986" s="183" t="str">
        <f t="shared" si="267"/>
        <v/>
      </c>
      <c r="R986" s="182" t="str">
        <f>IF(M986&lt;&gt;"",IF(#REF!*F986*10=0,"",#REF!*F986*10),"")</f>
        <v/>
      </c>
      <c r="S986" s="184" t="str">
        <f t="shared" si="268"/>
        <v/>
      </c>
      <c r="T986" s="185" t="str">
        <f t="shared" si="257"/>
        <v/>
      </c>
      <c r="U986" s="183" t="str">
        <f t="shared" si="269"/>
        <v/>
      </c>
      <c r="V986" s="186" t="str">
        <f t="shared" si="258"/>
        <v/>
      </c>
      <c r="W986" s="186" t="str">
        <f t="shared" si="259"/>
        <v/>
      </c>
      <c r="X986" s="187" t="str">
        <f t="shared" si="260"/>
        <v/>
      </c>
      <c r="Y986" s="182" t="str">
        <f t="shared" si="270"/>
        <v/>
      </c>
      <c r="Z986" s="209" t="str">
        <f t="shared" si="261"/>
        <v/>
      </c>
      <c r="AA986" s="209" t="str">
        <f t="shared" si="262"/>
        <v/>
      </c>
      <c r="AB986" s="200"/>
      <c r="AC986" s="192"/>
    </row>
    <row r="987" spans="1:29" ht="11.4">
      <c r="A987" s="211" t="str">
        <f t="shared" si="263"/>
        <v/>
      </c>
      <c r="B987" s="211"/>
      <c r="C987" s="215"/>
      <c r="D987" s="213" t="str">
        <f t="shared" si="264"/>
        <v/>
      </c>
      <c r="E987" s="213" t="str">
        <f t="shared" si="272"/>
        <v/>
      </c>
      <c r="F987" s="214" t="str">
        <f t="shared" si="265"/>
        <v/>
      </c>
      <c r="G987" s="180"/>
      <c r="H987" s="181" t="str">
        <f t="shared" si="266"/>
        <v/>
      </c>
      <c r="I987" s="227"/>
      <c r="J987" s="227"/>
      <c r="K987" s="227"/>
      <c r="L987" s="227"/>
      <c r="M987" s="210" t="str">
        <f t="shared" si="271"/>
        <v/>
      </c>
      <c r="N987" s="210"/>
      <c r="O987" s="207"/>
      <c r="P987" s="182" t="str">
        <f t="shared" si="256"/>
        <v/>
      </c>
      <c r="Q987" s="183" t="str">
        <f t="shared" si="267"/>
        <v/>
      </c>
      <c r="R987" s="182" t="str">
        <f>IF(M987&lt;&gt;"",IF(#REF!*F987*10=0,"",#REF!*F987*10),"")</f>
        <v/>
      </c>
      <c r="S987" s="184" t="str">
        <f t="shared" si="268"/>
        <v/>
      </c>
      <c r="T987" s="185" t="str">
        <f t="shared" si="257"/>
        <v/>
      </c>
      <c r="U987" s="183" t="str">
        <f t="shared" si="269"/>
        <v/>
      </c>
      <c r="V987" s="186" t="str">
        <f t="shared" si="258"/>
        <v/>
      </c>
      <c r="W987" s="186" t="str">
        <f t="shared" si="259"/>
        <v/>
      </c>
      <c r="X987" s="187" t="str">
        <f t="shared" si="260"/>
        <v/>
      </c>
      <c r="Y987" s="182" t="str">
        <f t="shared" si="270"/>
        <v/>
      </c>
      <c r="Z987" s="209" t="str">
        <f t="shared" si="261"/>
        <v/>
      </c>
      <c r="AA987" s="209" t="str">
        <f t="shared" si="262"/>
        <v/>
      </c>
      <c r="AB987" s="200"/>
      <c r="AC987" s="192"/>
    </row>
    <row r="988" spans="1:29" ht="11.4">
      <c r="A988" s="211" t="str">
        <f t="shared" si="263"/>
        <v/>
      </c>
      <c r="B988" s="211"/>
      <c r="C988" s="215"/>
      <c r="D988" s="213" t="str">
        <f t="shared" si="264"/>
        <v/>
      </c>
      <c r="E988" s="213" t="str">
        <f t="shared" si="272"/>
        <v/>
      </c>
      <c r="F988" s="214" t="str">
        <f t="shared" si="265"/>
        <v/>
      </c>
      <c r="G988" s="180"/>
      <c r="H988" s="181" t="str">
        <f t="shared" si="266"/>
        <v/>
      </c>
      <c r="I988" s="227"/>
      <c r="J988" s="227"/>
      <c r="K988" s="227"/>
      <c r="L988" s="227"/>
      <c r="M988" s="210" t="str">
        <f t="shared" si="271"/>
        <v/>
      </c>
      <c r="N988" s="210"/>
      <c r="O988" s="207"/>
      <c r="P988" s="182" t="str">
        <f t="shared" si="256"/>
        <v/>
      </c>
      <c r="Q988" s="183" t="str">
        <f t="shared" si="267"/>
        <v/>
      </c>
      <c r="R988" s="182" t="str">
        <f>IF(M988&lt;&gt;"",IF(#REF!*F988*10=0,"",#REF!*F988*10),"")</f>
        <v/>
      </c>
      <c r="S988" s="184" t="str">
        <f t="shared" si="268"/>
        <v/>
      </c>
      <c r="T988" s="185" t="str">
        <f t="shared" si="257"/>
        <v/>
      </c>
      <c r="U988" s="183" t="str">
        <f t="shared" si="269"/>
        <v/>
      </c>
      <c r="V988" s="186" t="str">
        <f t="shared" si="258"/>
        <v/>
      </c>
      <c r="W988" s="186" t="str">
        <f t="shared" si="259"/>
        <v/>
      </c>
      <c r="X988" s="187" t="str">
        <f t="shared" si="260"/>
        <v/>
      </c>
      <c r="Y988" s="182" t="str">
        <f t="shared" si="270"/>
        <v/>
      </c>
      <c r="Z988" s="209" t="str">
        <f t="shared" si="261"/>
        <v/>
      </c>
      <c r="AA988" s="209" t="str">
        <f t="shared" si="262"/>
        <v/>
      </c>
      <c r="AB988" s="200"/>
      <c r="AC988" s="192"/>
    </row>
    <row r="989" spans="1:29" ht="11.4">
      <c r="A989" s="211" t="str">
        <f t="shared" si="263"/>
        <v/>
      </c>
      <c r="B989" s="211"/>
      <c r="C989" s="215"/>
      <c r="D989" s="213" t="str">
        <f t="shared" si="264"/>
        <v/>
      </c>
      <c r="E989" s="213" t="str">
        <f t="shared" si="272"/>
        <v/>
      </c>
      <c r="F989" s="214" t="str">
        <f t="shared" si="265"/>
        <v/>
      </c>
      <c r="G989" s="180"/>
      <c r="H989" s="181" t="str">
        <f t="shared" si="266"/>
        <v/>
      </c>
      <c r="I989" s="227"/>
      <c r="J989" s="227"/>
      <c r="K989" s="227"/>
      <c r="L989" s="227"/>
      <c r="M989" s="210" t="str">
        <f t="shared" si="271"/>
        <v/>
      </c>
      <c r="N989" s="210"/>
      <c r="O989" s="207"/>
      <c r="P989" s="182" t="str">
        <f t="shared" si="256"/>
        <v/>
      </c>
      <c r="Q989" s="183" t="str">
        <f t="shared" si="267"/>
        <v/>
      </c>
      <c r="R989" s="182" t="str">
        <f>IF(M989&lt;&gt;"",IF(#REF!*F989*10=0,"",#REF!*F989*10),"")</f>
        <v/>
      </c>
      <c r="S989" s="184" t="str">
        <f t="shared" si="268"/>
        <v/>
      </c>
      <c r="T989" s="185" t="str">
        <f t="shared" si="257"/>
        <v/>
      </c>
      <c r="U989" s="183" t="str">
        <f t="shared" si="269"/>
        <v/>
      </c>
      <c r="V989" s="186" t="str">
        <f t="shared" si="258"/>
        <v/>
      </c>
      <c r="W989" s="186" t="str">
        <f t="shared" si="259"/>
        <v/>
      </c>
      <c r="X989" s="187" t="str">
        <f t="shared" si="260"/>
        <v/>
      </c>
      <c r="Y989" s="182" t="str">
        <f t="shared" si="270"/>
        <v/>
      </c>
      <c r="Z989" s="209" t="str">
        <f t="shared" si="261"/>
        <v/>
      </c>
      <c r="AA989" s="209" t="str">
        <f t="shared" si="262"/>
        <v/>
      </c>
      <c r="AB989" s="200"/>
      <c r="AC989" s="192"/>
    </row>
    <row r="990" spans="1:29" ht="11.4">
      <c r="A990" s="211" t="str">
        <f t="shared" si="263"/>
        <v/>
      </c>
      <c r="B990" s="211"/>
      <c r="C990" s="215"/>
      <c r="D990" s="213" t="str">
        <f t="shared" si="264"/>
        <v/>
      </c>
      <c r="E990" s="213" t="str">
        <f t="shared" si="272"/>
        <v/>
      </c>
      <c r="F990" s="214" t="str">
        <f t="shared" si="265"/>
        <v/>
      </c>
      <c r="G990" s="180"/>
      <c r="H990" s="181" t="str">
        <f t="shared" si="266"/>
        <v/>
      </c>
      <c r="I990" s="227"/>
      <c r="J990" s="227"/>
      <c r="K990" s="227"/>
      <c r="L990" s="227"/>
      <c r="M990" s="210" t="str">
        <f t="shared" si="271"/>
        <v/>
      </c>
      <c r="N990" s="210"/>
      <c r="O990" s="207"/>
      <c r="P990" s="182" t="str">
        <f t="shared" si="256"/>
        <v/>
      </c>
      <c r="Q990" s="183" t="str">
        <f t="shared" si="267"/>
        <v/>
      </c>
      <c r="R990" s="182" t="str">
        <f>IF(M990&lt;&gt;"",IF(#REF!*F990*10=0,"",#REF!*F990*10),"")</f>
        <v/>
      </c>
      <c r="S990" s="184" t="str">
        <f t="shared" si="268"/>
        <v/>
      </c>
      <c r="T990" s="185" t="str">
        <f t="shared" si="257"/>
        <v/>
      </c>
      <c r="U990" s="183" t="str">
        <f t="shared" si="269"/>
        <v/>
      </c>
      <c r="V990" s="186" t="str">
        <f t="shared" si="258"/>
        <v/>
      </c>
      <c r="W990" s="186" t="str">
        <f t="shared" si="259"/>
        <v/>
      </c>
      <c r="X990" s="187" t="str">
        <f t="shared" si="260"/>
        <v/>
      </c>
      <c r="Y990" s="182" t="str">
        <f t="shared" si="270"/>
        <v/>
      </c>
      <c r="Z990" s="209" t="str">
        <f t="shared" si="261"/>
        <v/>
      </c>
      <c r="AA990" s="209" t="str">
        <f t="shared" si="262"/>
        <v/>
      </c>
      <c r="AB990" s="200"/>
      <c r="AC990" s="192"/>
    </row>
    <row r="991" spans="1:29" ht="11.4">
      <c r="A991" s="211" t="str">
        <f t="shared" si="263"/>
        <v/>
      </c>
      <c r="B991" s="211"/>
      <c r="C991" s="215"/>
      <c r="D991" s="213" t="str">
        <f t="shared" si="264"/>
        <v/>
      </c>
      <c r="E991" s="213" t="str">
        <f t="shared" si="272"/>
        <v/>
      </c>
      <c r="F991" s="214" t="str">
        <f t="shared" si="265"/>
        <v/>
      </c>
      <c r="G991" s="180"/>
      <c r="H991" s="181" t="str">
        <f t="shared" si="266"/>
        <v/>
      </c>
      <c r="I991" s="227"/>
      <c r="J991" s="227"/>
      <c r="K991" s="227"/>
      <c r="L991" s="227"/>
      <c r="M991" s="210" t="str">
        <f t="shared" si="271"/>
        <v/>
      </c>
      <c r="N991" s="210"/>
      <c r="O991" s="207"/>
      <c r="P991" s="182" t="str">
        <f t="shared" si="256"/>
        <v/>
      </c>
      <c r="Q991" s="183" t="str">
        <f t="shared" si="267"/>
        <v/>
      </c>
      <c r="R991" s="182" t="str">
        <f>IF(M991&lt;&gt;"",IF(#REF!*F991*10=0,"",#REF!*F991*10),"")</f>
        <v/>
      </c>
      <c r="S991" s="184" t="str">
        <f t="shared" si="268"/>
        <v/>
      </c>
      <c r="T991" s="185" t="str">
        <f t="shared" si="257"/>
        <v/>
      </c>
      <c r="U991" s="183" t="str">
        <f t="shared" si="269"/>
        <v/>
      </c>
      <c r="V991" s="186" t="str">
        <f t="shared" si="258"/>
        <v/>
      </c>
      <c r="W991" s="186" t="str">
        <f t="shared" si="259"/>
        <v/>
      </c>
      <c r="X991" s="187" t="str">
        <f t="shared" si="260"/>
        <v/>
      </c>
      <c r="Y991" s="182" t="str">
        <f t="shared" si="270"/>
        <v/>
      </c>
      <c r="Z991" s="209" t="str">
        <f t="shared" si="261"/>
        <v/>
      </c>
      <c r="AA991" s="209" t="str">
        <f t="shared" si="262"/>
        <v/>
      </c>
      <c r="AB991" s="200"/>
      <c r="AC991" s="192"/>
    </row>
    <row r="992" spans="1:29" ht="11.4">
      <c r="A992" s="211" t="str">
        <f t="shared" si="263"/>
        <v/>
      </c>
      <c r="B992" s="211"/>
      <c r="C992" s="215"/>
      <c r="D992" s="213" t="str">
        <f t="shared" si="264"/>
        <v/>
      </c>
      <c r="E992" s="213" t="str">
        <f t="shared" si="272"/>
        <v/>
      </c>
      <c r="F992" s="214" t="str">
        <f t="shared" si="265"/>
        <v/>
      </c>
      <c r="G992" s="180"/>
      <c r="H992" s="181" t="str">
        <f t="shared" si="266"/>
        <v/>
      </c>
      <c r="I992" s="227"/>
      <c r="J992" s="227"/>
      <c r="K992" s="227"/>
      <c r="L992" s="227"/>
      <c r="M992" s="210" t="str">
        <f t="shared" si="271"/>
        <v/>
      </c>
      <c r="N992" s="210"/>
      <c r="O992" s="207"/>
      <c r="P992" s="182" t="str">
        <f t="shared" si="256"/>
        <v/>
      </c>
      <c r="Q992" s="183" t="str">
        <f t="shared" si="267"/>
        <v/>
      </c>
      <c r="R992" s="182" t="str">
        <f>IF(M992&lt;&gt;"",IF(#REF!*F992*10=0,"",#REF!*F992*10),"")</f>
        <v/>
      </c>
      <c r="S992" s="184" t="str">
        <f t="shared" si="268"/>
        <v/>
      </c>
      <c r="T992" s="185" t="str">
        <f t="shared" si="257"/>
        <v/>
      </c>
      <c r="U992" s="183" t="str">
        <f t="shared" si="269"/>
        <v/>
      </c>
      <c r="V992" s="186" t="str">
        <f t="shared" si="258"/>
        <v/>
      </c>
      <c r="W992" s="186" t="str">
        <f t="shared" si="259"/>
        <v/>
      </c>
      <c r="X992" s="187" t="str">
        <f t="shared" si="260"/>
        <v/>
      </c>
      <c r="Y992" s="182" t="str">
        <f t="shared" si="270"/>
        <v/>
      </c>
      <c r="Z992" s="209" t="str">
        <f t="shared" si="261"/>
        <v/>
      </c>
      <c r="AA992" s="209" t="str">
        <f t="shared" si="262"/>
        <v/>
      </c>
      <c r="AB992" s="200"/>
      <c r="AC992" s="192"/>
    </row>
    <row r="993" spans="1:29" ht="11.4">
      <c r="A993" s="211" t="str">
        <f t="shared" si="263"/>
        <v/>
      </c>
      <c r="B993" s="211"/>
      <c r="C993" s="215"/>
      <c r="D993" s="213" t="str">
        <f t="shared" si="264"/>
        <v/>
      </c>
      <c r="E993" s="213" t="str">
        <f t="shared" si="272"/>
        <v/>
      </c>
      <c r="F993" s="214" t="str">
        <f t="shared" si="265"/>
        <v/>
      </c>
      <c r="G993" s="180"/>
      <c r="H993" s="181" t="str">
        <f t="shared" si="266"/>
        <v/>
      </c>
      <c r="I993" s="227"/>
      <c r="J993" s="227"/>
      <c r="K993" s="227"/>
      <c r="L993" s="227"/>
      <c r="M993" s="210" t="str">
        <f t="shared" si="271"/>
        <v/>
      </c>
      <c r="N993" s="210"/>
      <c r="O993" s="207"/>
      <c r="P993" s="182" t="str">
        <f t="shared" si="256"/>
        <v/>
      </c>
      <c r="Q993" s="183" t="str">
        <f t="shared" si="267"/>
        <v/>
      </c>
      <c r="R993" s="182" t="str">
        <f>IF(M993&lt;&gt;"",IF(#REF!*F993*10=0,"",#REF!*F993*10),"")</f>
        <v/>
      </c>
      <c r="S993" s="184" t="str">
        <f t="shared" si="268"/>
        <v/>
      </c>
      <c r="T993" s="185" t="str">
        <f t="shared" si="257"/>
        <v/>
      </c>
      <c r="U993" s="183" t="str">
        <f t="shared" si="269"/>
        <v/>
      </c>
      <c r="V993" s="186" t="str">
        <f t="shared" si="258"/>
        <v/>
      </c>
      <c r="W993" s="186" t="str">
        <f t="shared" si="259"/>
        <v/>
      </c>
      <c r="X993" s="187" t="str">
        <f t="shared" si="260"/>
        <v/>
      </c>
      <c r="Y993" s="182" t="str">
        <f t="shared" si="270"/>
        <v/>
      </c>
      <c r="Z993" s="209" t="str">
        <f t="shared" si="261"/>
        <v/>
      </c>
      <c r="AA993" s="209" t="str">
        <f t="shared" si="262"/>
        <v/>
      </c>
      <c r="AB993" s="200"/>
      <c r="AC993" s="192"/>
    </row>
    <row r="994" spans="1:29" ht="11.4">
      <c r="A994" s="211" t="str">
        <f t="shared" si="263"/>
        <v/>
      </c>
      <c r="B994" s="211"/>
      <c r="C994" s="215"/>
      <c r="D994" s="213" t="str">
        <f t="shared" si="264"/>
        <v/>
      </c>
      <c r="E994" s="213" t="str">
        <f t="shared" si="272"/>
        <v/>
      </c>
      <c r="F994" s="214" t="str">
        <f t="shared" si="265"/>
        <v/>
      </c>
      <c r="G994" s="180"/>
      <c r="H994" s="181" t="str">
        <f t="shared" si="266"/>
        <v/>
      </c>
      <c r="I994" s="227"/>
      <c r="J994" s="227"/>
      <c r="K994" s="227"/>
      <c r="L994" s="227"/>
      <c r="M994" s="210" t="str">
        <f t="shared" si="271"/>
        <v/>
      </c>
      <c r="N994" s="210"/>
      <c r="O994" s="207"/>
      <c r="P994" s="182" t="str">
        <f t="shared" si="256"/>
        <v/>
      </c>
      <c r="Q994" s="183" t="str">
        <f t="shared" si="267"/>
        <v/>
      </c>
      <c r="R994" s="182" t="str">
        <f>IF(M994&lt;&gt;"",IF(#REF!*F994*10=0,"",#REF!*F994*10),"")</f>
        <v/>
      </c>
      <c r="S994" s="184" t="str">
        <f t="shared" si="268"/>
        <v/>
      </c>
      <c r="T994" s="185" t="str">
        <f t="shared" si="257"/>
        <v/>
      </c>
      <c r="U994" s="183" t="str">
        <f t="shared" si="269"/>
        <v/>
      </c>
      <c r="V994" s="186" t="str">
        <f t="shared" si="258"/>
        <v/>
      </c>
      <c r="W994" s="186" t="str">
        <f t="shared" si="259"/>
        <v/>
      </c>
      <c r="X994" s="187" t="str">
        <f t="shared" si="260"/>
        <v/>
      </c>
      <c r="Y994" s="182" t="str">
        <f t="shared" si="270"/>
        <v/>
      </c>
      <c r="Z994" s="209" t="str">
        <f t="shared" si="261"/>
        <v/>
      </c>
      <c r="AA994" s="209" t="str">
        <f t="shared" si="262"/>
        <v/>
      </c>
      <c r="AB994" s="200"/>
      <c r="AC994" s="192"/>
    </row>
    <row r="995" spans="1:29" s="160" customFormat="1">
      <c r="A995" s="147" t="s">
        <v>12</v>
      </c>
      <c r="B995" s="147"/>
      <c r="C995" s="148"/>
      <c r="D995" s="148"/>
      <c r="E995" s="149"/>
      <c r="F995" s="149"/>
      <c r="G995" s="150"/>
      <c r="H995" s="150"/>
      <c r="I995" s="151"/>
      <c r="J995" s="151"/>
      <c r="K995" s="151"/>
      <c r="L995" s="151"/>
      <c r="M995" s="151"/>
      <c r="N995" s="151"/>
      <c r="O995" s="152"/>
      <c r="P995" s="153"/>
      <c r="Q995" s="154"/>
      <c r="R995" s="153"/>
      <c r="S995" s="155"/>
      <c r="T995" s="156">
        <f>SUM(T12:T994)</f>
        <v>0</v>
      </c>
      <c r="U995" s="154"/>
      <c r="V995" s="157">
        <f>SUM(V12:V994)</f>
        <v>0</v>
      </c>
      <c r="W995" s="157">
        <f>SUM(W12:W994)</f>
        <v>0</v>
      </c>
      <c r="X995" s="158">
        <f>SUM(X12:X994)</f>
        <v>0</v>
      </c>
      <c r="Y995" s="153"/>
      <c r="Z995" s="159"/>
      <c r="AA995" s="159"/>
    </row>
    <row r="996" spans="1:29" s="160" customFormat="1">
      <c r="A996" s="147" t="s">
        <v>16</v>
      </c>
      <c r="B996" s="147"/>
      <c r="C996" s="161" t="s">
        <v>17</v>
      </c>
      <c r="D996" s="161" t="s">
        <v>17</v>
      </c>
      <c r="E996" s="149"/>
      <c r="F996" s="149"/>
      <c r="G996" s="150"/>
      <c r="H996" s="150"/>
      <c r="I996" s="151"/>
      <c r="J996" s="151"/>
      <c r="K996" s="151"/>
      <c r="L996" s="151"/>
      <c r="M996" s="151"/>
      <c r="N996" s="151"/>
      <c r="O996" s="152"/>
      <c r="P996" s="153"/>
      <c r="Q996" s="154"/>
      <c r="R996" s="153"/>
      <c r="S996" s="155"/>
      <c r="T996" s="156">
        <f>SUMIF(T12:T994,"&gt;=0")</f>
        <v>0</v>
      </c>
      <c r="U996" s="154"/>
      <c r="V996" s="157"/>
      <c r="W996" s="157"/>
      <c r="X996" s="158">
        <f>SUMIF(X12:X994,"&gt;=0")</f>
        <v>0</v>
      </c>
      <c r="Y996" s="153"/>
      <c r="Z996" s="159"/>
      <c r="AA996" s="159"/>
    </row>
    <row r="997" spans="1:29" s="160" customFormat="1">
      <c r="A997" s="147" t="s">
        <v>16</v>
      </c>
      <c r="B997" s="147"/>
      <c r="C997" s="161" t="s">
        <v>18</v>
      </c>
      <c r="D997" s="161" t="s">
        <v>18</v>
      </c>
      <c r="E997" s="149"/>
      <c r="F997" s="149"/>
      <c r="G997" s="150"/>
      <c r="H997" s="150"/>
      <c r="I997" s="151"/>
      <c r="J997" s="151"/>
      <c r="K997" s="151"/>
      <c r="L997" s="151"/>
      <c r="M997" s="151"/>
      <c r="N997" s="151"/>
      <c r="O997" s="152"/>
      <c r="P997" s="153"/>
      <c r="Q997" s="154"/>
      <c r="R997" s="153"/>
      <c r="S997" s="155"/>
      <c r="T997" s="156">
        <f>SUMIF(T12:T994,"&lt;=0")</f>
        <v>0</v>
      </c>
      <c r="U997" s="154"/>
      <c r="V997" s="157"/>
      <c r="W997" s="157"/>
      <c r="X997" s="158">
        <f>SUMIF(X12:X994,"&lt;=0")</f>
        <v>0</v>
      </c>
      <c r="Y997" s="153"/>
      <c r="Z997" s="159"/>
      <c r="AA997" s="159"/>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count="4">
    <dataValidation type="list" allowBlank="1" showInputMessage="1" showErrorMessage="1" sqref="F12:F994">
      <formula1>Size</formula1>
    </dataValidation>
    <dataValidation type="list" allowBlank="1" showInputMessage="1" showErrorMessage="1" sqref="H12:H994">
      <formula1>Type</formula1>
    </dataValidation>
    <dataValidation type="list" allowBlank="1" showInputMessage="1" showErrorMessage="1" sqref="G12:G994">
      <formula1>Open_Strategy</formula1>
    </dataValidation>
    <dataValidation type="list" allowBlank="1" showInputMessage="1" showErrorMessage="1" sqref="N12:N994">
      <formula1>Close_Strategy</formula1>
    </dataValidation>
  </dataValidations>
  <hyperlinks>
    <hyperlink ref="L1" r:id="rId1"/>
    <hyperlink ref="M1" r:id="rId2"/>
  </hyperlinks>
  <pageMargins left="0.75" right="0.75" top="1" bottom="1" header="0.5" footer="0.5"/>
  <pageSetup paperSize="9" orientation="portrait" horizontalDpi="300" verticalDpi="300" r:id="rId3"/>
  <headerFooter alignWithMargins="0"/>
  <ignoredErrors>
    <ignoredError sqref="D6" evalError="1"/>
  </ignoredError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E8" sqref="E8"/>
    </sheetView>
  </sheetViews>
  <sheetFormatPr defaultColWidth="9" defaultRowHeight="12"/>
  <cols>
    <col min="1" max="1" width="4.09765625" style="1" customWidth="1"/>
    <col min="2" max="2" width="7" style="4" customWidth="1"/>
    <col min="3" max="3" width="5.5" style="4" customWidth="1"/>
    <col min="4" max="4" width="11.69921875" style="38" customWidth="1"/>
    <col min="5" max="5" width="13" style="38" customWidth="1"/>
    <col min="6" max="6" width="13.19921875" style="42" customWidth="1"/>
    <col min="7" max="7" width="10.59765625" style="42" customWidth="1"/>
    <col min="8" max="8" width="10.8984375" style="43" customWidth="1"/>
    <col min="9" max="9" width="10.8984375" style="42" customWidth="1"/>
    <col min="10" max="10" width="11.8984375" style="43" customWidth="1"/>
    <col min="11" max="11" width="9.8984375" style="44" customWidth="1"/>
    <col min="12" max="12" width="10.5" style="44" customWidth="1"/>
    <col min="13" max="16384" width="9" style="39"/>
  </cols>
  <sheetData>
    <row r="1" spans="1:15" s="48" customFormat="1" ht="18" customHeight="1">
      <c r="A1" s="261" t="s">
        <v>83</v>
      </c>
      <c r="B1" s="262"/>
      <c r="C1" s="262"/>
      <c r="D1" s="262"/>
      <c r="E1" s="262"/>
      <c r="F1" s="45"/>
      <c r="G1" s="45"/>
      <c r="H1" s="46"/>
      <c r="I1" s="45"/>
      <c r="J1" s="46"/>
      <c r="K1" s="47"/>
      <c r="L1" s="47"/>
    </row>
    <row r="2" spans="1:15" s="48" customFormat="1" ht="17.25" customHeight="1">
      <c r="A2" s="263"/>
      <c r="B2" s="263"/>
      <c r="C2" s="263"/>
      <c r="D2" s="263"/>
      <c r="E2" s="263"/>
      <c r="F2" s="45"/>
      <c r="G2" s="45"/>
      <c r="H2" s="46"/>
      <c r="I2" s="45"/>
      <c r="J2" s="46"/>
      <c r="K2" s="47"/>
      <c r="L2" s="47"/>
    </row>
    <row r="3" spans="1:15" s="48" customFormat="1" ht="15" customHeight="1">
      <c r="A3" s="263"/>
      <c r="B3" s="263"/>
      <c r="C3" s="263"/>
      <c r="D3" s="263"/>
      <c r="E3" s="263"/>
      <c r="F3" s="45"/>
      <c r="G3" s="45"/>
      <c r="H3" s="46"/>
      <c r="I3" s="45"/>
      <c r="J3" s="46"/>
      <c r="K3" s="47"/>
      <c r="L3" s="47"/>
    </row>
    <row r="4" spans="1:15" s="48" customFormat="1" ht="14.25" customHeight="1">
      <c r="A4" s="263"/>
      <c r="B4" s="263"/>
      <c r="C4" s="263"/>
      <c r="D4" s="263"/>
      <c r="E4" s="263"/>
      <c r="F4" s="45"/>
      <c r="G4" s="45"/>
      <c r="H4" s="46"/>
      <c r="I4" s="45"/>
      <c r="J4" s="46"/>
      <c r="K4" s="47"/>
      <c r="L4" s="47"/>
    </row>
    <row r="5" spans="1:15" s="40" customFormat="1" ht="36" customHeight="1">
      <c r="A5" s="234" t="s">
        <v>0</v>
      </c>
      <c r="B5" s="259"/>
      <c r="C5" s="259"/>
      <c r="D5" s="259"/>
      <c r="E5" s="259"/>
      <c r="F5" s="260" t="s">
        <v>41</v>
      </c>
      <c r="G5" s="259"/>
      <c r="H5" s="259"/>
      <c r="I5" s="259"/>
      <c r="J5" s="259"/>
      <c r="K5" s="259"/>
      <c r="L5" s="259"/>
      <c r="O5" s="49" t="s">
        <v>46</v>
      </c>
    </row>
    <row r="6" spans="1:15" s="41" customFormat="1" ht="34.5" customHeight="1">
      <c r="A6" s="2" t="s">
        <v>51</v>
      </c>
      <c r="B6" s="2" t="s">
        <v>52</v>
      </c>
      <c r="C6" s="2" t="s">
        <v>53</v>
      </c>
      <c r="D6" s="37" t="s">
        <v>43</v>
      </c>
      <c r="E6" s="37" t="s">
        <v>44</v>
      </c>
      <c r="F6" s="12" t="s">
        <v>47</v>
      </c>
      <c r="G6" s="12" t="s">
        <v>54</v>
      </c>
      <c r="H6" s="11" t="s">
        <v>55</v>
      </c>
      <c r="I6" s="12" t="s">
        <v>56</v>
      </c>
      <c r="J6" s="11" t="s">
        <v>57</v>
      </c>
      <c r="K6" s="3" t="s">
        <v>58</v>
      </c>
      <c r="L6" s="3" t="s">
        <v>59</v>
      </c>
    </row>
    <row r="7" spans="1:15">
      <c r="A7" s="1">
        <f>IF(C7="","",1)</f>
        <v>1</v>
      </c>
      <c r="B7" s="4">
        <v>2015</v>
      </c>
      <c r="C7" s="4">
        <v>1</v>
      </c>
      <c r="D7" s="38">
        <v>200</v>
      </c>
      <c r="E7" s="38">
        <v>200</v>
      </c>
      <c r="F7" s="42" t="e">
        <f t="shared" ref="F7:F70" si="0">IF(G7="","",E7+G7)</f>
        <v>#REF!</v>
      </c>
      <c r="G7" s="42" t="e">
        <f>IF(C7="","",GETPIVOTDATA("Actual Profit/Loss",ProfitRpt!$G$9,"Trade Month",C7,"Trade Year",B7))</f>
        <v>#REF!</v>
      </c>
      <c r="H7" s="43" t="e">
        <f>IF(C7="","",GETPIVOTDATA("WinPips",ProfitRpt!$C$7,"Trade Month",C7,"Trade Year",B7))</f>
        <v>#REF!</v>
      </c>
      <c r="I7" s="42" t="e">
        <f t="shared" ref="I7:I70" si="1">IF(B7="","",IF(B7=B6,I6+G7,G7))</f>
        <v>#REF!</v>
      </c>
      <c r="J7" s="43" t="e">
        <f t="shared" ref="J7:J70" si="2">IF(B7="","",IF(B6=B7,J6+H7,H7))</f>
        <v>#REF!</v>
      </c>
      <c r="K7" s="44" t="e">
        <f t="shared" ref="K7:K70" si="3">IF(F7="","",IF(E7="","",(F7-E7)/E7))</f>
        <v>#REF!</v>
      </c>
      <c r="L7" s="44" t="e">
        <f t="shared" ref="L7:L70" si="4">IF(I7="","",IF(D7="","",I7/D7) )</f>
        <v>#REF!</v>
      </c>
    </row>
    <row r="8" spans="1:15">
      <c r="A8" s="1" t="str">
        <f t="shared" ref="A8:A71" si="5">IF(C8="","",A7+1)</f>
        <v/>
      </c>
      <c r="F8" s="42" t="str">
        <f t="shared" si="0"/>
        <v/>
      </c>
      <c r="G8" s="42" t="str">
        <f t="shared" ref="G8:G71" si="6">IF(C8="","",H8/10)</f>
        <v/>
      </c>
      <c r="H8" s="43" t="str">
        <f>IF(C8="","",GETPIVOTDATA("WinPips",ProfitRpt!$A$9,"Trade Month",C8,"Trade Year",B8))</f>
        <v/>
      </c>
      <c r="I8" s="42" t="str">
        <f t="shared" si="1"/>
        <v/>
      </c>
      <c r="J8" s="43" t="str">
        <f t="shared" si="2"/>
        <v/>
      </c>
      <c r="K8" s="44" t="str">
        <f t="shared" si="3"/>
        <v/>
      </c>
      <c r="L8" s="44" t="str">
        <f t="shared" si="4"/>
        <v/>
      </c>
    </row>
    <row r="9" spans="1:15">
      <c r="A9" s="1" t="str">
        <f t="shared" si="5"/>
        <v/>
      </c>
      <c r="F9" s="42" t="str">
        <f t="shared" si="0"/>
        <v/>
      </c>
      <c r="G9" s="42" t="str">
        <f t="shared" si="6"/>
        <v/>
      </c>
      <c r="H9" s="43" t="str">
        <f>IF(C9="","",GETPIVOTDATA("WinPips",ProfitRpt!$A$9,"Trade Month",C9,"Trade Year",B9))</f>
        <v/>
      </c>
      <c r="I9" s="42" t="str">
        <f t="shared" si="1"/>
        <v/>
      </c>
      <c r="J9" s="43" t="str">
        <f t="shared" si="2"/>
        <v/>
      </c>
      <c r="K9" s="44" t="str">
        <f t="shared" si="3"/>
        <v/>
      </c>
      <c r="L9" s="44" t="str">
        <f t="shared" si="4"/>
        <v/>
      </c>
    </row>
    <row r="10" spans="1:15">
      <c r="A10" s="1" t="str">
        <f t="shared" si="5"/>
        <v/>
      </c>
      <c r="F10" s="42" t="str">
        <f t="shared" si="0"/>
        <v/>
      </c>
      <c r="G10" s="42" t="str">
        <f t="shared" si="6"/>
        <v/>
      </c>
      <c r="H10" s="43" t="str">
        <f>IF(C10="","",GETPIVOTDATA("WinPips",ProfitRpt!$A$9,"Trade Month",C10,"Trade Year",B10))</f>
        <v/>
      </c>
      <c r="I10" s="42" t="str">
        <f t="shared" si="1"/>
        <v/>
      </c>
      <c r="J10" s="43" t="str">
        <f t="shared" si="2"/>
        <v/>
      </c>
      <c r="K10" s="44" t="str">
        <f t="shared" si="3"/>
        <v/>
      </c>
      <c r="L10" s="44" t="str">
        <f t="shared" si="4"/>
        <v/>
      </c>
    </row>
    <row r="11" spans="1:15">
      <c r="A11" s="1" t="str">
        <f t="shared" si="5"/>
        <v/>
      </c>
      <c r="F11" s="42" t="str">
        <f t="shared" si="0"/>
        <v/>
      </c>
      <c r="G11" s="42" t="str">
        <f t="shared" si="6"/>
        <v/>
      </c>
      <c r="H11" s="43" t="str">
        <f>IF(C11="","",GETPIVOTDATA("WinPips",ProfitRpt!$A$9,"Trade Month",C11,"Trade Year",B11))</f>
        <v/>
      </c>
      <c r="I11" s="42" t="str">
        <f t="shared" si="1"/>
        <v/>
      </c>
      <c r="J11" s="43" t="str">
        <f t="shared" si="2"/>
        <v/>
      </c>
      <c r="K11" s="44" t="str">
        <f t="shared" si="3"/>
        <v/>
      </c>
      <c r="L11" s="44" t="str">
        <f t="shared" si="4"/>
        <v/>
      </c>
    </row>
    <row r="12" spans="1:15">
      <c r="A12" s="1" t="str">
        <f t="shared" si="5"/>
        <v/>
      </c>
      <c r="F12" s="42" t="str">
        <f t="shared" si="0"/>
        <v/>
      </c>
      <c r="G12" s="42" t="str">
        <f t="shared" si="6"/>
        <v/>
      </c>
      <c r="H12" s="43" t="str">
        <f>IF(C12="","",GETPIVOTDATA("WinPips",ProfitRpt!$A$9,"Trade Month",C12,"Trade Year",B12))</f>
        <v/>
      </c>
      <c r="I12" s="42" t="str">
        <f t="shared" si="1"/>
        <v/>
      </c>
      <c r="J12" s="43" t="str">
        <f t="shared" si="2"/>
        <v/>
      </c>
      <c r="K12" s="44" t="str">
        <f t="shared" si="3"/>
        <v/>
      </c>
      <c r="L12" s="44" t="str">
        <f t="shared" si="4"/>
        <v/>
      </c>
    </row>
    <row r="13" spans="1:15">
      <c r="A13" s="1" t="str">
        <f t="shared" si="5"/>
        <v/>
      </c>
      <c r="F13" s="42" t="str">
        <f t="shared" si="0"/>
        <v/>
      </c>
      <c r="G13" s="42" t="str">
        <f t="shared" si="6"/>
        <v/>
      </c>
      <c r="H13" s="43" t="str">
        <f>IF(C13="","",GETPIVOTDATA("WinPips",ProfitRpt!$A$9,"Trade Month",C13,"Trade Year",B13))</f>
        <v/>
      </c>
      <c r="I13" s="42" t="str">
        <f t="shared" si="1"/>
        <v/>
      </c>
      <c r="J13" s="43" t="str">
        <f t="shared" si="2"/>
        <v/>
      </c>
      <c r="K13" s="44" t="str">
        <f t="shared" si="3"/>
        <v/>
      </c>
      <c r="L13" s="44" t="str">
        <f t="shared" si="4"/>
        <v/>
      </c>
    </row>
    <row r="14" spans="1:15">
      <c r="A14" s="1" t="str">
        <f t="shared" si="5"/>
        <v/>
      </c>
      <c r="F14" s="42" t="str">
        <f t="shared" si="0"/>
        <v/>
      </c>
      <c r="G14" s="42" t="str">
        <f t="shared" si="6"/>
        <v/>
      </c>
      <c r="H14" s="43" t="str">
        <f>IF(C14="","",GETPIVOTDATA("WinPips",ProfitRpt!$A$9,"Trade Month",C14,"Trade Year",B14))</f>
        <v/>
      </c>
      <c r="I14" s="42" t="str">
        <f t="shared" si="1"/>
        <v/>
      </c>
      <c r="J14" s="43" t="str">
        <f t="shared" si="2"/>
        <v/>
      </c>
      <c r="K14" s="44" t="str">
        <f t="shared" si="3"/>
        <v/>
      </c>
      <c r="L14" s="44" t="str">
        <f t="shared" si="4"/>
        <v/>
      </c>
    </row>
    <row r="15" spans="1:15">
      <c r="A15" s="1" t="str">
        <f t="shared" si="5"/>
        <v/>
      </c>
      <c r="F15" s="42" t="str">
        <f t="shared" si="0"/>
        <v/>
      </c>
      <c r="G15" s="42" t="str">
        <f t="shared" si="6"/>
        <v/>
      </c>
      <c r="H15" s="43" t="str">
        <f>IF(C15="","",GETPIVOTDATA("WinPips",ProfitRpt!$A$9,"Trade Month",C15,"Trade Year",B15))</f>
        <v/>
      </c>
      <c r="I15" s="42" t="str">
        <f t="shared" si="1"/>
        <v/>
      </c>
      <c r="J15" s="43" t="str">
        <f t="shared" si="2"/>
        <v/>
      </c>
      <c r="K15" s="44" t="str">
        <f t="shared" si="3"/>
        <v/>
      </c>
      <c r="L15" s="44" t="str">
        <f t="shared" si="4"/>
        <v/>
      </c>
    </row>
    <row r="16" spans="1:15">
      <c r="A16" s="1" t="str">
        <f t="shared" si="5"/>
        <v/>
      </c>
      <c r="F16" s="42" t="str">
        <f t="shared" si="0"/>
        <v/>
      </c>
      <c r="G16" s="42" t="str">
        <f t="shared" si="6"/>
        <v/>
      </c>
      <c r="H16" s="43" t="str">
        <f>IF(C16="","",GETPIVOTDATA("WinPips",ProfitRpt!$A$9,"Trade Month",C16,"Trade Year",B16))</f>
        <v/>
      </c>
      <c r="I16" s="42" t="str">
        <f t="shared" si="1"/>
        <v/>
      </c>
      <c r="J16" s="43" t="str">
        <f t="shared" si="2"/>
        <v/>
      </c>
      <c r="K16" s="44" t="str">
        <f t="shared" si="3"/>
        <v/>
      </c>
      <c r="L16" s="44" t="str">
        <f t="shared" si="4"/>
        <v/>
      </c>
    </row>
    <row r="17" spans="1:12">
      <c r="A17" s="1" t="str">
        <f t="shared" si="5"/>
        <v/>
      </c>
      <c r="F17" s="42" t="str">
        <f t="shared" si="0"/>
        <v/>
      </c>
      <c r="G17" s="42" t="str">
        <f t="shared" si="6"/>
        <v/>
      </c>
      <c r="H17" s="43" t="str">
        <f>IF(C17="","",GETPIVOTDATA("WinPips",ProfitRpt!$A$9,"Trade Month",C17,"Trade Year",B17))</f>
        <v/>
      </c>
      <c r="I17" s="42" t="str">
        <f t="shared" si="1"/>
        <v/>
      </c>
      <c r="J17" s="43" t="str">
        <f t="shared" si="2"/>
        <v/>
      </c>
      <c r="K17" s="44" t="str">
        <f t="shared" si="3"/>
        <v/>
      </c>
      <c r="L17" s="44" t="str">
        <f t="shared" si="4"/>
        <v/>
      </c>
    </row>
    <row r="18" spans="1:12">
      <c r="A18" s="1" t="str">
        <f t="shared" si="5"/>
        <v/>
      </c>
      <c r="F18" s="42" t="str">
        <f t="shared" si="0"/>
        <v/>
      </c>
      <c r="G18" s="42" t="str">
        <f t="shared" si="6"/>
        <v/>
      </c>
      <c r="H18" s="43" t="str">
        <f>IF(C18="","",GETPIVOTDATA("WinPips",ProfitRpt!$A$9,"Trade Month",C18,"Trade Year",B18))</f>
        <v/>
      </c>
      <c r="I18" s="42" t="str">
        <f t="shared" si="1"/>
        <v/>
      </c>
      <c r="J18" s="43" t="str">
        <f t="shared" si="2"/>
        <v/>
      </c>
      <c r="K18" s="44" t="str">
        <f t="shared" si="3"/>
        <v/>
      </c>
      <c r="L18" s="44" t="str">
        <f t="shared" si="4"/>
        <v/>
      </c>
    </row>
    <row r="19" spans="1:12">
      <c r="A19" s="1" t="str">
        <f t="shared" si="5"/>
        <v/>
      </c>
      <c r="F19" s="42" t="str">
        <f t="shared" si="0"/>
        <v/>
      </c>
      <c r="G19" s="42" t="str">
        <f t="shared" si="6"/>
        <v/>
      </c>
      <c r="H19" s="43" t="str">
        <f>IF(C19="","",GETPIVOTDATA("WinPips",ProfitRpt!$A$9,"Trade Month",C19,"Trade Year",B19))</f>
        <v/>
      </c>
      <c r="I19" s="42" t="str">
        <f t="shared" si="1"/>
        <v/>
      </c>
      <c r="J19" s="43" t="str">
        <f t="shared" si="2"/>
        <v/>
      </c>
      <c r="K19" s="44" t="str">
        <f t="shared" si="3"/>
        <v/>
      </c>
      <c r="L19" s="44" t="str">
        <f t="shared" si="4"/>
        <v/>
      </c>
    </row>
    <row r="20" spans="1:12">
      <c r="A20" s="1" t="str">
        <f t="shared" si="5"/>
        <v/>
      </c>
      <c r="F20" s="42" t="str">
        <f t="shared" si="0"/>
        <v/>
      </c>
      <c r="G20" s="42" t="str">
        <f t="shared" si="6"/>
        <v/>
      </c>
      <c r="H20" s="43" t="str">
        <f>IF(C20="","",GETPIVOTDATA("WinPips",ProfitRpt!$A$9,"Trade Month",C20,"Trade Year",B20))</f>
        <v/>
      </c>
      <c r="I20" s="42" t="str">
        <f t="shared" si="1"/>
        <v/>
      </c>
      <c r="J20" s="43" t="str">
        <f t="shared" si="2"/>
        <v/>
      </c>
      <c r="K20" s="44" t="str">
        <f t="shared" si="3"/>
        <v/>
      </c>
      <c r="L20" s="44" t="str">
        <f t="shared" si="4"/>
        <v/>
      </c>
    </row>
    <row r="21" spans="1:12">
      <c r="A21" s="1" t="str">
        <f t="shared" si="5"/>
        <v/>
      </c>
      <c r="F21" s="42" t="str">
        <f t="shared" si="0"/>
        <v/>
      </c>
      <c r="G21" s="42" t="str">
        <f t="shared" si="6"/>
        <v/>
      </c>
      <c r="H21" s="43" t="str">
        <f>IF(C21="","",GETPIVOTDATA("WinPips",ProfitRpt!$A$9,"Trade Month",C21,"Trade Year",B21))</f>
        <v/>
      </c>
      <c r="I21" s="42" t="str">
        <f t="shared" si="1"/>
        <v/>
      </c>
      <c r="J21" s="43" t="str">
        <f t="shared" si="2"/>
        <v/>
      </c>
      <c r="K21" s="44" t="str">
        <f t="shared" si="3"/>
        <v/>
      </c>
      <c r="L21" s="44" t="str">
        <f t="shared" si="4"/>
        <v/>
      </c>
    </row>
    <row r="22" spans="1:12">
      <c r="A22" s="1" t="str">
        <f t="shared" si="5"/>
        <v/>
      </c>
      <c r="F22" s="42" t="str">
        <f t="shared" si="0"/>
        <v/>
      </c>
      <c r="G22" s="42" t="str">
        <f t="shared" si="6"/>
        <v/>
      </c>
      <c r="H22" s="43" t="str">
        <f>IF(C22="","",GETPIVOTDATA("WinPips",ProfitRpt!$A$9,"Trade Month",C22,"Trade Year",B22))</f>
        <v/>
      </c>
      <c r="I22" s="42" t="str">
        <f t="shared" si="1"/>
        <v/>
      </c>
      <c r="J22" s="43" t="str">
        <f t="shared" si="2"/>
        <v/>
      </c>
      <c r="K22" s="44" t="str">
        <f t="shared" si="3"/>
        <v/>
      </c>
      <c r="L22" s="44" t="str">
        <f t="shared" si="4"/>
        <v/>
      </c>
    </row>
    <row r="23" spans="1:12">
      <c r="A23" s="1" t="str">
        <f t="shared" si="5"/>
        <v/>
      </c>
      <c r="F23" s="42" t="str">
        <f t="shared" si="0"/>
        <v/>
      </c>
      <c r="G23" s="42" t="str">
        <f t="shared" si="6"/>
        <v/>
      </c>
      <c r="H23" s="43" t="str">
        <f>IF(C23="","",GETPIVOTDATA("WinPips",ProfitRpt!$A$9,"Trade Month",C23,"Trade Year",B23))</f>
        <v/>
      </c>
      <c r="I23" s="42" t="str">
        <f t="shared" si="1"/>
        <v/>
      </c>
      <c r="J23" s="43" t="str">
        <f t="shared" si="2"/>
        <v/>
      </c>
      <c r="K23" s="44" t="str">
        <f t="shared" si="3"/>
        <v/>
      </c>
      <c r="L23" s="44" t="str">
        <f t="shared" si="4"/>
        <v/>
      </c>
    </row>
    <row r="24" spans="1:12">
      <c r="A24" s="1" t="str">
        <f t="shared" si="5"/>
        <v/>
      </c>
      <c r="F24" s="42" t="str">
        <f t="shared" si="0"/>
        <v/>
      </c>
      <c r="G24" s="42" t="str">
        <f t="shared" si="6"/>
        <v/>
      </c>
      <c r="H24" s="43" t="str">
        <f>IF(C24="","",GETPIVOTDATA("WinPips",ProfitRpt!$A$9,"Trade Month",C24,"Trade Year",B24))</f>
        <v/>
      </c>
      <c r="I24" s="42" t="str">
        <f t="shared" si="1"/>
        <v/>
      </c>
      <c r="J24" s="43" t="str">
        <f t="shared" si="2"/>
        <v/>
      </c>
      <c r="K24" s="44" t="str">
        <f t="shared" si="3"/>
        <v/>
      </c>
      <c r="L24" s="44" t="str">
        <f t="shared" si="4"/>
        <v/>
      </c>
    </row>
    <row r="25" spans="1:12">
      <c r="A25" s="1" t="str">
        <f t="shared" si="5"/>
        <v/>
      </c>
      <c r="F25" s="42" t="str">
        <f t="shared" si="0"/>
        <v/>
      </c>
      <c r="G25" s="42" t="str">
        <f t="shared" si="6"/>
        <v/>
      </c>
      <c r="H25" s="43" t="str">
        <f>IF(C25="","",GETPIVOTDATA("WinPips",ProfitRpt!$A$9,"Trade Month",C25,"Trade Year",B25))</f>
        <v/>
      </c>
      <c r="I25" s="42" t="str">
        <f t="shared" si="1"/>
        <v/>
      </c>
      <c r="J25" s="43" t="str">
        <f t="shared" si="2"/>
        <v/>
      </c>
      <c r="K25" s="44" t="str">
        <f t="shared" si="3"/>
        <v/>
      </c>
      <c r="L25" s="44" t="str">
        <f t="shared" si="4"/>
        <v/>
      </c>
    </row>
    <row r="26" spans="1:12">
      <c r="A26" s="1" t="str">
        <f t="shared" si="5"/>
        <v/>
      </c>
      <c r="F26" s="42" t="str">
        <f t="shared" si="0"/>
        <v/>
      </c>
      <c r="G26" s="42" t="str">
        <f t="shared" si="6"/>
        <v/>
      </c>
      <c r="H26" s="43" t="str">
        <f>IF(C26="","",GETPIVOTDATA("WinPips",ProfitRpt!$A$9,"Trade Month",C26,"Trade Year",B26))</f>
        <v/>
      </c>
      <c r="I26" s="42" t="str">
        <f t="shared" si="1"/>
        <v/>
      </c>
      <c r="J26" s="43" t="str">
        <f t="shared" si="2"/>
        <v/>
      </c>
      <c r="K26" s="44" t="str">
        <f t="shared" si="3"/>
        <v/>
      </c>
      <c r="L26" s="44" t="str">
        <f t="shared" si="4"/>
        <v/>
      </c>
    </row>
    <row r="27" spans="1:12">
      <c r="A27" s="1" t="str">
        <f t="shared" si="5"/>
        <v/>
      </c>
      <c r="F27" s="42" t="str">
        <f t="shared" si="0"/>
        <v/>
      </c>
      <c r="G27" s="42" t="str">
        <f t="shared" si="6"/>
        <v/>
      </c>
      <c r="H27" s="43" t="str">
        <f>IF(C27="","",GETPIVOTDATA("WinPips",ProfitRpt!$A$9,"Trade Month",C27,"Trade Year",B27))</f>
        <v/>
      </c>
      <c r="I27" s="42" t="str">
        <f t="shared" si="1"/>
        <v/>
      </c>
      <c r="J27" s="43" t="str">
        <f t="shared" si="2"/>
        <v/>
      </c>
      <c r="K27" s="44" t="str">
        <f t="shared" si="3"/>
        <v/>
      </c>
      <c r="L27" s="44" t="str">
        <f t="shared" si="4"/>
        <v/>
      </c>
    </row>
    <row r="28" spans="1:12">
      <c r="A28" s="1" t="str">
        <f t="shared" si="5"/>
        <v/>
      </c>
      <c r="F28" s="42" t="str">
        <f t="shared" si="0"/>
        <v/>
      </c>
      <c r="G28" s="42" t="str">
        <f t="shared" si="6"/>
        <v/>
      </c>
      <c r="H28" s="43" t="str">
        <f>IF(C28="","",GETPIVOTDATA("WinPips",ProfitRpt!$A$9,"Trade Month",C28,"Trade Year",B28))</f>
        <v/>
      </c>
      <c r="I28" s="42" t="str">
        <f t="shared" si="1"/>
        <v/>
      </c>
      <c r="J28" s="43" t="str">
        <f t="shared" si="2"/>
        <v/>
      </c>
      <c r="K28" s="44" t="str">
        <f t="shared" si="3"/>
        <v/>
      </c>
      <c r="L28" s="44" t="str">
        <f t="shared" si="4"/>
        <v/>
      </c>
    </row>
    <row r="29" spans="1:12">
      <c r="A29" s="1" t="str">
        <f t="shared" si="5"/>
        <v/>
      </c>
      <c r="F29" s="42" t="str">
        <f t="shared" si="0"/>
        <v/>
      </c>
      <c r="G29" s="42" t="str">
        <f t="shared" si="6"/>
        <v/>
      </c>
      <c r="H29" s="43" t="str">
        <f>IF(C29="","",GETPIVOTDATA("WinPips",ProfitRpt!$A$9,"Trade Month",C29,"Trade Year",B29))</f>
        <v/>
      </c>
      <c r="I29" s="42" t="str">
        <f t="shared" si="1"/>
        <v/>
      </c>
      <c r="J29" s="43" t="str">
        <f t="shared" si="2"/>
        <v/>
      </c>
      <c r="K29" s="44" t="str">
        <f t="shared" si="3"/>
        <v/>
      </c>
      <c r="L29" s="44" t="str">
        <f t="shared" si="4"/>
        <v/>
      </c>
    </row>
    <row r="30" spans="1:12">
      <c r="A30" s="1" t="str">
        <f t="shared" si="5"/>
        <v/>
      </c>
      <c r="F30" s="42" t="str">
        <f t="shared" si="0"/>
        <v/>
      </c>
      <c r="G30" s="42" t="str">
        <f t="shared" si="6"/>
        <v/>
      </c>
      <c r="H30" s="43" t="str">
        <f>IF(C30="","",GETPIVOTDATA("WinPips",ProfitRpt!$A$9,"Trade Month",C30,"Trade Year",B30))</f>
        <v/>
      </c>
      <c r="I30" s="42" t="str">
        <f t="shared" si="1"/>
        <v/>
      </c>
      <c r="J30" s="43" t="str">
        <f t="shared" si="2"/>
        <v/>
      </c>
      <c r="K30" s="44" t="str">
        <f t="shared" si="3"/>
        <v/>
      </c>
      <c r="L30" s="44" t="str">
        <f t="shared" si="4"/>
        <v/>
      </c>
    </row>
    <row r="31" spans="1:12">
      <c r="A31" s="1" t="str">
        <f t="shared" si="5"/>
        <v/>
      </c>
      <c r="F31" s="42" t="str">
        <f t="shared" si="0"/>
        <v/>
      </c>
      <c r="G31" s="42" t="str">
        <f t="shared" si="6"/>
        <v/>
      </c>
      <c r="H31" s="43" t="str">
        <f>IF(C31="","",GETPIVOTDATA("WinPips",ProfitRpt!$A$9,"Trade Month",C31,"Trade Year",B31))</f>
        <v/>
      </c>
      <c r="I31" s="42" t="str">
        <f t="shared" si="1"/>
        <v/>
      </c>
      <c r="J31" s="43" t="str">
        <f t="shared" si="2"/>
        <v/>
      </c>
      <c r="K31" s="44" t="str">
        <f t="shared" si="3"/>
        <v/>
      </c>
      <c r="L31" s="44" t="str">
        <f t="shared" si="4"/>
        <v/>
      </c>
    </row>
    <row r="32" spans="1:12">
      <c r="A32" s="1" t="str">
        <f t="shared" si="5"/>
        <v/>
      </c>
      <c r="F32" s="42" t="str">
        <f t="shared" si="0"/>
        <v/>
      </c>
      <c r="G32" s="42" t="str">
        <f t="shared" si="6"/>
        <v/>
      </c>
      <c r="H32" s="43" t="str">
        <f>IF(C32="","",GETPIVOTDATA("WinPips",ProfitRpt!$A$9,"Trade Month",C32,"Trade Year",B32))</f>
        <v/>
      </c>
      <c r="I32" s="42" t="str">
        <f t="shared" si="1"/>
        <v/>
      </c>
      <c r="J32" s="43" t="str">
        <f t="shared" si="2"/>
        <v/>
      </c>
      <c r="K32" s="44" t="str">
        <f t="shared" si="3"/>
        <v/>
      </c>
      <c r="L32" s="44" t="str">
        <f t="shared" si="4"/>
        <v/>
      </c>
    </row>
    <row r="33" spans="1:12">
      <c r="A33" s="1" t="str">
        <f t="shared" si="5"/>
        <v/>
      </c>
      <c r="F33" s="42" t="str">
        <f t="shared" si="0"/>
        <v/>
      </c>
      <c r="G33" s="42" t="str">
        <f t="shared" si="6"/>
        <v/>
      </c>
      <c r="H33" s="43" t="str">
        <f>IF(C33="","",GETPIVOTDATA("WinPips",ProfitRpt!$A$9,"Trade Month",C33,"Trade Year",B33))</f>
        <v/>
      </c>
      <c r="I33" s="42" t="str">
        <f t="shared" si="1"/>
        <v/>
      </c>
      <c r="J33" s="43" t="str">
        <f t="shared" si="2"/>
        <v/>
      </c>
      <c r="K33" s="44" t="str">
        <f t="shared" si="3"/>
        <v/>
      </c>
      <c r="L33" s="44" t="str">
        <f t="shared" si="4"/>
        <v/>
      </c>
    </row>
    <row r="34" spans="1:12">
      <c r="A34" s="1" t="str">
        <f t="shared" si="5"/>
        <v/>
      </c>
      <c r="F34" s="42" t="str">
        <f t="shared" si="0"/>
        <v/>
      </c>
      <c r="G34" s="42" t="str">
        <f t="shared" si="6"/>
        <v/>
      </c>
      <c r="H34" s="43" t="str">
        <f>IF(C34="","",GETPIVOTDATA("WinPips",ProfitRpt!$A$9,"Trade Month",C34,"Trade Year",B34))</f>
        <v/>
      </c>
      <c r="I34" s="42" t="str">
        <f t="shared" si="1"/>
        <v/>
      </c>
      <c r="J34" s="43" t="str">
        <f t="shared" si="2"/>
        <v/>
      </c>
      <c r="K34" s="44" t="str">
        <f t="shared" si="3"/>
        <v/>
      </c>
      <c r="L34" s="44" t="str">
        <f t="shared" si="4"/>
        <v/>
      </c>
    </row>
    <row r="35" spans="1:12">
      <c r="A35" s="1" t="str">
        <f t="shared" si="5"/>
        <v/>
      </c>
      <c r="F35" s="42" t="str">
        <f t="shared" si="0"/>
        <v/>
      </c>
      <c r="G35" s="42" t="str">
        <f t="shared" si="6"/>
        <v/>
      </c>
      <c r="H35" s="43" t="str">
        <f>IF(C35="","",GETPIVOTDATA("WinPips",ProfitRpt!$A$9,"Trade Month",C35,"Trade Year",B35))</f>
        <v/>
      </c>
      <c r="I35" s="42" t="str">
        <f t="shared" si="1"/>
        <v/>
      </c>
      <c r="J35" s="43" t="str">
        <f t="shared" si="2"/>
        <v/>
      </c>
      <c r="K35" s="44" t="str">
        <f t="shared" si="3"/>
        <v/>
      </c>
      <c r="L35" s="44" t="str">
        <f t="shared" si="4"/>
        <v/>
      </c>
    </row>
    <row r="36" spans="1:12">
      <c r="A36" s="1" t="str">
        <f t="shared" si="5"/>
        <v/>
      </c>
      <c r="F36" s="42" t="str">
        <f t="shared" si="0"/>
        <v/>
      </c>
      <c r="G36" s="42" t="str">
        <f t="shared" si="6"/>
        <v/>
      </c>
      <c r="H36" s="43" t="str">
        <f>IF(C36="","",GETPIVOTDATA("WinPips",ProfitRpt!$A$9,"Trade Month",C36,"Trade Year",B36))</f>
        <v/>
      </c>
      <c r="I36" s="42" t="str">
        <f t="shared" si="1"/>
        <v/>
      </c>
      <c r="J36" s="43" t="str">
        <f t="shared" si="2"/>
        <v/>
      </c>
      <c r="K36" s="44" t="str">
        <f t="shared" si="3"/>
        <v/>
      </c>
      <c r="L36" s="44" t="str">
        <f t="shared" si="4"/>
        <v/>
      </c>
    </row>
    <row r="37" spans="1:12">
      <c r="A37" s="1" t="str">
        <f t="shared" si="5"/>
        <v/>
      </c>
      <c r="F37" s="42" t="str">
        <f t="shared" si="0"/>
        <v/>
      </c>
      <c r="G37" s="42" t="str">
        <f t="shared" si="6"/>
        <v/>
      </c>
      <c r="H37" s="43" t="str">
        <f>IF(C37="","",GETPIVOTDATA("WinPips",ProfitRpt!$A$9,"Trade Month",C37,"Trade Year",B37))</f>
        <v/>
      </c>
      <c r="I37" s="42" t="str">
        <f t="shared" si="1"/>
        <v/>
      </c>
      <c r="J37" s="43" t="str">
        <f t="shared" si="2"/>
        <v/>
      </c>
      <c r="K37" s="44" t="str">
        <f t="shared" si="3"/>
        <v/>
      </c>
      <c r="L37" s="44" t="str">
        <f t="shared" si="4"/>
        <v/>
      </c>
    </row>
    <row r="38" spans="1:12">
      <c r="A38" s="1" t="str">
        <f t="shared" si="5"/>
        <v/>
      </c>
      <c r="F38" s="42" t="str">
        <f t="shared" si="0"/>
        <v/>
      </c>
      <c r="G38" s="42" t="str">
        <f t="shared" si="6"/>
        <v/>
      </c>
      <c r="H38" s="43" t="str">
        <f>IF(C38="","",GETPIVOTDATA("WinPips",ProfitRpt!$A$9,"Trade Month",C38,"Trade Year",B38))</f>
        <v/>
      </c>
      <c r="I38" s="42" t="str">
        <f t="shared" si="1"/>
        <v/>
      </c>
      <c r="J38" s="43" t="str">
        <f t="shared" si="2"/>
        <v/>
      </c>
      <c r="K38" s="44" t="str">
        <f t="shared" si="3"/>
        <v/>
      </c>
      <c r="L38" s="44" t="str">
        <f t="shared" si="4"/>
        <v/>
      </c>
    </row>
    <row r="39" spans="1:12">
      <c r="A39" s="1" t="str">
        <f t="shared" si="5"/>
        <v/>
      </c>
      <c r="F39" s="42" t="str">
        <f t="shared" si="0"/>
        <v/>
      </c>
      <c r="G39" s="42" t="str">
        <f t="shared" si="6"/>
        <v/>
      </c>
      <c r="H39" s="43" t="str">
        <f>IF(C39="","",GETPIVOTDATA("WinPips",ProfitRpt!$A$9,"Trade Month",C39,"Trade Year",B39))</f>
        <v/>
      </c>
      <c r="I39" s="42" t="str">
        <f t="shared" si="1"/>
        <v/>
      </c>
      <c r="J39" s="43" t="str">
        <f t="shared" si="2"/>
        <v/>
      </c>
      <c r="K39" s="44" t="str">
        <f t="shared" si="3"/>
        <v/>
      </c>
      <c r="L39" s="44" t="str">
        <f t="shared" si="4"/>
        <v/>
      </c>
    </row>
    <row r="40" spans="1:12">
      <c r="A40" s="1" t="str">
        <f t="shared" si="5"/>
        <v/>
      </c>
      <c r="F40" s="42" t="str">
        <f t="shared" si="0"/>
        <v/>
      </c>
      <c r="G40" s="42" t="str">
        <f t="shared" si="6"/>
        <v/>
      </c>
      <c r="H40" s="43" t="str">
        <f>IF(C40="","",GETPIVOTDATA("WinPips",ProfitRpt!$A$9,"Trade Month",C40,"Trade Year",B40))</f>
        <v/>
      </c>
      <c r="I40" s="42" t="str">
        <f t="shared" si="1"/>
        <v/>
      </c>
      <c r="J40" s="43" t="str">
        <f t="shared" si="2"/>
        <v/>
      </c>
      <c r="K40" s="44" t="str">
        <f t="shared" si="3"/>
        <v/>
      </c>
      <c r="L40" s="44" t="str">
        <f t="shared" si="4"/>
        <v/>
      </c>
    </row>
    <row r="41" spans="1:12">
      <c r="A41" s="1" t="str">
        <f t="shared" si="5"/>
        <v/>
      </c>
      <c r="F41" s="42" t="str">
        <f t="shared" si="0"/>
        <v/>
      </c>
      <c r="G41" s="42" t="str">
        <f t="shared" si="6"/>
        <v/>
      </c>
      <c r="H41" s="43" t="str">
        <f>IF(C41="","",GETPIVOTDATA("WinPips",ProfitRpt!$A$9,"Trade Month",C41,"Trade Year",B41))</f>
        <v/>
      </c>
      <c r="I41" s="42" t="str">
        <f t="shared" si="1"/>
        <v/>
      </c>
      <c r="J41" s="43" t="str">
        <f t="shared" si="2"/>
        <v/>
      </c>
      <c r="K41" s="44" t="str">
        <f t="shared" si="3"/>
        <v/>
      </c>
      <c r="L41" s="44" t="str">
        <f t="shared" si="4"/>
        <v/>
      </c>
    </row>
    <row r="42" spans="1:12">
      <c r="A42" s="1" t="str">
        <f t="shared" si="5"/>
        <v/>
      </c>
      <c r="F42" s="42" t="str">
        <f t="shared" si="0"/>
        <v/>
      </c>
      <c r="G42" s="42" t="str">
        <f t="shared" si="6"/>
        <v/>
      </c>
      <c r="H42" s="43" t="str">
        <f>IF(C42="","",GETPIVOTDATA("WinPips",ProfitRpt!$A$9,"Trade Month",C42,"Trade Year",B42))</f>
        <v/>
      </c>
      <c r="I42" s="42" t="str">
        <f t="shared" si="1"/>
        <v/>
      </c>
      <c r="J42" s="43" t="str">
        <f t="shared" si="2"/>
        <v/>
      </c>
      <c r="K42" s="44" t="str">
        <f t="shared" si="3"/>
        <v/>
      </c>
      <c r="L42" s="44" t="str">
        <f t="shared" si="4"/>
        <v/>
      </c>
    </row>
    <row r="43" spans="1:12">
      <c r="A43" s="1" t="str">
        <f t="shared" si="5"/>
        <v/>
      </c>
      <c r="F43" s="42" t="str">
        <f t="shared" si="0"/>
        <v/>
      </c>
      <c r="G43" s="42" t="str">
        <f t="shared" si="6"/>
        <v/>
      </c>
      <c r="H43" s="43" t="str">
        <f>IF(C43="","",GETPIVOTDATA("WinPips",ProfitRpt!$A$9,"Trade Month",C43,"Trade Year",B43))</f>
        <v/>
      </c>
      <c r="I43" s="42" t="str">
        <f t="shared" si="1"/>
        <v/>
      </c>
      <c r="J43" s="43" t="str">
        <f t="shared" si="2"/>
        <v/>
      </c>
      <c r="K43" s="44" t="str">
        <f t="shared" si="3"/>
        <v/>
      </c>
      <c r="L43" s="44" t="str">
        <f t="shared" si="4"/>
        <v/>
      </c>
    </row>
    <row r="44" spans="1:12">
      <c r="A44" s="1" t="str">
        <f t="shared" si="5"/>
        <v/>
      </c>
      <c r="F44" s="42" t="str">
        <f t="shared" si="0"/>
        <v/>
      </c>
      <c r="G44" s="42" t="str">
        <f t="shared" si="6"/>
        <v/>
      </c>
      <c r="H44" s="43" t="str">
        <f>IF(C44="","",GETPIVOTDATA("WinPips",ProfitRpt!$A$9,"Trade Month",C44,"Trade Year",B44))</f>
        <v/>
      </c>
      <c r="I44" s="42" t="str">
        <f t="shared" si="1"/>
        <v/>
      </c>
      <c r="J44" s="43" t="str">
        <f t="shared" si="2"/>
        <v/>
      </c>
      <c r="K44" s="44" t="str">
        <f t="shared" si="3"/>
        <v/>
      </c>
      <c r="L44" s="44" t="str">
        <f t="shared" si="4"/>
        <v/>
      </c>
    </row>
    <row r="45" spans="1:12">
      <c r="A45" s="1" t="str">
        <f t="shared" si="5"/>
        <v/>
      </c>
      <c r="F45" s="42" t="str">
        <f t="shared" si="0"/>
        <v/>
      </c>
      <c r="G45" s="42" t="str">
        <f t="shared" si="6"/>
        <v/>
      </c>
      <c r="H45" s="43" t="str">
        <f>IF(C45="","",GETPIVOTDATA("WinPips",ProfitRpt!$A$9,"Trade Month",C45,"Trade Year",B45))</f>
        <v/>
      </c>
      <c r="I45" s="42" t="str">
        <f t="shared" si="1"/>
        <v/>
      </c>
      <c r="J45" s="43" t="str">
        <f t="shared" si="2"/>
        <v/>
      </c>
      <c r="K45" s="44" t="str">
        <f t="shared" si="3"/>
        <v/>
      </c>
      <c r="L45" s="44" t="str">
        <f t="shared" si="4"/>
        <v/>
      </c>
    </row>
    <row r="46" spans="1:12">
      <c r="A46" s="1" t="str">
        <f t="shared" si="5"/>
        <v/>
      </c>
      <c r="F46" s="42" t="str">
        <f t="shared" si="0"/>
        <v/>
      </c>
      <c r="G46" s="42" t="str">
        <f t="shared" si="6"/>
        <v/>
      </c>
      <c r="H46" s="43" t="str">
        <f>IF(C46="","",GETPIVOTDATA("WinPips",ProfitRpt!$A$9,"Trade Month",C46,"Trade Year",B46))</f>
        <v/>
      </c>
      <c r="I46" s="42" t="str">
        <f t="shared" si="1"/>
        <v/>
      </c>
      <c r="J46" s="43" t="str">
        <f t="shared" si="2"/>
        <v/>
      </c>
      <c r="K46" s="44" t="str">
        <f t="shared" si="3"/>
        <v/>
      </c>
      <c r="L46" s="44" t="str">
        <f t="shared" si="4"/>
        <v/>
      </c>
    </row>
    <row r="47" spans="1:12">
      <c r="A47" s="1" t="str">
        <f t="shared" si="5"/>
        <v/>
      </c>
      <c r="F47" s="42" t="str">
        <f t="shared" si="0"/>
        <v/>
      </c>
      <c r="G47" s="42" t="str">
        <f t="shared" si="6"/>
        <v/>
      </c>
      <c r="H47" s="43" t="str">
        <f>IF(C47="","",GETPIVOTDATA("WinPips",ProfitRpt!$A$9,"Trade Month",C47,"Trade Year",B47))</f>
        <v/>
      </c>
      <c r="I47" s="42" t="str">
        <f t="shared" si="1"/>
        <v/>
      </c>
      <c r="J47" s="43" t="str">
        <f t="shared" si="2"/>
        <v/>
      </c>
      <c r="K47" s="44" t="str">
        <f t="shared" si="3"/>
        <v/>
      </c>
      <c r="L47" s="44" t="str">
        <f t="shared" si="4"/>
        <v/>
      </c>
    </row>
    <row r="48" spans="1:12">
      <c r="A48" s="1" t="str">
        <f t="shared" si="5"/>
        <v/>
      </c>
      <c r="F48" s="42" t="str">
        <f t="shared" si="0"/>
        <v/>
      </c>
      <c r="G48" s="42" t="str">
        <f t="shared" si="6"/>
        <v/>
      </c>
      <c r="H48" s="43" t="str">
        <f>IF(C48="","",GETPIVOTDATA("WinPips",ProfitRpt!$A$9,"Trade Month",C48,"Trade Year",B48))</f>
        <v/>
      </c>
      <c r="I48" s="42" t="str">
        <f t="shared" si="1"/>
        <v/>
      </c>
      <c r="J48" s="43" t="str">
        <f t="shared" si="2"/>
        <v/>
      </c>
      <c r="K48" s="44" t="str">
        <f t="shared" si="3"/>
        <v/>
      </c>
      <c r="L48" s="44" t="str">
        <f t="shared" si="4"/>
        <v/>
      </c>
    </row>
    <row r="49" spans="1:12">
      <c r="A49" s="1" t="str">
        <f t="shared" si="5"/>
        <v/>
      </c>
      <c r="F49" s="42" t="str">
        <f t="shared" si="0"/>
        <v/>
      </c>
      <c r="G49" s="42" t="str">
        <f t="shared" si="6"/>
        <v/>
      </c>
      <c r="H49" s="43" t="str">
        <f>IF(C49="","",GETPIVOTDATA("WinPips",ProfitRpt!$A$9,"Trade Month",C49,"Trade Year",B49))</f>
        <v/>
      </c>
      <c r="I49" s="42" t="str">
        <f t="shared" si="1"/>
        <v/>
      </c>
      <c r="J49" s="43" t="str">
        <f t="shared" si="2"/>
        <v/>
      </c>
      <c r="K49" s="44" t="str">
        <f t="shared" si="3"/>
        <v/>
      </c>
      <c r="L49" s="44" t="str">
        <f t="shared" si="4"/>
        <v/>
      </c>
    </row>
    <row r="50" spans="1:12">
      <c r="A50" s="1" t="str">
        <f t="shared" si="5"/>
        <v/>
      </c>
      <c r="F50" s="42" t="str">
        <f t="shared" si="0"/>
        <v/>
      </c>
      <c r="G50" s="42" t="str">
        <f t="shared" si="6"/>
        <v/>
      </c>
      <c r="H50" s="43" t="str">
        <f>IF(C50="","",GETPIVOTDATA("WinPips",ProfitRpt!$A$9,"Trade Month",C50,"Trade Year",B50))</f>
        <v/>
      </c>
      <c r="I50" s="42" t="str">
        <f t="shared" si="1"/>
        <v/>
      </c>
      <c r="J50" s="43" t="str">
        <f t="shared" si="2"/>
        <v/>
      </c>
      <c r="K50" s="44" t="str">
        <f t="shared" si="3"/>
        <v/>
      </c>
      <c r="L50" s="44" t="str">
        <f t="shared" si="4"/>
        <v/>
      </c>
    </row>
    <row r="51" spans="1:12">
      <c r="A51" s="1" t="str">
        <f t="shared" si="5"/>
        <v/>
      </c>
      <c r="F51" s="42" t="str">
        <f t="shared" si="0"/>
        <v/>
      </c>
      <c r="G51" s="42" t="str">
        <f t="shared" si="6"/>
        <v/>
      </c>
      <c r="H51" s="43" t="str">
        <f>IF(C51="","",GETPIVOTDATA("WinPips",ProfitRpt!$A$9,"Trade Month",C51,"Trade Year",B51))</f>
        <v/>
      </c>
      <c r="I51" s="42" t="str">
        <f t="shared" si="1"/>
        <v/>
      </c>
      <c r="J51" s="43" t="str">
        <f t="shared" si="2"/>
        <v/>
      </c>
      <c r="K51" s="44" t="str">
        <f t="shared" si="3"/>
        <v/>
      </c>
      <c r="L51" s="44" t="str">
        <f t="shared" si="4"/>
        <v/>
      </c>
    </row>
    <row r="52" spans="1:12">
      <c r="A52" s="1" t="str">
        <f t="shared" si="5"/>
        <v/>
      </c>
      <c r="F52" s="42" t="str">
        <f t="shared" si="0"/>
        <v/>
      </c>
      <c r="G52" s="42" t="str">
        <f t="shared" si="6"/>
        <v/>
      </c>
      <c r="H52" s="43" t="str">
        <f>IF(C52="","",GETPIVOTDATA("WinPips",ProfitRpt!$A$9,"Trade Month",C52,"Trade Year",B52))</f>
        <v/>
      </c>
      <c r="I52" s="42" t="str">
        <f t="shared" si="1"/>
        <v/>
      </c>
      <c r="J52" s="43" t="str">
        <f t="shared" si="2"/>
        <v/>
      </c>
      <c r="K52" s="44" t="str">
        <f t="shared" si="3"/>
        <v/>
      </c>
      <c r="L52" s="44" t="str">
        <f t="shared" si="4"/>
        <v/>
      </c>
    </row>
    <row r="53" spans="1:12">
      <c r="A53" s="1" t="str">
        <f t="shared" si="5"/>
        <v/>
      </c>
      <c r="F53" s="42" t="str">
        <f t="shared" si="0"/>
        <v/>
      </c>
      <c r="G53" s="42" t="str">
        <f t="shared" si="6"/>
        <v/>
      </c>
      <c r="H53" s="43" t="str">
        <f>IF(C53="","",GETPIVOTDATA("WinPips",ProfitRpt!$A$9,"Trade Month",C53,"Trade Year",B53))</f>
        <v/>
      </c>
      <c r="I53" s="42" t="str">
        <f t="shared" si="1"/>
        <v/>
      </c>
      <c r="J53" s="43" t="str">
        <f t="shared" si="2"/>
        <v/>
      </c>
      <c r="K53" s="44" t="str">
        <f t="shared" si="3"/>
        <v/>
      </c>
      <c r="L53" s="44" t="str">
        <f t="shared" si="4"/>
        <v/>
      </c>
    </row>
    <row r="54" spans="1:12">
      <c r="A54" s="1" t="str">
        <f t="shared" si="5"/>
        <v/>
      </c>
      <c r="F54" s="42" t="str">
        <f t="shared" si="0"/>
        <v/>
      </c>
      <c r="G54" s="42" t="str">
        <f t="shared" si="6"/>
        <v/>
      </c>
      <c r="H54" s="43" t="str">
        <f>IF(C54="","",GETPIVOTDATA("WinPips",ProfitRpt!$A$9,"Trade Month",C54,"Trade Year",B54))</f>
        <v/>
      </c>
      <c r="I54" s="42" t="str">
        <f t="shared" si="1"/>
        <v/>
      </c>
      <c r="J54" s="43" t="str">
        <f t="shared" si="2"/>
        <v/>
      </c>
      <c r="K54" s="44" t="str">
        <f t="shared" si="3"/>
        <v/>
      </c>
      <c r="L54" s="44" t="str">
        <f t="shared" si="4"/>
        <v/>
      </c>
    </row>
    <row r="55" spans="1:12">
      <c r="A55" s="1" t="str">
        <f t="shared" si="5"/>
        <v/>
      </c>
      <c r="F55" s="42" t="str">
        <f t="shared" si="0"/>
        <v/>
      </c>
      <c r="G55" s="42" t="str">
        <f t="shared" si="6"/>
        <v/>
      </c>
      <c r="H55" s="43" t="str">
        <f>IF(C55="","",GETPIVOTDATA("WinPips",ProfitRpt!$A$9,"Trade Month",C55,"Trade Year",B55))</f>
        <v/>
      </c>
      <c r="I55" s="42" t="str">
        <f t="shared" si="1"/>
        <v/>
      </c>
      <c r="J55" s="43" t="str">
        <f t="shared" si="2"/>
        <v/>
      </c>
      <c r="K55" s="44" t="str">
        <f t="shared" si="3"/>
        <v/>
      </c>
      <c r="L55" s="44" t="str">
        <f t="shared" si="4"/>
        <v/>
      </c>
    </row>
    <row r="56" spans="1:12">
      <c r="A56" s="1" t="str">
        <f t="shared" si="5"/>
        <v/>
      </c>
      <c r="F56" s="42" t="str">
        <f t="shared" si="0"/>
        <v/>
      </c>
      <c r="G56" s="42" t="str">
        <f t="shared" si="6"/>
        <v/>
      </c>
      <c r="H56" s="43" t="str">
        <f>IF(C56="","",GETPIVOTDATA("WinPips",ProfitRpt!$A$9,"Trade Month",C56,"Trade Year",B56))</f>
        <v/>
      </c>
      <c r="I56" s="42" t="str">
        <f t="shared" si="1"/>
        <v/>
      </c>
      <c r="J56" s="43" t="str">
        <f t="shared" si="2"/>
        <v/>
      </c>
      <c r="K56" s="44" t="str">
        <f t="shared" si="3"/>
        <v/>
      </c>
      <c r="L56" s="44" t="str">
        <f t="shared" si="4"/>
        <v/>
      </c>
    </row>
    <row r="57" spans="1:12">
      <c r="A57" s="1" t="str">
        <f t="shared" si="5"/>
        <v/>
      </c>
      <c r="F57" s="42" t="str">
        <f t="shared" si="0"/>
        <v/>
      </c>
      <c r="G57" s="42" t="str">
        <f t="shared" si="6"/>
        <v/>
      </c>
      <c r="H57" s="43" t="str">
        <f>IF(C57="","",GETPIVOTDATA("WinPips",ProfitRpt!$A$9,"Trade Month",C57,"Trade Year",B57))</f>
        <v/>
      </c>
      <c r="I57" s="42" t="str">
        <f t="shared" si="1"/>
        <v/>
      </c>
      <c r="J57" s="43" t="str">
        <f t="shared" si="2"/>
        <v/>
      </c>
      <c r="K57" s="44" t="str">
        <f t="shared" si="3"/>
        <v/>
      </c>
      <c r="L57" s="44" t="str">
        <f t="shared" si="4"/>
        <v/>
      </c>
    </row>
    <row r="58" spans="1:12">
      <c r="A58" s="1" t="str">
        <f t="shared" si="5"/>
        <v/>
      </c>
      <c r="F58" s="42" t="str">
        <f t="shared" si="0"/>
        <v/>
      </c>
      <c r="G58" s="42" t="str">
        <f t="shared" si="6"/>
        <v/>
      </c>
      <c r="H58" s="43" t="str">
        <f>IF(C58="","",GETPIVOTDATA("WinPips",ProfitRpt!$A$9,"Trade Month",C58,"Trade Year",B58))</f>
        <v/>
      </c>
      <c r="I58" s="42" t="str">
        <f t="shared" si="1"/>
        <v/>
      </c>
      <c r="J58" s="43" t="str">
        <f t="shared" si="2"/>
        <v/>
      </c>
      <c r="K58" s="44" t="str">
        <f t="shared" si="3"/>
        <v/>
      </c>
      <c r="L58" s="44" t="str">
        <f t="shared" si="4"/>
        <v/>
      </c>
    </row>
    <row r="59" spans="1:12">
      <c r="A59" s="1" t="str">
        <f t="shared" si="5"/>
        <v/>
      </c>
      <c r="F59" s="42" t="str">
        <f t="shared" si="0"/>
        <v/>
      </c>
      <c r="G59" s="42" t="str">
        <f t="shared" si="6"/>
        <v/>
      </c>
      <c r="H59" s="43" t="str">
        <f>IF(C59="","",GETPIVOTDATA("WinPips",ProfitRpt!$A$9,"Trade Month",C59,"Trade Year",B59))</f>
        <v/>
      </c>
      <c r="I59" s="42" t="str">
        <f t="shared" si="1"/>
        <v/>
      </c>
      <c r="J59" s="43" t="str">
        <f t="shared" si="2"/>
        <v/>
      </c>
      <c r="K59" s="44" t="str">
        <f t="shared" si="3"/>
        <v/>
      </c>
      <c r="L59" s="44" t="str">
        <f t="shared" si="4"/>
        <v/>
      </c>
    </row>
    <row r="60" spans="1:12">
      <c r="A60" s="1" t="str">
        <f t="shared" si="5"/>
        <v/>
      </c>
      <c r="F60" s="42" t="str">
        <f t="shared" si="0"/>
        <v/>
      </c>
      <c r="G60" s="42" t="str">
        <f t="shared" si="6"/>
        <v/>
      </c>
      <c r="H60" s="43" t="str">
        <f>IF(C60="","",GETPIVOTDATA("WinPips",ProfitRpt!$A$9,"Trade Month",C60,"Trade Year",B60))</f>
        <v/>
      </c>
      <c r="I60" s="42" t="str">
        <f t="shared" si="1"/>
        <v/>
      </c>
      <c r="J60" s="43" t="str">
        <f t="shared" si="2"/>
        <v/>
      </c>
      <c r="K60" s="44" t="str">
        <f t="shared" si="3"/>
        <v/>
      </c>
      <c r="L60" s="44" t="str">
        <f t="shared" si="4"/>
        <v/>
      </c>
    </row>
    <row r="61" spans="1:12">
      <c r="A61" s="1" t="str">
        <f t="shared" si="5"/>
        <v/>
      </c>
      <c r="F61" s="42" t="str">
        <f t="shared" si="0"/>
        <v/>
      </c>
      <c r="G61" s="42" t="str">
        <f t="shared" si="6"/>
        <v/>
      </c>
      <c r="H61" s="43" t="str">
        <f>IF(C61="","",GETPIVOTDATA("WinPips",ProfitRpt!$A$9,"Trade Month",C61,"Trade Year",B61))</f>
        <v/>
      </c>
      <c r="I61" s="42" t="str">
        <f t="shared" si="1"/>
        <v/>
      </c>
      <c r="J61" s="43" t="str">
        <f t="shared" si="2"/>
        <v/>
      </c>
      <c r="K61" s="44" t="str">
        <f t="shared" si="3"/>
        <v/>
      </c>
      <c r="L61" s="44" t="str">
        <f t="shared" si="4"/>
        <v/>
      </c>
    </row>
    <row r="62" spans="1:12">
      <c r="A62" s="1" t="str">
        <f t="shared" si="5"/>
        <v/>
      </c>
      <c r="F62" s="42" t="str">
        <f t="shared" si="0"/>
        <v/>
      </c>
      <c r="G62" s="42" t="str">
        <f t="shared" si="6"/>
        <v/>
      </c>
      <c r="H62" s="43" t="str">
        <f>IF(C62="","",GETPIVOTDATA("WinPips",ProfitRpt!$A$9,"Trade Month",C62,"Trade Year",B62))</f>
        <v/>
      </c>
      <c r="I62" s="42" t="str">
        <f t="shared" si="1"/>
        <v/>
      </c>
      <c r="J62" s="43" t="str">
        <f t="shared" si="2"/>
        <v/>
      </c>
      <c r="K62" s="44" t="str">
        <f t="shared" si="3"/>
        <v/>
      </c>
      <c r="L62" s="44" t="str">
        <f t="shared" si="4"/>
        <v/>
      </c>
    </row>
    <row r="63" spans="1:12">
      <c r="A63" s="1" t="str">
        <f t="shared" si="5"/>
        <v/>
      </c>
      <c r="F63" s="42" t="str">
        <f t="shared" si="0"/>
        <v/>
      </c>
      <c r="G63" s="42" t="str">
        <f t="shared" si="6"/>
        <v/>
      </c>
      <c r="H63" s="43" t="str">
        <f>IF(C63="","",GETPIVOTDATA("WinPips",ProfitRpt!$A$9,"Trade Month",C63,"Trade Year",B63))</f>
        <v/>
      </c>
      <c r="I63" s="42" t="str">
        <f t="shared" si="1"/>
        <v/>
      </c>
      <c r="J63" s="43" t="str">
        <f t="shared" si="2"/>
        <v/>
      </c>
      <c r="K63" s="44" t="str">
        <f t="shared" si="3"/>
        <v/>
      </c>
      <c r="L63" s="44" t="str">
        <f t="shared" si="4"/>
        <v/>
      </c>
    </row>
    <row r="64" spans="1:12">
      <c r="A64" s="1" t="str">
        <f t="shared" si="5"/>
        <v/>
      </c>
      <c r="F64" s="42" t="str">
        <f t="shared" si="0"/>
        <v/>
      </c>
      <c r="G64" s="42" t="str">
        <f t="shared" si="6"/>
        <v/>
      </c>
      <c r="H64" s="43" t="str">
        <f>IF(C64="","",GETPIVOTDATA("WinPips",ProfitRpt!$A$9,"Trade Month",C64,"Trade Year",B64))</f>
        <v/>
      </c>
      <c r="I64" s="42" t="str">
        <f t="shared" si="1"/>
        <v/>
      </c>
      <c r="J64" s="43" t="str">
        <f t="shared" si="2"/>
        <v/>
      </c>
      <c r="K64" s="44" t="str">
        <f t="shared" si="3"/>
        <v/>
      </c>
      <c r="L64" s="44" t="str">
        <f t="shared" si="4"/>
        <v/>
      </c>
    </row>
    <row r="65" spans="1:12">
      <c r="A65" s="1" t="str">
        <f t="shared" si="5"/>
        <v/>
      </c>
      <c r="F65" s="42" t="str">
        <f t="shared" si="0"/>
        <v/>
      </c>
      <c r="G65" s="42" t="str">
        <f t="shared" si="6"/>
        <v/>
      </c>
      <c r="H65" s="43" t="str">
        <f>IF(C65="","",GETPIVOTDATA("WinPips",ProfitRpt!$A$9,"Trade Month",C65,"Trade Year",B65))</f>
        <v/>
      </c>
      <c r="I65" s="42" t="str">
        <f t="shared" si="1"/>
        <v/>
      </c>
      <c r="J65" s="43" t="str">
        <f t="shared" si="2"/>
        <v/>
      </c>
      <c r="K65" s="44" t="str">
        <f t="shared" si="3"/>
        <v/>
      </c>
      <c r="L65" s="44" t="str">
        <f t="shared" si="4"/>
        <v/>
      </c>
    </row>
    <row r="66" spans="1:12">
      <c r="A66" s="1" t="str">
        <f t="shared" si="5"/>
        <v/>
      </c>
      <c r="F66" s="42" t="str">
        <f t="shared" si="0"/>
        <v/>
      </c>
      <c r="G66" s="42" t="str">
        <f t="shared" si="6"/>
        <v/>
      </c>
      <c r="H66" s="43" t="str">
        <f>IF(C66="","",GETPIVOTDATA("WinPips",ProfitRpt!$A$9,"Trade Month",C66,"Trade Year",B66))</f>
        <v/>
      </c>
      <c r="I66" s="42" t="str">
        <f t="shared" si="1"/>
        <v/>
      </c>
      <c r="J66" s="43" t="str">
        <f t="shared" si="2"/>
        <v/>
      </c>
      <c r="K66" s="44" t="str">
        <f t="shared" si="3"/>
        <v/>
      </c>
      <c r="L66" s="44" t="str">
        <f t="shared" si="4"/>
        <v/>
      </c>
    </row>
    <row r="67" spans="1:12">
      <c r="A67" s="1" t="str">
        <f t="shared" si="5"/>
        <v/>
      </c>
      <c r="F67" s="42" t="str">
        <f t="shared" si="0"/>
        <v/>
      </c>
      <c r="G67" s="42" t="str">
        <f t="shared" si="6"/>
        <v/>
      </c>
      <c r="H67" s="43" t="str">
        <f>IF(C67="","",GETPIVOTDATA("WinPips",ProfitRpt!$A$9,"Trade Month",C67,"Trade Year",B67))</f>
        <v/>
      </c>
      <c r="I67" s="42" t="str">
        <f t="shared" si="1"/>
        <v/>
      </c>
      <c r="J67" s="43" t="str">
        <f t="shared" si="2"/>
        <v/>
      </c>
      <c r="K67" s="44" t="str">
        <f t="shared" si="3"/>
        <v/>
      </c>
      <c r="L67" s="44" t="str">
        <f t="shared" si="4"/>
        <v/>
      </c>
    </row>
    <row r="68" spans="1:12">
      <c r="A68" s="1" t="str">
        <f t="shared" si="5"/>
        <v/>
      </c>
      <c r="F68" s="42" t="str">
        <f t="shared" si="0"/>
        <v/>
      </c>
      <c r="G68" s="42" t="str">
        <f t="shared" si="6"/>
        <v/>
      </c>
      <c r="H68" s="43" t="str">
        <f>IF(C68="","",GETPIVOTDATA("WinPips",ProfitRpt!$A$9,"Trade Month",C68,"Trade Year",B68))</f>
        <v/>
      </c>
      <c r="I68" s="42" t="str">
        <f t="shared" si="1"/>
        <v/>
      </c>
      <c r="J68" s="43" t="str">
        <f t="shared" si="2"/>
        <v/>
      </c>
      <c r="K68" s="44" t="str">
        <f t="shared" si="3"/>
        <v/>
      </c>
      <c r="L68" s="44" t="str">
        <f t="shared" si="4"/>
        <v/>
      </c>
    </row>
    <row r="69" spans="1:12">
      <c r="A69" s="1" t="str">
        <f t="shared" si="5"/>
        <v/>
      </c>
      <c r="F69" s="42" t="str">
        <f t="shared" si="0"/>
        <v/>
      </c>
      <c r="G69" s="42" t="str">
        <f t="shared" si="6"/>
        <v/>
      </c>
      <c r="H69" s="43" t="str">
        <f>IF(C69="","",GETPIVOTDATA("WinPips",ProfitRpt!$A$9,"Trade Month",C69,"Trade Year",B69))</f>
        <v/>
      </c>
      <c r="I69" s="42" t="str">
        <f t="shared" si="1"/>
        <v/>
      </c>
      <c r="J69" s="43" t="str">
        <f t="shared" si="2"/>
        <v/>
      </c>
      <c r="K69" s="44" t="str">
        <f t="shared" si="3"/>
        <v/>
      </c>
      <c r="L69" s="44" t="str">
        <f t="shared" si="4"/>
        <v/>
      </c>
    </row>
    <row r="70" spans="1:12">
      <c r="A70" s="1" t="str">
        <f t="shared" si="5"/>
        <v/>
      </c>
      <c r="F70" s="42" t="str">
        <f t="shared" si="0"/>
        <v/>
      </c>
      <c r="G70" s="42" t="str">
        <f t="shared" si="6"/>
        <v/>
      </c>
      <c r="H70" s="43" t="str">
        <f>IF(C70="","",GETPIVOTDATA("WinPips",ProfitRpt!$A$9,"Trade Month",C70,"Trade Year",B70))</f>
        <v/>
      </c>
      <c r="I70" s="42" t="str">
        <f t="shared" si="1"/>
        <v/>
      </c>
      <c r="J70" s="43" t="str">
        <f t="shared" si="2"/>
        <v/>
      </c>
      <c r="K70" s="44" t="str">
        <f t="shared" si="3"/>
        <v/>
      </c>
      <c r="L70" s="44" t="str">
        <f t="shared" si="4"/>
        <v/>
      </c>
    </row>
    <row r="71" spans="1:12">
      <c r="A71" s="1" t="str">
        <f t="shared" si="5"/>
        <v/>
      </c>
      <c r="F71" s="42" t="str">
        <f t="shared" ref="F71:F134" si="7">IF(G71="","",E71+G71)</f>
        <v/>
      </c>
      <c r="G71" s="42" t="str">
        <f t="shared" si="6"/>
        <v/>
      </c>
      <c r="H71" s="43" t="str">
        <f>IF(C71="","",GETPIVOTDATA("WinPips",ProfitRpt!$A$9,"Trade Month",C71,"Trade Year",B71))</f>
        <v/>
      </c>
      <c r="I71" s="42" t="str">
        <f t="shared" ref="I71:I134" si="8">IF(B71="","",IF(B71=B70,I70+G71,G71))</f>
        <v/>
      </c>
      <c r="J71" s="43" t="str">
        <f t="shared" ref="J71:J134" si="9">IF(B71="","",IF(B70=B71,J70+H71,H71))</f>
        <v/>
      </c>
      <c r="K71" s="44" t="str">
        <f t="shared" ref="K71:K134" si="10">IF(F71="","",IF(E71="","",(F71-E71)/E71))</f>
        <v/>
      </c>
      <c r="L71" s="44" t="str">
        <f t="shared" ref="L71:L134" si="11">IF(I71="","",IF(D71="","",I71/D71) )</f>
        <v/>
      </c>
    </row>
    <row r="72" spans="1:12">
      <c r="A72" s="1" t="str">
        <f t="shared" ref="A72:A135" si="12">IF(C72="","",A71+1)</f>
        <v/>
      </c>
      <c r="F72" s="42" t="str">
        <f t="shared" si="7"/>
        <v/>
      </c>
      <c r="G72" s="42" t="str">
        <f t="shared" ref="G72:G135" si="13">IF(C72="","",H72/10)</f>
        <v/>
      </c>
      <c r="H72" s="43" t="str">
        <f>IF(C72="","",GETPIVOTDATA("WinPips",ProfitRpt!$A$9,"Trade Month",C72,"Trade Year",B72))</f>
        <v/>
      </c>
      <c r="I72" s="42" t="str">
        <f t="shared" si="8"/>
        <v/>
      </c>
      <c r="J72" s="43" t="str">
        <f t="shared" si="9"/>
        <v/>
      </c>
      <c r="K72" s="44" t="str">
        <f t="shared" si="10"/>
        <v/>
      </c>
      <c r="L72" s="44" t="str">
        <f t="shared" si="11"/>
        <v/>
      </c>
    </row>
    <row r="73" spans="1:12">
      <c r="A73" s="1" t="str">
        <f t="shared" si="12"/>
        <v/>
      </c>
      <c r="F73" s="42" t="str">
        <f t="shared" si="7"/>
        <v/>
      </c>
      <c r="G73" s="42" t="str">
        <f t="shared" si="13"/>
        <v/>
      </c>
      <c r="H73" s="43" t="str">
        <f>IF(C73="","",GETPIVOTDATA("WinPips",ProfitRpt!$A$9,"Trade Month",C73,"Trade Year",B73))</f>
        <v/>
      </c>
      <c r="I73" s="42" t="str">
        <f t="shared" si="8"/>
        <v/>
      </c>
      <c r="J73" s="43" t="str">
        <f t="shared" si="9"/>
        <v/>
      </c>
      <c r="K73" s="44" t="str">
        <f t="shared" si="10"/>
        <v/>
      </c>
      <c r="L73" s="44" t="str">
        <f t="shared" si="11"/>
        <v/>
      </c>
    </row>
    <row r="74" spans="1:12">
      <c r="A74" s="1" t="str">
        <f t="shared" si="12"/>
        <v/>
      </c>
      <c r="F74" s="42" t="str">
        <f t="shared" si="7"/>
        <v/>
      </c>
      <c r="G74" s="42" t="str">
        <f t="shared" si="13"/>
        <v/>
      </c>
      <c r="H74" s="43" t="str">
        <f>IF(C74="","",GETPIVOTDATA("WinPips",ProfitRpt!$A$9,"Trade Month",C74,"Trade Year",B74))</f>
        <v/>
      </c>
      <c r="I74" s="42" t="str">
        <f t="shared" si="8"/>
        <v/>
      </c>
      <c r="J74" s="43" t="str">
        <f t="shared" si="9"/>
        <v/>
      </c>
      <c r="K74" s="44" t="str">
        <f t="shared" si="10"/>
        <v/>
      </c>
      <c r="L74" s="44" t="str">
        <f t="shared" si="11"/>
        <v/>
      </c>
    </row>
    <row r="75" spans="1:12">
      <c r="A75" s="1" t="str">
        <f t="shared" si="12"/>
        <v/>
      </c>
      <c r="F75" s="42" t="str">
        <f t="shared" si="7"/>
        <v/>
      </c>
      <c r="G75" s="42" t="str">
        <f t="shared" si="13"/>
        <v/>
      </c>
      <c r="H75" s="43" t="str">
        <f>IF(C75="","",GETPIVOTDATA("WinPips",ProfitRpt!$A$9,"Trade Month",C75,"Trade Year",B75))</f>
        <v/>
      </c>
      <c r="I75" s="42" t="str">
        <f t="shared" si="8"/>
        <v/>
      </c>
      <c r="J75" s="43" t="str">
        <f t="shared" si="9"/>
        <v/>
      </c>
      <c r="K75" s="44" t="str">
        <f t="shared" si="10"/>
        <v/>
      </c>
      <c r="L75" s="44" t="str">
        <f t="shared" si="11"/>
        <v/>
      </c>
    </row>
    <row r="76" spans="1:12">
      <c r="A76" s="1" t="str">
        <f t="shared" si="12"/>
        <v/>
      </c>
      <c r="F76" s="42" t="str">
        <f t="shared" si="7"/>
        <v/>
      </c>
      <c r="G76" s="42" t="str">
        <f t="shared" si="13"/>
        <v/>
      </c>
      <c r="H76" s="43" t="str">
        <f>IF(C76="","",GETPIVOTDATA("WinPips",ProfitRpt!$A$9,"Trade Month",C76,"Trade Year",B76))</f>
        <v/>
      </c>
      <c r="I76" s="42" t="str">
        <f t="shared" si="8"/>
        <v/>
      </c>
      <c r="J76" s="43" t="str">
        <f t="shared" si="9"/>
        <v/>
      </c>
      <c r="K76" s="44" t="str">
        <f t="shared" si="10"/>
        <v/>
      </c>
      <c r="L76" s="44" t="str">
        <f t="shared" si="11"/>
        <v/>
      </c>
    </row>
    <row r="77" spans="1:12">
      <c r="A77" s="1" t="str">
        <f t="shared" si="12"/>
        <v/>
      </c>
      <c r="F77" s="42" t="str">
        <f t="shared" si="7"/>
        <v/>
      </c>
      <c r="G77" s="42" t="str">
        <f t="shared" si="13"/>
        <v/>
      </c>
      <c r="H77" s="43" t="str">
        <f>IF(C77="","",GETPIVOTDATA("WinPips",ProfitRpt!$A$9,"Trade Month",C77,"Trade Year",B77))</f>
        <v/>
      </c>
      <c r="I77" s="42" t="str">
        <f t="shared" si="8"/>
        <v/>
      </c>
      <c r="J77" s="43" t="str">
        <f t="shared" si="9"/>
        <v/>
      </c>
      <c r="K77" s="44" t="str">
        <f t="shared" si="10"/>
        <v/>
      </c>
      <c r="L77" s="44" t="str">
        <f t="shared" si="11"/>
        <v/>
      </c>
    </row>
    <row r="78" spans="1:12">
      <c r="A78" s="1" t="str">
        <f t="shared" si="12"/>
        <v/>
      </c>
      <c r="F78" s="42" t="str">
        <f t="shared" si="7"/>
        <v/>
      </c>
      <c r="G78" s="42" t="str">
        <f t="shared" si="13"/>
        <v/>
      </c>
      <c r="H78" s="43" t="str">
        <f>IF(C78="","",GETPIVOTDATA("WinPips",ProfitRpt!$A$9,"Trade Month",C78,"Trade Year",B78))</f>
        <v/>
      </c>
      <c r="I78" s="42" t="str">
        <f t="shared" si="8"/>
        <v/>
      </c>
      <c r="J78" s="43" t="str">
        <f t="shared" si="9"/>
        <v/>
      </c>
      <c r="K78" s="44" t="str">
        <f t="shared" si="10"/>
        <v/>
      </c>
      <c r="L78" s="44" t="str">
        <f t="shared" si="11"/>
        <v/>
      </c>
    </row>
    <row r="79" spans="1:12">
      <c r="A79" s="1" t="str">
        <f t="shared" si="12"/>
        <v/>
      </c>
      <c r="F79" s="42" t="str">
        <f t="shared" si="7"/>
        <v/>
      </c>
      <c r="G79" s="42" t="str">
        <f t="shared" si="13"/>
        <v/>
      </c>
      <c r="H79" s="43" t="str">
        <f>IF(C79="","",GETPIVOTDATA("WinPips",ProfitRpt!$A$9,"Trade Month",C79,"Trade Year",B79))</f>
        <v/>
      </c>
      <c r="I79" s="42" t="str">
        <f t="shared" si="8"/>
        <v/>
      </c>
      <c r="J79" s="43" t="str">
        <f t="shared" si="9"/>
        <v/>
      </c>
      <c r="K79" s="44" t="str">
        <f t="shared" si="10"/>
        <v/>
      </c>
      <c r="L79" s="44" t="str">
        <f t="shared" si="11"/>
        <v/>
      </c>
    </row>
    <row r="80" spans="1:12">
      <c r="A80" s="1" t="str">
        <f t="shared" si="12"/>
        <v/>
      </c>
      <c r="F80" s="42" t="str">
        <f t="shared" si="7"/>
        <v/>
      </c>
      <c r="G80" s="42" t="str">
        <f t="shared" si="13"/>
        <v/>
      </c>
      <c r="H80" s="43" t="str">
        <f>IF(C80="","",GETPIVOTDATA("WinPips",ProfitRpt!$A$9,"Trade Month",C80,"Trade Year",B80))</f>
        <v/>
      </c>
      <c r="I80" s="42" t="str">
        <f t="shared" si="8"/>
        <v/>
      </c>
      <c r="J80" s="43" t="str">
        <f t="shared" si="9"/>
        <v/>
      </c>
      <c r="K80" s="44" t="str">
        <f t="shared" si="10"/>
        <v/>
      </c>
      <c r="L80" s="44" t="str">
        <f t="shared" si="11"/>
        <v/>
      </c>
    </row>
    <row r="81" spans="1:12">
      <c r="A81" s="1" t="str">
        <f t="shared" si="12"/>
        <v/>
      </c>
      <c r="F81" s="42" t="str">
        <f t="shared" si="7"/>
        <v/>
      </c>
      <c r="G81" s="42" t="str">
        <f t="shared" si="13"/>
        <v/>
      </c>
      <c r="H81" s="43" t="str">
        <f>IF(C81="","",GETPIVOTDATA("WinPips",ProfitRpt!$A$9,"Trade Month",C81,"Trade Year",B81))</f>
        <v/>
      </c>
      <c r="I81" s="42" t="str">
        <f t="shared" si="8"/>
        <v/>
      </c>
      <c r="J81" s="43" t="str">
        <f t="shared" si="9"/>
        <v/>
      </c>
      <c r="K81" s="44" t="str">
        <f t="shared" si="10"/>
        <v/>
      </c>
      <c r="L81" s="44" t="str">
        <f t="shared" si="11"/>
        <v/>
      </c>
    </row>
    <row r="82" spans="1:12">
      <c r="A82" s="1" t="str">
        <f t="shared" si="12"/>
        <v/>
      </c>
      <c r="F82" s="42" t="str">
        <f t="shared" si="7"/>
        <v/>
      </c>
      <c r="G82" s="42" t="str">
        <f t="shared" si="13"/>
        <v/>
      </c>
      <c r="H82" s="43" t="str">
        <f>IF(C82="","",GETPIVOTDATA("WinPips",ProfitRpt!$A$9,"Trade Month",C82,"Trade Year",B82))</f>
        <v/>
      </c>
      <c r="I82" s="42" t="str">
        <f t="shared" si="8"/>
        <v/>
      </c>
      <c r="J82" s="43" t="str">
        <f t="shared" si="9"/>
        <v/>
      </c>
      <c r="K82" s="44" t="str">
        <f t="shared" si="10"/>
        <v/>
      </c>
      <c r="L82" s="44" t="str">
        <f t="shared" si="11"/>
        <v/>
      </c>
    </row>
    <row r="83" spans="1:12">
      <c r="A83" s="1" t="str">
        <f t="shared" si="12"/>
        <v/>
      </c>
      <c r="F83" s="42" t="str">
        <f t="shared" si="7"/>
        <v/>
      </c>
      <c r="G83" s="42" t="str">
        <f t="shared" si="13"/>
        <v/>
      </c>
      <c r="H83" s="43" t="str">
        <f>IF(C83="","",GETPIVOTDATA("WinPips",ProfitRpt!$A$9,"Trade Month",C83,"Trade Year",B83))</f>
        <v/>
      </c>
      <c r="I83" s="42" t="str">
        <f t="shared" si="8"/>
        <v/>
      </c>
      <c r="J83" s="43" t="str">
        <f t="shared" si="9"/>
        <v/>
      </c>
      <c r="K83" s="44" t="str">
        <f t="shared" si="10"/>
        <v/>
      </c>
      <c r="L83" s="44" t="str">
        <f t="shared" si="11"/>
        <v/>
      </c>
    </row>
    <row r="84" spans="1:12">
      <c r="A84" s="1" t="str">
        <f t="shared" si="12"/>
        <v/>
      </c>
      <c r="F84" s="42" t="str">
        <f t="shared" si="7"/>
        <v/>
      </c>
      <c r="G84" s="42" t="str">
        <f t="shared" si="13"/>
        <v/>
      </c>
      <c r="H84" s="43" t="str">
        <f>IF(C84="","",GETPIVOTDATA("WinPips",ProfitRpt!$A$9,"Trade Month",C84,"Trade Year",B84))</f>
        <v/>
      </c>
      <c r="I84" s="42" t="str">
        <f t="shared" si="8"/>
        <v/>
      </c>
      <c r="J84" s="43" t="str">
        <f t="shared" si="9"/>
        <v/>
      </c>
      <c r="K84" s="44" t="str">
        <f t="shared" si="10"/>
        <v/>
      </c>
      <c r="L84" s="44" t="str">
        <f t="shared" si="11"/>
        <v/>
      </c>
    </row>
    <row r="85" spans="1:12">
      <c r="A85" s="1" t="str">
        <f t="shared" si="12"/>
        <v/>
      </c>
      <c r="F85" s="42" t="str">
        <f t="shared" si="7"/>
        <v/>
      </c>
      <c r="G85" s="42" t="str">
        <f t="shared" si="13"/>
        <v/>
      </c>
      <c r="H85" s="43" t="str">
        <f>IF(C85="","",GETPIVOTDATA("WinPips",ProfitRpt!$A$9,"Trade Month",C85,"Trade Year",B85))</f>
        <v/>
      </c>
      <c r="I85" s="42" t="str">
        <f t="shared" si="8"/>
        <v/>
      </c>
      <c r="J85" s="43" t="str">
        <f t="shared" si="9"/>
        <v/>
      </c>
      <c r="K85" s="44" t="str">
        <f t="shared" si="10"/>
        <v/>
      </c>
      <c r="L85" s="44" t="str">
        <f t="shared" si="11"/>
        <v/>
      </c>
    </row>
    <row r="86" spans="1:12">
      <c r="A86" s="1" t="str">
        <f t="shared" si="12"/>
        <v/>
      </c>
      <c r="F86" s="42" t="str">
        <f t="shared" si="7"/>
        <v/>
      </c>
      <c r="G86" s="42" t="str">
        <f t="shared" si="13"/>
        <v/>
      </c>
      <c r="H86" s="43" t="str">
        <f>IF(C86="","",GETPIVOTDATA("WinPips",ProfitRpt!$A$9,"Trade Month",C86,"Trade Year",B86))</f>
        <v/>
      </c>
      <c r="I86" s="42" t="str">
        <f t="shared" si="8"/>
        <v/>
      </c>
      <c r="J86" s="43" t="str">
        <f t="shared" si="9"/>
        <v/>
      </c>
      <c r="K86" s="44" t="str">
        <f t="shared" si="10"/>
        <v/>
      </c>
      <c r="L86" s="44" t="str">
        <f t="shared" si="11"/>
        <v/>
      </c>
    </row>
    <row r="87" spans="1:12">
      <c r="A87" s="1" t="str">
        <f t="shared" si="12"/>
        <v/>
      </c>
      <c r="F87" s="42" t="str">
        <f t="shared" si="7"/>
        <v/>
      </c>
      <c r="G87" s="42" t="str">
        <f t="shared" si="13"/>
        <v/>
      </c>
      <c r="H87" s="43" t="str">
        <f>IF(C87="","",GETPIVOTDATA("WinPips",ProfitRpt!$A$9,"Trade Month",C87,"Trade Year",B87))</f>
        <v/>
      </c>
      <c r="I87" s="42" t="str">
        <f t="shared" si="8"/>
        <v/>
      </c>
      <c r="J87" s="43" t="str">
        <f t="shared" si="9"/>
        <v/>
      </c>
      <c r="K87" s="44" t="str">
        <f t="shared" si="10"/>
        <v/>
      </c>
      <c r="L87" s="44" t="str">
        <f t="shared" si="11"/>
        <v/>
      </c>
    </row>
    <row r="88" spans="1:12">
      <c r="A88" s="1" t="str">
        <f t="shared" si="12"/>
        <v/>
      </c>
      <c r="F88" s="42" t="str">
        <f t="shared" si="7"/>
        <v/>
      </c>
      <c r="G88" s="42" t="str">
        <f t="shared" si="13"/>
        <v/>
      </c>
      <c r="H88" s="43" t="str">
        <f>IF(C88="","",GETPIVOTDATA("WinPips",ProfitRpt!$A$9,"Trade Month",C88,"Trade Year",B88))</f>
        <v/>
      </c>
      <c r="I88" s="42" t="str">
        <f t="shared" si="8"/>
        <v/>
      </c>
      <c r="J88" s="43" t="str">
        <f t="shared" si="9"/>
        <v/>
      </c>
      <c r="K88" s="44" t="str">
        <f t="shared" si="10"/>
        <v/>
      </c>
      <c r="L88" s="44" t="str">
        <f t="shared" si="11"/>
        <v/>
      </c>
    </row>
    <row r="89" spans="1:12">
      <c r="A89" s="1" t="str">
        <f t="shared" si="12"/>
        <v/>
      </c>
      <c r="F89" s="42" t="str">
        <f t="shared" si="7"/>
        <v/>
      </c>
      <c r="G89" s="42" t="str">
        <f t="shared" si="13"/>
        <v/>
      </c>
      <c r="H89" s="43" t="str">
        <f>IF(C89="","",GETPIVOTDATA("WinPips",ProfitRpt!$A$9,"Trade Month",C89,"Trade Year",B89))</f>
        <v/>
      </c>
      <c r="I89" s="42" t="str">
        <f t="shared" si="8"/>
        <v/>
      </c>
      <c r="J89" s="43" t="str">
        <f t="shared" si="9"/>
        <v/>
      </c>
      <c r="K89" s="44" t="str">
        <f t="shared" si="10"/>
        <v/>
      </c>
      <c r="L89" s="44" t="str">
        <f t="shared" si="11"/>
        <v/>
      </c>
    </row>
    <row r="90" spans="1:12">
      <c r="A90" s="1" t="str">
        <f t="shared" si="12"/>
        <v/>
      </c>
      <c r="F90" s="42" t="str">
        <f t="shared" si="7"/>
        <v/>
      </c>
      <c r="G90" s="42" t="str">
        <f t="shared" si="13"/>
        <v/>
      </c>
      <c r="H90" s="43" t="str">
        <f>IF(C90="","",GETPIVOTDATA("WinPips",ProfitRpt!$A$9,"Trade Month",C90,"Trade Year",B90))</f>
        <v/>
      </c>
      <c r="I90" s="42" t="str">
        <f t="shared" si="8"/>
        <v/>
      </c>
      <c r="J90" s="43" t="str">
        <f t="shared" si="9"/>
        <v/>
      </c>
      <c r="K90" s="44" t="str">
        <f t="shared" si="10"/>
        <v/>
      </c>
      <c r="L90" s="44" t="str">
        <f t="shared" si="11"/>
        <v/>
      </c>
    </row>
    <row r="91" spans="1:12">
      <c r="A91" s="1" t="str">
        <f t="shared" si="12"/>
        <v/>
      </c>
      <c r="F91" s="42" t="str">
        <f t="shared" si="7"/>
        <v/>
      </c>
      <c r="G91" s="42" t="str">
        <f t="shared" si="13"/>
        <v/>
      </c>
      <c r="H91" s="43" t="str">
        <f>IF(C91="","",GETPIVOTDATA("WinPips",ProfitRpt!$A$9,"Trade Month",C91,"Trade Year",B91))</f>
        <v/>
      </c>
      <c r="I91" s="42" t="str">
        <f t="shared" si="8"/>
        <v/>
      </c>
      <c r="J91" s="43" t="str">
        <f t="shared" si="9"/>
        <v/>
      </c>
      <c r="K91" s="44" t="str">
        <f t="shared" si="10"/>
        <v/>
      </c>
      <c r="L91" s="44" t="str">
        <f t="shared" si="11"/>
        <v/>
      </c>
    </row>
    <row r="92" spans="1:12">
      <c r="A92" s="1" t="str">
        <f t="shared" si="12"/>
        <v/>
      </c>
      <c r="F92" s="42" t="str">
        <f t="shared" si="7"/>
        <v/>
      </c>
      <c r="G92" s="42" t="str">
        <f t="shared" si="13"/>
        <v/>
      </c>
      <c r="H92" s="43" t="str">
        <f>IF(C92="","",GETPIVOTDATA("WinPips",ProfitRpt!$A$9,"Trade Month",C92,"Trade Year",B92))</f>
        <v/>
      </c>
      <c r="I92" s="42" t="str">
        <f t="shared" si="8"/>
        <v/>
      </c>
      <c r="J92" s="43" t="str">
        <f t="shared" si="9"/>
        <v/>
      </c>
      <c r="K92" s="44" t="str">
        <f t="shared" si="10"/>
        <v/>
      </c>
      <c r="L92" s="44" t="str">
        <f t="shared" si="11"/>
        <v/>
      </c>
    </row>
    <row r="93" spans="1:12">
      <c r="A93" s="1" t="str">
        <f t="shared" si="12"/>
        <v/>
      </c>
      <c r="F93" s="42" t="str">
        <f t="shared" si="7"/>
        <v/>
      </c>
      <c r="G93" s="42" t="str">
        <f t="shared" si="13"/>
        <v/>
      </c>
      <c r="H93" s="43" t="str">
        <f>IF(C93="","",GETPIVOTDATA("WinPips",ProfitRpt!$A$9,"Trade Month",C93,"Trade Year",B93))</f>
        <v/>
      </c>
      <c r="I93" s="42" t="str">
        <f t="shared" si="8"/>
        <v/>
      </c>
      <c r="J93" s="43" t="str">
        <f t="shared" si="9"/>
        <v/>
      </c>
      <c r="K93" s="44" t="str">
        <f t="shared" si="10"/>
        <v/>
      </c>
      <c r="L93" s="44" t="str">
        <f t="shared" si="11"/>
        <v/>
      </c>
    </row>
    <row r="94" spans="1:12">
      <c r="A94" s="1" t="str">
        <f t="shared" si="12"/>
        <v/>
      </c>
      <c r="F94" s="42" t="str">
        <f t="shared" si="7"/>
        <v/>
      </c>
      <c r="G94" s="42" t="str">
        <f t="shared" si="13"/>
        <v/>
      </c>
      <c r="H94" s="43" t="str">
        <f>IF(C94="","",GETPIVOTDATA("WinPips",ProfitRpt!$A$9,"Trade Month",C94,"Trade Year",B94))</f>
        <v/>
      </c>
      <c r="I94" s="42" t="str">
        <f t="shared" si="8"/>
        <v/>
      </c>
      <c r="J94" s="43" t="str">
        <f t="shared" si="9"/>
        <v/>
      </c>
      <c r="K94" s="44" t="str">
        <f t="shared" si="10"/>
        <v/>
      </c>
      <c r="L94" s="44" t="str">
        <f t="shared" si="11"/>
        <v/>
      </c>
    </row>
    <row r="95" spans="1:12">
      <c r="A95" s="1" t="str">
        <f t="shared" si="12"/>
        <v/>
      </c>
      <c r="F95" s="42" t="str">
        <f t="shared" si="7"/>
        <v/>
      </c>
      <c r="G95" s="42" t="str">
        <f t="shared" si="13"/>
        <v/>
      </c>
      <c r="H95" s="43" t="str">
        <f>IF(C95="","",GETPIVOTDATA("WinPips",ProfitRpt!$A$9,"Trade Month",C95,"Trade Year",B95))</f>
        <v/>
      </c>
      <c r="I95" s="42" t="str">
        <f t="shared" si="8"/>
        <v/>
      </c>
      <c r="J95" s="43" t="str">
        <f t="shared" si="9"/>
        <v/>
      </c>
      <c r="K95" s="44" t="str">
        <f t="shared" si="10"/>
        <v/>
      </c>
      <c r="L95" s="44" t="str">
        <f t="shared" si="11"/>
        <v/>
      </c>
    </row>
    <row r="96" spans="1:12">
      <c r="A96" s="1" t="str">
        <f t="shared" si="12"/>
        <v/>
      </c>
      <c r="F96" s="42" t="str">
        <f t="shared" si="7"/>
        <v/>
      </c>
      <c r="G96" s="42" t="str">
        <f t="shared" si="13"/>
        <v/>
      </c>
      <c r="H96" s="43" t="str">
        <f>IF(C96="","",GETPIVOTDATA("WinPips",ProfitRpt!$A$9,"Trade Month",C96,"Trade Year",B96))</f>
        <v/>
      </c>
      <c r="I96" s="42" t="str">
        <f t="shared" si="8"/>
        <v/>
      </c>
      <c r="J96" s="43" t="str">
        <f t="shared" si="9"/>
        <v/>
      </c>
      <c r="K96" s="44" t="str">
        <f t="shared" si="10"/>
        <v/>
      </c>
      <c r="L96" s="44" t="str">
        <f t="shared" si="11"/>
        <v/>
      </c>
    </row>
    <row r="97" spans="1:12">
      <c r="A97" s="1" t="str">
        <f t="shared" si="12"/>
        <v/>
      </c>
      <c r="F97" s="42" t="str">
        <f t="shared" si="7"/>
        <v/>
      </c>
      <c r="G97" s="42" t="str">
        <f t="shared" si="13"/>
        <v/>
      </c>
      <c r="H97" s="43" t="str">
        <f>IF(C97="","",GETPIVOTDATA("WinPips",ProfitRpt!$A$9,"Trade Month",C97,"Trade Year",B97))</f>
        <v/>
      </c>
      <c r="I97" s="42" t="str">
        <f t="shared" si="8"/>
        <v/>
      </c>
      <c r="J97" s="43" t="str">
        <f t="shared" si="9"/>
        <v/>
      </c>
      <c r="K97" s="44" t="str">
        <f t="shared" si="10"/>
        <v/>
      </c>
      <c r="L97" s="44" t="str">
        <f t="shared" si="11"/>
        <v/>
      </c>
    </row>
    <row r="98" spans="1:12">
      <c r="A98" s="1" t="str">
        <f t="shared" si="12"/>
        <v/>
      </c>
      <c r="F98" s="42" t="str">
        <f t="shared" si="7"/>
        <v/>
      </c>
      <c r="G98" s="42" t="str">
        <f t="shared" si="13"/>
        <v/>
      </c>
      <c r="H98" s="43" t="str">
        <f>IF(C98="","",GETPIVOTDATA("WinPips",ProfitRpt!$A$9,"Trade Month",C98,"Trade Year",B98))</f>
        <v/>
      </c>
      <c r="I98" s="42" t="str">
        <f t="shared" si="8"/>
        <v/>
      </c>
      <c r="J98" s="43" t="str">
        <f t="shared" si="9"/>
        <v/>
      </c>
      <c r="K98" s="44" t="str">
        <f t="shared" si="10"/>
        <v/>
      </c>
      <c r="L98" s="44" t="str">
        <f t="shared" si="11"/>
        <v/>
      </c>
    </row>
    <row r="99" spans="1:12">
      <c r="A99" s="1" t="str">
        <f t="shared" si="12"/>
        <v/>
      </c>
      <c r="F99" s="42" t="str">
        <f t="shared" si="7"/>
        <v/>
      </c>
      <c r="G99" s="42" t="str">
        <f t="shared" si="13"/>
        <v/>
      </c>
      <c r="H99" s="43" t="str">
        <f>IF(C99="","",GETPIVOTDATA("WinPips",ProfitRpt!$A$9,"Trade Month",C99,"Trade Year",B99))</f>
        <v/>
      </c>
      <c r="I99" s="42" t="str">
        <f t="shared" si="8"/>
        <v/>
      </c>
      <c r="J99" s="43" t="str">
        <f t="shared" si="9"/>
        <v/>
      </c>
      <c r="K99" s="44" t="str">
        <f t="shared" si="10"/>
        <v/>
      </c>
      <c r="L99" s="44" t="str">
        <f t="shared" si="11"/>
        <v/>
      </c>
    </row>
    <row r="100" spans="1:12">
      <c r="A100" s="1" t="str">
        <f t="shared" si="12"/>
        <v/>
      </c>
      <c r="F100" s="42" t="str">
        <f t="shared" si="7"/>
        <v/>
      </c>
      <c r="G100" s="42" t="str">
        <f t="shared" si="13"/>
        <v/>
      </c>
      <c r="H100" s="43" t="str">
        <f>IF(C100="","",GETPIVOTDATA("WinPips",ProfitRpt!$A$9,"Trade Month",C100,"Trade Year",B100))</f>
        <v/>
      </c>
      <c r="I100" s="42" t="str">
        <f t="shared" si="8"/>
        <v/>
      </c>
      <c r="J100" s="43" t="str">
        <f t="shared" si="9"/>
        <v/>
      </c>
      <c r="K100" s="44" t="str">
        <f t="shared" si="10"/>
        <v/>
      </c>
      <c r="L100" s="44" t="str">
        <f t="shared" si="11"/>
        <v/>
      </c>
    </row>
    <row r="101" spans="1:12">
      <c r="A101" s="1" t="str">
        <f t="shared" si="12"/>
        <v/>
      </c>
      <c r="F101" s="42" t="str">
        <f t="shared" si="7"/>
        <v/>
      </c>
      <c r="G101" s="42" t="str">
        <f t="shared" si="13"/>
        <v/>
      </c>
      <c r="H101" s="43" t="str">
        <f>IF(C101="","",GETPIVOTDATA("WinPips",ProfitRpt!$A$9,"Trade Month",C101,"Trade Year",B101))</f>
        <v/>
      </c>
      <c r="I101" s="42" t="str">
        <f t="shared" si="8"/>
        <v/>
      </c>
      <c r="J101" s="43" t="str">
        <f t="shared" si="9"/>
        <v/>
      </c>
      <c r="K101" s="44" t="str">
        <f t="shared" si="10"/>
        <v/>
      </c>
      <c r="L101" s="44" t="str">
        <f t="shared" si="11"/>
        <v/>
      </c>
    </row>
    <row r="102" spans="1:12">
      <c r="A102" s="1" t="str">
        <f t="shared" si="12"/>
        <v/>
      </c>
      <c r="F102" s="42" t="str">
        <f t="shared" si="7"/>
        <v/>
      </c>
      <c r="G102" s="42" t="str">
        <f t="shared" si="13"/>
        <v/>
      </c>
      <c r="H102" s="43" t="str">
        <f>IF(C102="","",GETPIVOTDATA("WinPips",ProfitRpt!$A$9,"Trade Month",C102,"Trade Year",B102))</f>
        <v/>
      </c>
      <c r="I102" s="42" t="str">
        <f t="shared" si="8"/>
        <v/>
      </c>
      <c r="J102" s="43" t="str">
        <f t="shared" si="9"/>
        <v/>
      </c>
      <c r="K102" s="44" t="str">
        <f t="shared" si="10"/>
        <v/>
      </c>
      <c r="L102" s="44" t="str">
        <f t="shared" si="11"/>
        <v/>
      </c>
    </row>
    <row r="103" spans="1:12">
      <c r="A103" s="1" t="str">
        <f t="shared" si="12"/>
        <v/>
      </c>
      <c r="F103" s="42" t="str">
        <f t="shared" si="7"/>
        <v/>
      </c>
      <c r="G103" s="42" t="str">
        <f t="shared" si="13"/>
        <v/>
      </c>
      <c r="H103" s="43" t="str">
        <f>IF(C103="","",GETPIVOTDATA("WinPips",ProfitRpt!$A$9,"Trade Month",C103,"Trade Year",B103))</f>
        <v/>
      </c>
      <c r="I103" s="42" t="str">
        <f t="shared" si="8"/>
        <v/>
      </c>
      <c r="J103" s="43" t="str">
        <f t="shared" si="9"/>
        <v/>
      </c>
      <c r="K103" s="44" t="str">
        <f t="shared" si="10"/>
        <v/>
      </c>
      <c r="L103" s="44" t="str">
        <f t="shared" si="11"/>
        <v/>
      </c>
    </row>
    <row r="104" spans="1:12">
      <c r="A104" s="1" t="str">
        <f t="shared" si="12"/>
        <v/>
      </c>
      <c r="F104" s="42" t="str">
        <f t="shared" si="7"/>
        <v/>
      </c>
      <c r="G104" s="42" t="str">
        <f t="shared" si="13"/>
        <v/>
      </c>
      <c r="H104" s="43" t="str">
        <f>IF(C104="","",GETPIVOTDATA("WinPips",ProfitRpt!$A$9,"Trade Month",C104,"Trade Year",B104))</f>
        <v/>
      </c>
      <c r="I104" s="42" t="str">
        <f t="shared" si="8"/>
        <v/>
      </c>
      <c r="J104" s="43" t="str">
        <f t="shared" si="9"/>
        <v/>
      </c>
      <c r="K104" s="44" t="str">
        <f t="shared" si="10"/>
        <v/>
      </c>
      <c r="L104" s="44" t="str">
        <f t="shared" si="11"/>
        <v/>
      </c>
    </row>
    <row r="105" spans="1:12">
      <c r="A105" s="1" t="str">
        <f t="shared" si="12"/>
        <v/>
      </c>
      <c r="F105" s="42" t="str">
        <f t="shared" si="7"/>
        <v/>
      </c>
      <c r="G105" s="42" t="str">
        <f t="shared" si="13"/>
        <v/>
      </c>
      <c r="H105" s="43" t="str">
        <f>IF(C105="","",GETPIVOTDATA("WinPips",ProfitRpt!$A$9,"Trade Month",C105,"Trade Year",B105))</f>
        <v/>
      </c>
      <c r="I105" s="42" t="str">
        <f t="shared" si="8"/>
        <v/>
      </c>
      <c r="J105" s="43" t="str">
        <f t="shared" si="9"/>
        <v/>
      </c>
      <c r="K105" s="44" t="str">
        <f t="shared" si="10"/>
        <v/>
      </c>
      <c r="L105" s="44" t="str">
        <f t="shared" si="11"/>
        <v/>
      </c>
    </row>
    <row r="106" spans="1:12">
      <c r="A106" s="1" t="str">
        <f t="shared" si="12"/>
        <v/>
      </c>
      <c r="F106" s="42" t="str">
        <f t="shared" si="7"/>
        <v/>
      </c>
      <c r="G106" s="42" t="str">
        <f t="shared" si="13"/>
        <v/>
      </c>
      <c r="H106" s="43" t="str">
        <f>IF(C106="","",GETPIVOTDATA("WinPips",ProfitRpt!$A$9,"Trade Month",C106,"Trade Year",B106))</f>
        <v/>
      </c>
      <c r="I106" s="42" t="str">
        <f t="shared" si="8"/>
        <v/>
      </c>
      <c r="J106" s="43" t="str">
        <f t="shared" si="9"/>
        <v/>
      </c>
      <c r="K106" s="44" t="str">
        <f t="shared" si="10"/>
        <v/>
      </c>
      <c r="L106" s="44" t="str">
        <f t="shared" si="11"/>
        <v/>
      </c>
    </row>
    <row r="107" spans="1:12">
      <c r="A107" s="1" t="str">
        <f t="shared" si="12"/>
        <v/>
      </c>
      <c r="F107" s="42" t="str">
        <f t="shared" si="7"/>
        <v/>
      </c>
      <c r="G107" s="42" t="str">
        <f t="shared" si="13"/>
        <v/>
      </c>
      <c r="H107" s="43" t="str">
        <f>IF(C107="","",GETPIVOTDATA("WinPips",ProfitRpt!$A$9,"Trade Month",C107,"Trade Year",B107))</f>
        <v/>
      </c>
      <c r="I107" s="42" t="str">
        <f t="shared" si="8"/>
        <v/>
      </c>
      <c r="J107" s="43" t="str">
        <f t="shared" si="9"/>
        <v/>
      </c>
      <c r="K107" s="44" t="str">
        <f t="shared" si="10"/>
        <v/>
      </c>
      <c r="L107" s="44" t="str">
        <f t="shared" si="11"/>
        <v/>
      </c>
    </row>
    <row r="108" spans="1:12">
      <c r="A108" s="1" t="str">
        <f t="shared" si="12"/>
        <v/>
      </c>
      <c r="F108" s="42" t="str">
        <f t="shared" si="7"/>
        <v/>
      </c>
      <c r="G108" s="42" t="str">
        <f t="shared" si="13"/>
        <v/>
      </c>
      <c r="H108" s="43" t="str">
        <f>IF(C108="","",GETPIVOTDATA("WinPips",ProfitRpt!$A$9,"Trade Month",C108,"Trade Year",B108))</f>
        <v/>
      </c>
      <c r="I108" s="42" t="str">
        <f t="shared" si="8"/>
        <v/>
      </c>
      <c r="J108" s="43" t="str">
        <f t="shared" si="9"/>
        <v/>
      </c>
      <c r="K108" s="44" t="str">
        <f t="shared" si="10"/>
        <v/>
      </c>
      <c r="L108" s="44" t="str">
        <f t="shared" si="11"/>
        <v/>
      </c>
    </row>
    <row r="109" spans="1:12">
      <c r="A109" s="1" t="str">
        <f t="shared" si="12"/>
        <v/>
      </c>
      <c r="F109" s="42" t="str">
        <f t="shared" si="7"/>
        <v/>
      </c>
      <c r="G109" s="42" t="str">
        <f t="shared" si="13"/>
        <v/>
      </c>
      <c r="H109" s="43" t="str">
        <f>IF(C109="","",GETPIVOTDATA("WinPips",ProfitRpt!$A$9,"Trade Month",C109,"Trade Year",B109))</f>
        <v/>
      </c>
      <c r="I109" s="42" t="str">
        <f t="shared" si="8"/>
        <v/>
      </c>
      <c r="J109" s="43" t="str">
        <f t="shared" si="9"/>
        <v/>
      </c>
      <c r="K109" s="44" t="str">
        <f t="shared" si="10"/>
        <v/>
      </c>
      <c r="L109" s="44" t="str">
        <f t="shared" si="11"/>
        <v/>
      </c>
    </row>
    <row r="110" spans="1:12">
      <c r="A110" s="1" t="str">
        <f t="shared" si="12"/>
        <v/>
      </c>
      <c r="F110" s="42" t="str">
        <f t="shared" si="7"/>
        <v/>
      </c>
      <c r="G110" s="42" t="str">
        <f t="shared" si="13"/>
        <v/>
      </c>
      <c r="H110" s="43" t="str">
        <f>IF(C110="","",GETPIVOTDATA("WinPips",ProfitRpt!$A$9,"Trade Month",C110,"Trade Year",B110))</f>
        <v/>
      </c>
      <c r="I110" s="42" t="str">
        <f t="shared" si="8"/>
        <v/>
      </c>
      <c r="J110" s="43" t="str">
        <f t="shared" si="9"/>
        <v/>
      </c>
      <c r="K110" s="44" t="str">
        <f t="shared" si="10"/>
        <v/>
      </c>
      <c r="L110" s="44" t="str">
        <f t="shared" si="11"/>
        <v/>
      </c>
    </row>
    <row r="111" spans="1:12">
      <c r="A111" s="1" t="str">
        <f t="shared" si="12"/>
        <v/>
      </c>
      <c r="F111" s="42" t="str">
        <f t="shared" si="7"/>
        <v/>
      </c>
      <c r="G111" s="42" t="str">
        <f t="shared" si="13"/>
        <v/>
      </c>
      <c r="H111" s="43" t="str">
        <f>IF(C111="","",GETPIVOTDATA("WinPips",ProfitRpt!$A$9,"Trade Month",C111,"Trade Year",B111))</f>
        <v/>
      </c>
      <c r="I111" s="42" t="str">
        <f t="shared" si="8"/>
        <v/>
      </c>
      <c r="J111" s="43" t="str">
        <f t="shared" si="9"/>
        <v/>
      </c>
      <c r="K111" s="44" t="str">
        <f t="shared" si="10"/>
        <v/>
      </c>
      <c r="L111" s="44" t="str">
        <f t="shared" si="11"/>
        <v/>
      </c>
    </row>
    <row r="112" spans="1:12">
      <c r="A112" s="1" t="str">
        <f t="shared" si="12"/>
        <v/>
      </c>
      <c r="F112" s="42" t="str">
        <f t="shared" si="7"/>
        <v/>
      </c>
      <c r="G112" s="42" t="str">
        <f t="shared" si="13"/>
        <v/>
      </c>
      <c r="H112" s="43" t="str">
        <f>IF(C112="","",GETPIVOTDATA("WinPips",ProfitRpt!$A$9,"Trade Month",C112,"Trade Year",B112))</f>
        <v/>
      </c>
      <c r="I112" s="42" t="str">
        <f t="shared" si="8"/>
        <v/>
      </c>
      <c r="J112" s="43" t="str">
        <f t="shared" si="9"/>
        <v/>
      </c>
      <c r="K112" s="44" t="str">
        <f t="shared" si="10"/>
        <v/>
      </c>
      <c r="L112" s="44" t="str">
        <f t="shared" si="11"/>
        <v/>
      </c>
    </row>
    <row r="113" spans="1:12">
      <c r="A113" s="1" t="str">
        <f t="shared" si="12"/>
        <v/>
      </c>
      <c r="F113" s="42" t="str">
        <f t="shared" si="7"/>
        <v/>
      </c>
      <c r="G113" s="42" t="str">
        <f t="shared" si="13"/>
        <v/>
      </c>
      <c r="H113" s="43" t="str">
        <f>IF(C113="","",GETPIVOTDATA("WinPips",ProfitRpt!$A$9,"Trade Month",C113,"Trade Year",B113))</f>
        <v/>
      </c>
      <c r="I113" s="42" t="str">
        <f t="shared" si="8"/>
        <v/>
      </c>
      <c r="J113" s="43" t="str">
        <f t="shared" si="9"/>
        <v/>
      </c>
      <c r="K113" s="44" t="str">
        <f t="shared" si="10"/>
        <v/>
      </c>
      <c r="L113" s="44" t="str">
        <f t="shared" si="11"/>
        <v/>
      </c>
    </row>
    <row r="114" spans="1:12">
      <c r="A114" s="1" t="str">
        <f t="shared" si="12"/>
        <v/>
      </c>
      <c r="F114" s="42" t="str">
        <f t="shared" si="7"/>
        <v/>
      </c>
      <c r="G114" s="42" t="str">
        <f t="shared" si="13"/>
        <v/>
      </c>
      <c r="H114" s="43" t="str">
        <f>IF(C114="","",GETPIVOTDATA("WinPips",ProfitRpt!$A$9,"Trade Month",C114,"Trade Year",B114))</f>
        <v/>
      </c>
      <c r="I114" s="42" t="str">
        <f t="shared" si="8"/>
        <v/>
      </c>
      <c r="J114" s="43" t="str">
        <f t="shared" si="9"/>
        <v/>
      </c>
      <c r="K114" s="44" t="str">
        <f t="shared" si="10"/>
        <v/>
      </c>
      <c r="L114" s="44" t="str">
        <f t="shared" si="11"/>
        <v/>
      </c>
    </row>
    <row r="115" spans="1:12">
      <c r="A115" s="1" t="str">
        <f t="shared" si="12"/>
        <v/>
      </c>
      <c r="F115" s="42" t="str">
        <f t="shared" si="7"/>
        <v/>
      </c>
      <c r="G115" s="42" t="str">
        <f t="shared" si="13"/>
        <v/>
      </c>
      <c r="H115" s="43" t="str">
        <f>IF(C115="","",GETPIVOTDATA("WinPips",ProfitRpt!$A$9,"Trade Month",C115,"Trade Year",B115))</f>
        <v/>
      </c>
      <c r="I115" s="42" t="str">
        <f t="shared" si="8"/>
        <v/>
      </c>
      <c r="J115" s="43" t="str">
        <f t="shared" si="9"/>
        <v/>
      </c>
      <c r="K115" s="44" t="str">
        <f t="shared" si="10"/>
        <v/>
      </c>
      <c r="L115" s="44" t="str">
        <f t="shared" si="11"/>
        <v/>
      </c>
    </row>
    <row r="116" spans="1:12">
      <c r="A116" s="1" t="str">
        <f t="shared" si="12"/>
        <v/>
      </c>
      <c r="F116" s="42" t="str">
        <f t="shared" si="7"/>
        <v/>
      </c>
      <c r="G116" s="42" t="str">
        <f t="shared" si="13"/>
        <v/>
      </c>
      <c r="H116" s="43" t="str">
        <f>IF(C116="","",GETPIVOTDATA("WinPips",ProfitRpt!$A$9,"Trade Month",C116,"Trade Year",B116))</f>
        <v/>
      </c>
      <c r="I116" s="42" t="str">
        <f t="shared" si="8"/>
        <v/>
      </c>
      <c r="J116" s="43" t="str">
        <f t="shared" si="9"/>
        <v/>
      </c>
      <c r="K116" s="44" t="str">
        <f t="shared" si="10"/>
        <v/>
      </c>
      <c r="L116" s="44" t="str">
        <f t="shared" si="11"/>
        <v/>
      </c>
    </row>
    <row r="117" spans="1:12">
      <c r="A117" s="1" t="str">
        <f t="shared" si="12"/>
        <v/>
      </c>
      <c r="F117" s="42" t="str">
        <f t="shared" si="7"/>
        <v/>
      </c>
      <c r="G117" s="42" t="str">
        <f t="shared" si="13"/>
        <v/>
      </c>
      <c r="H117" s="43" t="str">
        <f>IF(C117="","",GETPIVOTDATA("WinPips",ProfitRpt!$A$9,"Trade Month",C117,"Trade Year",B117))</f>
        <v/>
      </c>
      <c r="I117" s="42" t="str">
        <f t="shared" si="8"/>
        <v/>
      </c>
      <c r="J117" s="43" t="str">
        <f t="shared" si="9"/>
        <v/>
      </c>
      <c r="K117" s="44" t="str">
        <f t="shared" si="10"/>
        <v/>
      </c>
      <c r="L117" s="44" t="str">
        <f t="shared" si="11"/>
        <v/>
      </c>
    </row>
    <row r="118" spans="1:12">
      <c r="A118" s="1" t="str">
        <f t="shared" si="12"/>
        <v/>
      </c>
      <c r="F118" s="42" t="str">
        <f t="shared" si="7"/>
        <v/>
      </c>
      <c r="G118" s="42" t="str">
        <f t="shared" si="13"/>
        <v/>
      </c>
      <c r="H118" s="43" t="str">
        <f>IF(C118="","",GETPIVOTDATA("WinPips",ProfitRpt!$A$9,"Trade Month",C118,"Trade Year",B118))</f>
        <v/>
      </c>
      <c r="I118" s="42" t="str">
        <f t="shared" si="8"/>
        <v/>
      </c>
      <c r="J118" s="43" t="str">
        <f t="shared" si="9"/>
        <v/>
      </c>
      <c r="K118" s="44" t="str">
        <f t="shared" si="10"/>
        <v/>
      </c>
      <c r="L118" s="44" t="str">
        <f t="shared" si="11"/>
        <v/>
      </c>
    </row>
    <row r="119" spans="1:12">
      <c r="A119" s="1" t="str">
        <f t="shared" si="12"/>
        <v/>
      </c>
      <c r="F119" s="42" t="str">
        <f t="shared" si="7"/>
        <v/>
      </c>
      <c r="G119" s="42" t="str">
        <f t="shared" si="13"/>
        <v/>
      </c>
      <c r="H119" s="43" t="str">
        <f>IF(C119="","",GETPIVOTDATA("WinPips",ProfitRpt!$A$9,"Trade Month",C119,"Trade Year",B119))</f>
        <v/>
      </c>
      <c r="I119" s="42" t="str">
        <f t="shared" si="8"/>
        <v/>
      </c>
      <c r="J119" s="43" t="str">
        <f t="shared" si="9"/>
        <v/>
      </c>
      <c r="K119" s="44" t="str">
        <f t="shared" si="10"/>
        <v/>
      </c>
      <c r="L119" s="44" t="str">
        <f t="shared" si="11"/>
        <v/>
      </c>
    </row>
    <row r="120" spans="1:12">
      <c r="A120" s="1" t="str">
        <f t="shared" si="12"/>
        <v/>
      </c>
      <c r="F120" s="42" t="str">
        <f t="shared" si="7"/>
        <v/>
      </c>
      <c r="G120" s="42" t="str">
        <f t="shared" si="13"/>
        <v/>
      </c>
      <c r="H120" s="43" t="str">
        <f>IF(C120="","",GETPIVOTDATA("WinPips",ProfitRpt!$A$9,"Trade Month",C120,"Trade Year",B120))</f>
        <v/>
      </c>
      <c r="I120" s="42" t="str">
        <f t="shared" si="8"/>
        <v/>
      </c>
      <c r="J120" s="43" t="str">
        <f t="shared" si="9"/>
        <v/>
      </c>
      <c r="K120" s="44" t="str">
        <f t="shared" si="10"/>
        <v/>
      </c>
      <c r="L120" s="44" t="str">
        <f t="shared" si="11"/>
        <v/>
      </c>
    </row>
    <row r="121" spans="1:12">
      <c r="A121" s="1" t="str">
        <f t="shared" si="12"/>
        <v/>
      </c>
      <c r="F121" s="42" t="str">
        <f t="shared" si="7"/>
        <v/>
      </c>
      <c r="G121" s="42" t="str">
        <f t="shared" si="13"/>
        <v/>
      </c>
      <c r="H121" s="43" t="str">
        <f>IF(C121="","",GETPIVOTDATA("WinPips",ProfitRpt!$A$9,"Trade Month",C121,"Trade Year",B121))</f>
        <v/>
      </c>
      <c r="I121" s="42" t="str">
        <f t="shared" si="8"/>
        <v/>
      </c>
      <c r="J121" s="43" t="str">
        <f t="shared" si="9"/>
        <v/>
      </c>
      <c r="K121" s="44" t="str">
        <f t="shared" si="10"/>
        <v/>
      </c>
      <c r="L121" s="44" t="str">
        <f t="shared" si="11"/>
        <v/>
      </c>
    </row>
    <row r="122" spans="1:12">
      <c r="A122" s="1" t="str">
        <f t="shared" si="12"/>
        <v/>
      </c>
      <c r="F122" s="42" t="str">
        <f t="shared" si="7"/>
        <v/>
      </c>
      <c r="G122" s="42" t="str">
        <f t="shared" si="13"/>
        <v/>
      </c>
      <c r="H122" s="43" t="str">
        <f>IF(C122="","",GETPIVOTDATA("WinPips",ProfitRpt!$A$9,"Trade Month",C122,"Trade Year",B122))</f>
        <v/>
      </c>
      <c r="I122" s="42" t="str">
        <f t="shared" si="8"/>
        <v/>
      </c>
      <c r="J122" s="43" t="str">
        <f t="shared" si="9"/>
        <v/>
      </c>
      <c r="K122" s="44" t="str">
        <f t="shared" si="10"/>
        <v/>
      </c>
      <c r="L122" s="44" t="str">
        <f t="shared" si="11"/>
        <v/>
      </c>
    </row>
    <row r="123" spans="1:12">
      <c r="A123" s="1" t="str">
        <f t="shared" si="12"/>
        <v/>
      </c>
      <c r="F123" s="42" t="str">
        <f t="shared" si="7"/>
        <v/>
      </c>
      <c r="G123" s="42" t="str">
        <f t="shared" si="13"/>
        <v/>
      </c>
      <c r="H123" s="43" t="str">
        <f>IF(C123="","",GETPIVOTDATA("WinPips",ProfitRpt!$A$9,"Trade Month",C123,"Trade Year",B123))</f>
        <v/>
      </c>
      <c r="I123" s="42" t="str">
        <f t="shared" si="8"/>
        <v/>
      </c>
      <c r="J123" s="43" t="str">
        <f t="shared" si="9"/>
        <v/>
      </c>
      <c r="K123" s="44" t="str">
        <f t="shared" si="10"/>
        <v/>
      </c>
      <c r="L123" s="44" t="str">
        <f t="shared" si="11"/>
        <v/>
      </c>
    </row>
    <row r="124" spans="1:12">
      <c r="A124" s="1" t="str">
        <f t="shared" si="12"/>
        <v/>
      </c>
      <c r="F124" s="42" t="str">
        <f t="shared" si="7"/>
        <v/>
      </c>
      <c r="G124" s="42" t="str">
        <f t="shared" si="13"/>
        <v/>
      </c>
      <c r="H124" s="43" t="str">
        <f>IF(C124="","",GETPIVOTDATA("WinPips",ProfitRpt!$A$9,"Trade Month",C124,"Trade Year",B124))</f>
        <v/>
      </c>
      <c r="I124" s="42" t="str">
        <f t="shared" si="8"/>
        <v/>
      </c>
      <c r="J124" s="43" t="str">
        <f t="shared" si="9"/>
        <v/>
      </c>
      <c r="K124" s="44" t="str">
        <f t="shared" si="10"/>
        <v/>
      </c>
      <c r="L124" s="44" t="str">
        <f t="shared" si="11"/>
        <v/>
      </c>
    </row>
    <row r="125" spans="1:12">
      <c r="A125" s="1" t="str">
        <f t="shared" si="12"/>
        <v/>
      </c>
      <c r="F125" s="42" t="str">
        <f t="shared" si="7"/>
        <v/>
      </c>
      <c r="G125" s="42" t="str">
        <f t="shared" si="13"/>
        <v/>
      </c>
      <c r="H125" s="43" t="str">
        <f>IF(C125="","",GETPIVOTDATA("WinPips",ProfitRpt!$A$9,"Trade Month",C125,"Trade Year",B125))</f>
        <v/>
      </c>
      <c r="I125" s="42" t="str">
        <f t="shared" si="8"/>
        <v/>
      </c>
      <c r="J125" s="43" t="str">
        <f t="shared" si="9"/>
        <v/>
      </c>
      <c r="K125" s="44" t="str">
        <f t="shared" si="10"/>
        <v/>
      </c>
      <c r="L125" s="44" t="str">
        <f t="shared" si="11"/>
        <v/>
      </c>
    </row>
    <row r="126" spans="1:12">
      <c r="A126" s="1" t="str">
        <f t="shared" si="12"/>
        <v/>
      </c>
      <c r="F126" s="42" t="str">
        <f t="shared" si="7"/>
        <v/>
      </c>
      <c r="G126" s="42" t="str">
        <f t="shared" si="13"/>
        <v/>
      </c>
      <c r="H126" s="43" t="str">
        <f>IF(C126="","",GETPIVOTDATA("WinPips",ProfitRpt!$A$9,"Trade Month",C126,"Trade Year",B126))</f>
        <v/>
      </c>
      <c r="I126" s="42" t="str">
        <f t="shared" si="8"/>
        <v/>
      </c>
      <c r="J126" s="43" t="str">
        <f t="shared" si="9"/>
        <v/>
      </c>
      <c r="K126" s="44" t="str">
        <f t="shared" si="10"/>
        <v/>
      </c>
      <c r="L126" s="44" t="str">
        <f t="shared" si="11"/>
        <v/>
      </c>
    </row>
    <row r="127" spans="1:12">
      <c r="A127" s="1" t="str">
        <f t="shared" si="12"/>
        <v/>
      </c>
      <c r="F127" s="42" t="str">
        <f t="shared" si="7"/>
        <v/>
      </c>
      <c r="G127" s="42" t="str">
        <f t="shared" si="13"/>
        <v/>
      </c>
      <c r="H127" s="43" t="str">
        <f>IF(C127="","",GETPIVOTDATA("WinPips",ProfitRpt!$A$9,"Trade Month",C127,"Trade Year",B127))</f>
        <v/>
      </c>
      <c r="I127" s="42" t="str">
        <f t="shared" si="8"/>
        <v/>
      </c>
      <c r="J127" s="43" t="str">
        <f t="shared" si="9"/>
        <v/>
      </c>
      <c r="K127" s="44" t="str">
        <f t="shared" si="10"/>
        <v/>
      </c>
      <c r="L127" s="44" t="str">
        <f t="shared" si="11"/>
        <v/>
      </c>
    </row>
    <row r="128" spans="1:12">
      <c r="A128" s="1" t="str">
        <f t="shared" si="12"/>
        <v/>
      </c>
      <c r="F128" s="42" t="str">
        <f t="shared" si="7"/>
        <v/>
      </c>
      <c r="G128" s="42" t="str">
        <f t="shared" si="13"/>
        <v/>
      </c>
      <c r="H128" s="43" t="str">
        <f>IF(C128="","",GETPIVOTDATA("WinPips",ProfitRpt!$A$9,"Trade Month",C128,"Trade Year",B128))</f>
        <v/>
      </c>
      <c r="I128" s="42" t="str">
        <f t="shared" si="8"/>
        <v/>
      </c>
      <c r="J128" s="43" t="str">
        <f t="shared" si="9"/>
        <v/>
      </c>
      <c r="K128" s="44" t="str">
        <f t="shared" si="10"/>
        <v/>
      </c>
      <c r="L128" s="44" t="str">
        <f t="shared" si="11"/>
        <v/>
      </c>
    </row>
    <row r="129" spans="1:12">
      <c r="A129" s="1" t="str">
        <f t="shared" si="12"/>
        <v/>
      </c>
      <c r="F129" s="42" t="str">
        <f t="shared" si="7"/>
        <v/>
      </c>
      <c r="G129" s="42" t="str">
        <f t="shared" si="13"/>
        <v/>
      </c>
      <c r="H129" s="43" t="str">
        <f>IF(C129="","",GETPIVOTDATA("WinPips",ProfitRpt!$A$9,"Trade Month",C129,"Trade Year",B129))</f>
        <v/>
      </c>
      <c r="I129" s="42" t="str">
        <f t="shared" si="8"/>
        <v/>
      </c>
      <c r="J129" s="43" t="str">
        <f t="shared" si="9"/>
        <v/>
      </c>
      <c r="K129" s="44" t="str">
        <f t="shared" si="10"/>
        <v/>
      </c>
      <c r="L129" s="44" t="str">
        <f t="shared" si="11"/>
        <v/>
      </c>
    </row>
    <row r="130" spans="1:12">
      <c r="A130" s="1" t="str">
        <f t="shared" si="12"/>
        <v/>
      </c>
      <c r="F130" s="42" t="str">
        <f t="shared" si="7"/>
        <v/>
      </c>
      <c r="G130" s="42" t="str">
        <f t="shared" si="13"/>
        <v/>
      </c>
      <c r="H130" s="43" t="str">
        <f>IF(C130="","",GETPIVOTDATA("WinPips",ProfitRpt!$A$9,"Trade Month",C130,"Trade Year",B130))</f>
        <v/>
      </c>
      <c r="I130" s="42" t="str">
        <f t="shared" si="8"/>
        <v/>
      </c>
      <c r="J130" s="43" t="str">
        <f t="shared" si="9"/>
        <v/>
      </c>
      <c r="K130" s="44" t="str">
        <f t="shared" si="10"/>
        <v/>
      </c>
      <c r="L130" s="44" t="str">
        <f t="shared" si="11"/>
        <v/>
      </c>
    </row>
    <row r="131" spans="1:12">
      <c r="A131" s="1" t="str">
        <f t="shared" si="12"/>
        <v/>
      </c>
      <c r="F131" s="42" t="str">
        <f t="shared" si="7"/>
        <v/>
      </c>
      <c r="G131" s="42" t="str">
        <f t="shared" si="13"/>
        <v/>
      </c>
      <c r="H131" s="43" t="str">
        <f>IF(C131="","",GETPIVOTDATA("WinPips",ProfitRpt!$A$9,"Trade Month",C131,"Trade Year",B131))</f>
        <v/>
      </c>
      <c r="I131" s="42" t="str">
        <f t="shared" si="8"/>
        <v/>
      </c>
      <c r="J131" s="43" t="str">
        <f t="shared" si="9"/>
        <v/>
      </c>
      <c r="K131" s="44" t="str">
        <f t="shared" si="10"/>
        <v/>
      </c>
      <c r="L131" s="44" t="str">
        <f t="shared" si="11"/>
        <v/>
      </c>
    </row>
    <row r="132" spans="1:12">
      <c r="A132" s="1" t="str">
        <f t="shared" si="12"/>
        <v/>
      </c>
      <c r="F132" s="42" t="str">
        <f t="shared" si="7"/>
        <v/>
      </c>
      <c r="G132" s="42" t="str">
        <f t="shared" si="13"/>
        <v/>
      </c>
      <c r="H132" s="43" t="str">
        <f>IF(C132="","",GETPIVOTDATA("WinPips",ProfitRpt!$A$9,"Trade Month",C132,"Trade Year",B132))</f>
        <v/>
      </c>
      <c r="I132" s="42" t="str">
        <f t="shared" si="8"/>
        <v/>
      </c>
      <c r="J132" s="43" t="str">
        <f t="shared" si="9"/>
        <v/>
      </c>
      <c r="K132" s="44" t="str">
        <f t="shared" si="10"/>
        <v/>
      </c>
      <c r="L132" s="44" t="str">
        <f t="shared" si="11"/>
        <v/>
      </c>
    </row>
    <row r="133" spans="1:12">
      <c r="A133" s="1" t="str">
        <f t="shared" si="12"/>
        <v/>
      </c>
      <c r="F133" s="42" t="str">
        <f t="shared" si="7"/>
        <v/>
      </c>
      <c r="G133" s="42" t="str">
        <f t="shared" si="13"/>
        <v/>
      </c>
      <c r="H133" s="43" t="str">
        <f>IF(C133="","",GETPIVOTDATA("WinPips",ProfitRpt!$A$9,"Trade Month",C133,"Trade Year",B133))</f>
        <v/>
      </c>
      <c r="I133" s="42" t="str">
        <f t="shared" si="8"/>
        <v/>
      </c>
      <c r="J133" s="43" t="str">
        <f t="shared" si="9"/>
        <v/>
      </c>
      <c r="K133" s="44" t="str">
        <f t="shared" si="10"/>
        <v/>
      </c>
      <c r="L133" s="44" t="str">
        <f t="shared" si="11"/>
        <v/>
      </c>
    </row>
    <row r="134" spans="1:12">
      <c r="A134" s="1" t="str">
        <f t="shared" si="12"/>
        <v/>
      </c>
      <c r="F134" s="42" t="str">
        <f t="shared" si="7"/>
        <v/>
      </c>
      <c r="G134" s="42" t="str">
        <f t="shared" si="13"/>
        <v/>
      </c>
      <c r="H134" s="43" t="str">
        <f>IF(C134="","",GETPIVOTDATA("WinPips",ProfitRpt!$A$9,"Trade Month",C134,"Trade Year",B134))</f>
        <v/>
      </c>
      <c r="I134" s="42" t="str">
        <f t="shared" si="8"/>
        <v/>
      </c>
      <c r="J134" s="43" t="str">
        <f t="shared" si="9"/>
        <v/>
      </c>
      <c r="K134" s="44" t="str">
        <f t="shared" si="10"/>
        <v/>
      </c>
      <c r="L134" s="44" t="str">
        <f t="shared" si="11"/>
        <v/>
      </c>
    </row>
    <row r="135" spans="1:12">
      <c r="A135" s="1" t="str">
        <f t="shared" si="12"/>
        <v/>
      </c>
      <c r="F135" s="42" t="str">
        <f t="shared" ref="F135:F198" si="14">IF(G135="","",E135+G135)</f>
        <v/>
      </c>
      <c r="G135" s="42" t="str">
        <f t="shared" si="13"/>
        <v/>
      </c>
      <c r="H135" s="43" t="str">
        <f>IF(C135="","",GETPIVOTDATA("WinPips",ProfitRpt!$A$9,"Trade Month",C135,"Trade Year",B135))</f>
        <v/>
      </c>
      <c r="I135" s="42" t="str">
        <f t="shared" ref="I135:I198" si="15">IF(B135="","",IF(B135=B134,I134+G135,G135))</f>
        <v/>
      </c>
      <c r="J135" s="43" t="str">
        <f t="shared" ref="J135:J198" si="16">IF(B135="","",IF(B134=B135,J134+H135,H135))</f>
        <v/>
      </c>
      <c r="K135" s="44" t="str">
        <f t="shared" ref="K135:K198" si="17">IF(F135="","",IF(E135="","",(F135-E135)/E135))</f>
        <v/>
      </c>
      <c r="L135" s="44" t="str">
        <f t="shared" ref="L135:L198" si="18">IF(I135="","",IF(D135="","",I135/D135) )</f>
        <v/>
      </c>
    </row>
    <row r="136" spans="1:12">
      <c r="A136" s="1" t="str">
        <f t="shared" ref="A136:A199" si="19">IF(C136="","",A135+1)</f>
        <v/>
      </c>
      <c r="F136" s="42" t="str">
        <f t="shared" si="14"/>
        <v/>
      </c>
      <c r="G136" s="42" t="str">
        <f t="shared" ref="G136:G199" si="20">IF(C136="","",H136/10)</f>
        <v/>
      </c>
      <c r="H136" s="43" t="str">
        <f>IF(C136="","",GETPIVOTDATA("WinPips",ProfitRpt!$A$9,"Trade Month",C136,"Trade Year",B136))</f>
        <v/>
      </c>
      <c r="I136" s="42" t="str">
        <f t="shared" si="15"/>
        <v/>
      </c>
      <c r="J136" s="43" t="str">
        <f t="shared" si="16"/>
        <v/>
      </c>
      <c r="K136" s="44" t="str">
        <f t="shared" si="17"/>
        <v/>
      </c>
      <c r="L136" s="44" t="str">
        <f t="shared" si="18"/>
        <v/>
      </c>
    </row>
    <row r="137" spans="1:12">
      <c r="A137" s="1" t="str">
        <f t="shared" si="19"/>
        <v/>
      </c>
      <c r="F137" s="42" t="str">
        <f t="shared" si="14"/>
        <v/>
      </c>
      <c r="G137" s="42" t="str">
        <f t="shared" si="20"/>
        <v/>
      </c>
      <c r="H137" s="43" t="str">
        <f>IF(C137="","",GETPIVOTDATA("WinPips",ProfitRpt!$A$9,"Trade Month",C137,"Trade Year",B137))</f>
        <v/>
      </c>
      <c r="I137" s="42" t="str">
        <f t="shared" si="15"/>
        <v/>
      </c>
      <c r="J137" s="43" t="str">
        <f t="shared" si="16"/>
        <v/>
      </c>
      <c r="K137" s="44" t="str">
        <f t="shared" si="17"/>
        <v/>
      </c>
      <c r="L137" s="44" t="str">
        <f t="shared" si="18"/>
        <v/>
      </c>
    </row>
    <row r="138" spans="1:12">
      <c r="A138" s="1" t="str">
        <f t="shared" si="19"/>
        <v/>
      </c>
      <c r="F138" s="42" t="str">
        <f t="shared" si="14"/>
        <v/>
      </c>
      <c r="G138" s="42" t="str">
        <f t="shared" si="20"/>
        <v/>
      </c>
      <c r="H138" s="43" t="str">
        <f>IF(C138="","",GETPIVOTDATA("WinPips",ProfitRpt!$A$9,"Trade Month",C138,"Trade Year",B138))</f>
        <v/>
      </c>
      <c r="I138" s="42" t="str">
        <f t="shared" si="15"/>
        <v/>
      </c>
      <c r="J138" s="43" t="str">
        <f t="shared" si="16"/>
        <v/>
      </c>
      <c r="K138" s="44" t="str">
        <f t="shared" si="17"/>
        <v/>
      </c>
      <c r="L138" s="44" t="str">
        <f t="shared" si="18"/>
        <v/>
      </c>
    </row>
    <row r="139" spans="1:12">
      <c r="A139" s="1" t="str">
        <f t="shared" si="19"/>
        <v/>
      </c>
      <c r="F139" s="42" t="str">
        <f t="shared" si="14"/>
        <v/>
      </c>
      <c r="G139" s="42" t="str">
        <f t="shared" si="20"/>
        <v/>
      </c>
      <c r="H139" s="43" t="str">
        <f>IF(C139="","",GETPIVOTDATA("WinPips",ProfitRpt!$A$9,"Trade Month",C139,"Trade Year",B139))</f>
        <v/>
      </c>
      <c r="I139" s="42" t="str">
        <f t="shared" si="15"/>
        <v/>
      </c>
      <c r="J139" s="43" t="str">
        <f t="shared" si="16"/>
        <v/>
      </c>
      <c r="K139" s="44" t="str">
        <f t="shared" si="17"/>
        <v/>
      </c>
      <c r="L139" s="44" t="str">
        <f t="shared" si="18"/>
        <v/>
      </c>
    </row>
    <row r="140" spans="1:12">
      <c r="A140" s="1" t="str">
        <f t="shared" si="19"/>
        <v/>
      </c>
      <c r="F140" s="42" t="str">
        <f t="shared" si="14"/>
        <v/>
      </c>
      <c r="G140" s="42" t="str">
        <f t="shared" si="20"/>
        <v/>
      </c>
      <c r="H140" s="43" t="str">
        <f>IF(C140="","",GETPIVOTDATA("WinPips",ProfitRpt!$A$9,"Trade Month",C140,"Trade Year",B140))</f>
        <v/>
      </c>
      <c r="I140" s="42" t="str">
        <f t="shared" si="15"/>
        <v/>
      </c>
      <c r="J140" s="43" t="str">
        <f t="shared" si="16"/>
        <v/>
      </c>
      <c r="K140" s="44" t="str">
        <f t="shared" si="17"/>
        <v/>
      </c>
      <c r="L140" s="44" t="str">
        <f t="shared" si="18"/>
        <v/>
      </c>
    </row>
    <row r="141" spans="1:12">
      <c r="A141" s="1" t="str">
        <f t="shared" si="19"/>
        <v/>
      </c>
      <c r="F141" s="42" t="str">
        <f t="shared" si="14"/>
        <v/>
      </c>
      <c r="G141" s="42" t="str">
        <f t="shared" si="20"/>
        <v/>
      </c>
      <c r="H141" s="43" t="str">
        <f>IF(C141="","",GETPIVOTDATA("WinPips",ProfitRpt!$A$9,"Trade Month",C141,"Trade Year",B141))</f>
        <v/>
      </c>
      <c r="I141" s="42" t="str">
        <f t="shared" si="15"/>
        <v/>
      </c>
      <c r="J141" s="43" t="str">
        <f t="shared" si="16"/>
        <v/>
      </c>
      <c r="K141" s="44" t="str">
        <f t="shared" si="17"/>
        <v/>
      </c>
      <c r="L141" s="44" t="str">
        <f t="shared" si="18"/>
        <v/>
      </c>
    </row>
    <row r="142" spans="1:12">
      <c r="A142" s="1" t="str">
        <f t="shared" si="19"/>
        <v/>
      </c>
      <c r="F142" s="42" t="str">
        <f t="shared" si="14"/>
        <v/>
      </c>
      <c r="G142" s="42" t="str">
        <f t="shared" si="20"/>
        <v/>
      </c>
      <c r="H142" s="43" t="str">
        <f>IF(C142="","",GETPIVOTDATA("WinPips",ProfitRpt!$A$9,"Trade Month",C142,"Trade Year",B142))</f>
        <v/>
      </c>
      <c r="I142" s="42" t="str">
        <f t="shared" si="15"/>
        <v/>
      </c>
      <c r="J142" s="43" t="str">
        <f t="shared" si="16"/>
        <v/>
      </c>
      <c r="K142" s="44" t="str">
        <f t="shared" si="17"/>
        <v/>
      </c>
      <c r="L142" s="44" t="str">
        <f t="shared" si="18"/>
        <v/>
      </c>
    </row>
    <row r="143" spans="1:12">
      <c r="A143" s="1" t="str">
        <f t="shared" si="19"/>
        <v/>
      </c>
      <c r="F143" s="42" t="str">
        <f t="shared" si="14"/>
        <v/>
      </c>
      <c r="G143" s="42" t="str">
        <f t="shared" si="20"/>
        <v/>
      </c>
      <c r="H143" s="43" t="str">
        <f>IF(C143="","",GETPIVOTDATA("WinPips",ProfitRpt!$A$9,"Trade Month",C143,"Trade Year",B143))</f>
        <v/>
      </c>
      <c r="I143" s="42" t="str">
        <f t="shared" si="15"/>
        <v/>
      </c>
      <c r="J143" s="43" t="str">
        <f t="shared" si="16"/>
        <v/>
      </c>
      <c r="K143" s="44" t="str">
        <f t="shared" si="17"/>
        <v/>
      </c>
      <c r="L143" s="44" t="str">
        <f t="shared" si="18"/>
        <v/>
      </c>
    </row>
    <row r="144" spans="1:12">
      <c r="A144" s="1" t="str">
        <f t="shared" si="19"/>
        <v/>
      </c>
      <c r="F144" s="42" t="str">
        <f t="shared" si="14"/>
        <v/>
      </c>
      <c r="G144" s="42" t="str">
        <f t="shared" si="20"/>
        <v/>
      </c>
      <c r="H144" s="43" t="str">
        <f>IF(C144="","",GETPIVOTDATA("WinPips",ProfitRpt!$A$9,"Trade Month",C144,"Trade Year",B144))</f>
        <v/>
      </c>
      <c r="I144" s="42" t="str">
        <f t="shared" si="15"/>
        <v/>
      </c>
      <c r="J144" s="43" t="str">
        <f t="shared" si="16"/>
        <v/>
      </c>
      <c r="K144" s="44" t="str">
        <f t="shared" si="17"/>
        <v/>
      </c>
      <c r="L144" s="44" t="str">
        <f t="shared" si="18"/>
        <v/>
      </c>
    </row>
    <row r="145" spans="1:12">
      <c r="A145" s="1" t="str">
        <f t="shared" si="19"/>
        <v/>
      </c>
      <c r="F145" s="42" t="str">
        <f t="shared" si="14"/>
        <v/>
      </c>
      <c r="G145" s="42" t="str">
        <f t="shared" si="20"/>
        <v/>
      </c>
      <c r="H145" s="43" t="str">
        <f>IF(C145="","",GETPIVOTDATA("WinPips",ProfitRpt!$A$9,"Trade Month",C145,"Trade Year",B145))</f>
        <v/>
      </c>
      <c r="I145" s="42" t="str">
        <f t="shared" si="15"/>
        <v/>
      </c>
      <c r="J145" s="43" t="str">
        <f t="shared" si="16"/>
        <v/>
      </c>
      <c r="K145" s="44" t="str">
        <f t="shared" si="17"/>
        <v/>
      </c>
      <c r="L145" s="44" t="str">
        <f t="shared" si="18"/>
        <v/>
      </c>
    </row>
    <row r="146" spans="1:12">
      <c r="A146" s="1" t="str">
        <f t="shared" si="19"/>
        <v/>
      </c>
      <c r="F146" s="42" t="str">
        <f t="shared" si="14"/>
        <v/>
      </c>
      <c r="G146" s="42" t="str">
        <f t="shared" si="20"/>
        <v/>
      </c>
      <c r="H146" s="43" t="str">
        <f>IF(C146="","",GETPIVOTDATA("WinPips",ProfitRpt!$A$9,"Trade Month",C146,"Trade Year",B146))</f>
        <v/>
      </c>
      <c r="I146" s="42" t="str">
        <f t="shared" si="15"/>
        <v/>
      </c>
      <c r="J146" s="43" t="str">
        <f t="shared" si="16"/>
        <v/>
      </c>
      <c r="K146" s="44" t="str">
        <f t="shared" si="17"/>
        <v/>
      </c>
      <c r="L146" s="44" t="str">
        <f t="shared" si="18"/>
        <v/>
      </c>
    </row>
    <row r="147" spans="1:12">
      <c r="A147" s="1" t="str">
        <f t="shared" si="19"/>
        <v/>
      </c>
      <c r="F147" s="42" t="str">
        <f t="shared" si="14"/>
        <v/>
      </c>
      <c r="G147" s="42" t="str">
        <f t="shared" si="20"/>
        <v/>
      </c>
      <c r="H147" s="43" t="str">
        <f>IF(C147="","",GETPIVOTDATA("WinPips",ProfitRpt!$A$9,"Trade Month",C147,"Trade Year",B147))</f>
        <v/>
      </c>
      <c r="I147" s="42" t="str">
        <f t="shared" si="15"/>
        <v/>
      </c>
      <c r="J147" s="43" t="str">
        <f t="shared" si="16"/>
        <v/>
      </c>
      <c r="K147" s="44" t="str">
        <f t="shared" si="17"/>
        <v/>
      </c>
      <c r="L147" s="44" t="str">
        <f t="shared" si="18"/>
        <v/>
      </c>
    </row>
    <row r="148" spans="1:12">
      <c r="A148" s="1" t="str">
        <f t="shared" si="19"/>
        <v/>
      </c>
      <c r="F148" s="42" t="str">
        <f t="shared" si="14"/>
        <v/>
      </c>
      <c r="G148" s="42" t="str">
        <f t="shared" si="20"/>
        <v/>
      </c>
      <c r="H148" s="43" t="str">
        <f>IF(C148="","",GETPIVOTDATA("WinPips",ProfitRpt!$A$9,"Trade Month",C148,"Trade Year",B148))</f>
        <v/>
      </c>
      <c r="I148" s="42" t="str">
        <f t="shared" si="15"/>
        <v/>
      </c>
      <c r="J148" s="43" t="str">
        <f t="shared" si="16"/>
        <v/>
      </c>
      <c r="K148" s="44" t="str">
        <f t="shared" si="17"/>
        <v/>
      </c>
      <c r="L148" s="44" t="str">
        <f t="shared" si="18"/>
        <v/>
      </c>
    </row>
    <row r="149" spans="1:12">
      <c r="A149" s="1" t="str">
        <f t="shared" si="19"/>
        <v/>
      </c>
      <c r="F149" s="42" t="str">
        <f t="shared" si="14"/>
        <v/>
      </c>
      <c r="G149" s="42" t="str">
        <f t="shared" si="20"/>
        <v/>
      </c>
      <c r="H149" s="43" t="str">
        <f>IF(C149="","",GETPIVOTDATA("WinPips",ProfitRpt!$A$9,"Trade Month",C149,"Trade Year",B149))</f>
        <v/>
      </c>
      <c r="I149" s="42" t="str">
        <f t="shared" si="15"/>
        <v/>
      </c>
      <c r="J149" s="43" t="str">
        <f t="shared" si="16"/>
        <v/>
      </c>
      <c r="K149" s="44" t="str">
        <f t="shared" si="17"/>
        <v/>
      </c>
      <c r="L149" s="44" t="str">
        <f t="shared" si="18"/>
        <v/>
      </c>
    </row>
    <row r="150" spans="1:12">
      <c r="A150" s="1" t="str">
        <f t="shared" si="19"/>
        <v/>
      </c>
      <c r="F150" s="42" t="str">
        <f t="shared" si="14"/>
        <v/>
      </c>
      <c r="G150" s="42" t="str">
        <f t="shared" si="20"/>
        <v/>
      </c>
      <c r="H150" s="43" t="str">
        <f>IF(C150="","",GETPIVOTDATA("WinPips",ProfitRpt!$A$9,"Trade Month",C150,"Trade Year",B150))</f>
        <v/>
      </c>
      <c r="I150" s="42" t="str">
        <f t="shared" si="15"/>
        <v/>
      </c>
      <c r="J150" s="43" t="str">
        <f t="shared" si="16"/>
        <v/>
      </c>
      <c r="K150" s="44" t="str">
        <f t="shared" si="17"/>
        <v/>
      </c>
      <c r="L150" s="44" t="str">
        <f t="shared" si="18"/>
        <v/>
      </c>
    </row>
    <row r="151" spans="1:12">
      <c r="A151" s="1" t="str">
        <f t="shared" si="19"/>
        <v/>
      </c>
      <c r="F151" s="42" t="str">
        <f t="shared" si="14"/>
        <v/>
      </c>
      <c r="G151" s="42" t="str">
        <f t="shared" si="20"/>
        <v/>
      </c>
      <c r="H151" s="43" t="str">
        <f>IF(C151="","",GETPIVOTDATA("WinPips",ProfitRpt!$A$9,"Trade Month",C151,"Trade Year",B151))</f>
        <v/>
      </c>
      <c r="I151" s="42" t="str">
        <f t="shared" si="15"/>
        <v/>
      </c>
      <c r="J151" s="43" t="str">
        <f t="shared" si="16"/>
        <v/>
      </c>
      <c r="K151" s="44" t="str">
        <f t="shared" si="17"/>
        <v/>
      </c>
      <c r="L151" s="44" t="str">
        <f t="shared" si="18"/>
        <v/>
      </c>
    </row>
    <row r="152" spans="1:12">
      <c r="A152" s="1" t="str">
        <f t="shared" si="19"/>
        <v/>
      </c>
      <c r="F152" s="42" t="str">
        <f t="shared" si="14"/>
        <v/>
      </c>
      <c r="G152" s="42" t="str">
        <f t="shared" si="20"/>
        <v/>
      </c>
      <c r="H152" s="43" t="str">
        <f>IF(C152="","",GETPIVOTDATA("WinPips",ProfitRpt!$A$9,"Trade Month",C152,"Trade Year",B152))</f>
        <v/>
      </c>
      <c r="I152" s="42" t="str">
        <f t="shared" si="15"/>
        <v/>
      </c>
      <c r="J152" s="43" t="str">
        <f t="shared" si="16"/>
        <v/>
      </c>
      <c r="K152" s="44" t="str">
        <f t="shared" si="17"/>
        <v/>
      </c>
      <c r="L152" s="44" t="str">
        <f t="shared" si="18"/>
        <v/>
      </c>
    </row>
    <row r="153" spans="1:12">
      <c r="A153" s="1" t="str">
        <f t="shared" si="19"/>
        <v/>
      </c>
      <c r="F153" s="42" t="str">
        <f t="shared" si="14"/>
        <v/>
      </c>
      <c r="G153" s="42" t="str">
        <f t="shared" si="20"/>
        <v/>
      </c>
      <c r="H153" s="43" t="str">
        <f>IF(C153="","",GETPIVOTDATA("WinPips",ProfitRpt!$A$9,"Trade Month",C153,"Trade Year",B153))</f>
        <v/>
      </c>
      <c r="I153" s="42" t="str">
        <f t="shared" si="15"/>
        <v/>
      </c>
      <c r="J153" s="43" t="str">
        <f t="shared" si="16"/>
        <v/>
      </c>
      <c r="K153" s="44" t="str">
        <f t="shared" si="17"/>
        <v/>
      </c>
      <c r="L153" s="44" t="str">
        <f t="shared" si="18"/>
        <v/>
      </c>
    </row>
    <row r="154" spans="1:12">
      <c r="A154" s="1" t="str">
        <f t="shared" si="19"/>
        <v/>
      </c>
      <c r="F154" s="42" t="str">
        <f t="shared" si="14"/>
        <v/>
      </c>
      <c r="G154" s="42" t="str">
        <f t="shared" si="20"/>
        <v/>
      </c>
      <c r="H154" s="43" t="str">
        <f>IF(C154="","",GETPIVOTDATA("WinPips",ProfitRpt!$A$9,"Trade Month",C154,"Trade Year",B154))</f>
        <v/>
      </c>
      <c r="I154" s="42" t="str">
        <f t="shared" si="15"/>
        <v/>
      </c>
      <c r="J154" s="43" t="str">
        <f t="shared" si="16"/>
        <v/>
      </c>
      <c r="K154" s="44" t="str">
        <f t="shared" si="17"/>
        <v/>
      </c>
      <c r="L154" s="44" t="str">
        <f t="shared" si="18"/>
        <v/>
      </c>
    </row>
    <row r="155" spans="1:12">
      <c r="A155" s="1" t="str">
        <f t="shared" si="19"/>
        <v/>
      </c>
      <c r="F155" s="42" t="str">
        <f t="shared" si="14"/>
        <v/>
      </c>
      <c r="G155" s="42" t="str">
        <f t="shared" si="20"/>
        <v/>
      </c>
      <c r="H155" s="43" t="str">
        <f>IF(C155="","",GETPIVOTDATA("WinPips",ProfitRpt!$A$9,"Trade Month",C155,"Trade Year",B155))</f>
        <v/>
      </c>
      <c r="I155" s="42" t="str">
        <f t="shared" si="15"/>
        <v/>
      </c>
      <c r="J155" s="43" t="str">
        <f t="shared" si="16"/>
        <v/>
      </c>
      <c r="K155" s="44" t="str">
        <f t="shared" si="17"/>
        <v/>
      </c>
      <c r="L155" s="44" t="str">
        <f t="shared" si="18"/>
        <v/>
      </c>
    </row>
    <row r="156" spans="1:12">
      <c r="A156" s="1" t="str">
        <f t="shared" si="19"/>
        <v/>
      </c>
      <c r="F156" s="42" t="str">
        <f t="shared" si="14"/>
        <v/>
      </c>
      <c r="G156" s="42" t="str">
        <f t="shared" si="20"/>
        <v/>
      </c>
      <c r="H156" s="43" t="str">
        <f>IF(C156="","",GETPIVOTDATA("WinPips",ProfitRpt!$A$9,"Trade Month",C156,"Trade Year",B156))</f>
        <v/>
      </c>
      <c r="I156" s="42" t="str">
        <f t="shared" si="15"/>
        <v/>
      </c>
      <c r="J156" s="43" t="str">
        <f t="shared" si="16"/>
        <v/>
      </c>
      <c r="K156" s="44" t="str">
        <f t="shared" si="17"/>
        <v/>
      </c>
      <c r="L156" s="44" t="str">
        <f t="shared" si="18"/>
        <v/>
      </c>
    </row>
    <row r="157" spans="1:12">
      <c r="A157" s="1" t="str">
        <f t="shared" si="19"/>
        <v/>
      </c>
      <c r="F157" s="42" t="str">
        <f t="shared" si="14"/>
        <v/>
      </c>
      <c r="G157" s="42" t="str">
        <f t="shared" si="20"/>
        <v/>
      </c>
      <c r="H157" s="43" t="str">
        <f>IF(C157="","",GETPIVOTDATA("WinPips",ProfitRpt!$A$9,"Trade Month",C157,"Trade Year",B157))</f>
        <v/>
      </c>
      <c r="I157" s="42" t="str">
        <f t="shared" si="15"/>
        <v/>
      </c>
      <c r="J157" s="43" t="str">
        <f t="shared" si="16"/>
        <v/>
      </c>
      <c r="K157" s="44" t="str">
        <f t="shared" si="17"/>
        <v/>
      </c>
      <c r="L157" s="44" t="str">
        <f t="shared" si="18"/>
        <v/>
      </c>
    </row>
    <row r="158" spans="1:12">
      <c r="A158" s="1" t="str">
        <f t="shared" si="19"/>
        <v/>
      </c>
      <c r="F158" s="42" t="str">
        <f t="shared" si="14"/>
        <v/>
      </c>
      <c r="G158" s="42" t="str">
        <f t="shared" si="20"/>
        <v/>
      </c>
      <c r="H158" s="43" t="str">
        <f>IF(C158="","",GETPIVOTDATA("WinPips",ProfitRpt!$A$9,"Trade Month",C158,"Trade Year",B158))</f>
        <v/>
      </c>
      <c r="I158" s="42" t="str">
        <f t="shared" si="15"/>
        <v/>
      </c>
      <c r="J158" s="43" t="str">
        <f t="shared" si="16"/>
        <v/>
      </c>
      <c r="K158" s="44" t="str">
        <f t="shared" si="17"/>
        <v/>
      </c>
      <c r="L158" s="44" t="str">
        <f t="shared" si="18"/>
        <v/>
      </c>
    </row>
    <row r="159" spans="1:12">
      <c r="A159" s="1" t="str">
        <f t="shared" si="19"/>
        <v/>
      </c>
      <c r="F159" s="42" t="str">
        <f t="shared" si="14"/>
        <v/>
      </c>
      <c r="G159" s="42" t="str">
        <f t="shared" si="20"/>
        <v/>
      </c>
      <c r="H159" s="43" t="str">
        <f>IF(C159="","",GETPIVOTDATA("WinPips",ProfitRpt!$A$9,"Trade Month",C159,"Trade Year",B159))</f>
        <v/>
      </c>
      <c r="I159" s="42" t="str">
        <f t="shared" si="15"/>
        <v/>
      </c>
      <c r="J159" s="43" t="str">
        <f t="shared" si="16"/>
        <v/>
      </c>
      <c r="K159" s="44" t="str">
        <f t="shared" si="17"/>
        <v/>
      </c>
      <c r="L159" s="44" t="str">
        <f t="shared" si="18"/>
        <v/>
      </c>
    </row>
    <row r="160" spans="1:12">
      <c r="A160" s="1" t="str">
        <f t="shared" si="19"/>
        <v/>
      </c>
      <c r="F160" s="42" t="str">
        <f t="shared" si="14"/>
        <v/>
      </c>
      <c r="G160" s="42" t="str">
        <f t="shared" si="20"/>
        <v/>
      </c>
      <c r="H160" s="43" t="str">
        <f>IF(C160="","",GETPIVOTDATA("WinPips",ProfitRpt!$A$9,"Trade Month",C160,"Trade Year",B160))</f>
        <v/>
      </c>
      <c r="I160" s="42" t="str">
        <f t="shared" si="15"/>
        <v/>
      </c>
      <c r="J160" s="43" t="str">
        <f t="shared" si="16"/>
        <v/>
      </c>
      <c r="K160" s="44" t="str">
        <f t="shared" si="17"/>
        <v/>
      </c>
      <c r="L160" s="44" t="str">
        <f t="shared" si="18"/>
        <v/>
      </c>
    </row>
    <row r="161" spans="1:12">
      <c r="A161" s="1" t="str">
        <f t="shared" si="19"/>
        <v/>
      </c>
      <c r="F161" s="42" t="str">
        <f t="shared" si="14"/>
        <v/>
      </c>
      <c r="G161" s="42" t="str">
        <f t="shared" si="20"/>
        <v/>
      </c>
      <c r="H161" s="43" t="str">
        <f>IF(C161="","",GETPIVOTDATA("WinPips",ProfitRpt!$A$9,"Trade Month",C161,"Trade Year",B161))</f>
        <v/>
      </c>
      <c r="I161" s="42" t="str">
        <f t="shared" si="15"/>
        <v/>
      </c>
      <c r="J161" s="43" t="str">
        <f t="shared" si="16"/>
        <v/>
      </c>
      <c r="K161" s="44" t="str">
        <f t="shared" si="17"/>
        <v/>
      </c>
      <c r="L161" s="44" t="str">
        <f t="shared" si="18"/>
        <v/>
      </c>
    </row>
    <row r="162" spans="1:12">
      <c r="A162" s="1" t="str">
        <f t="shared" si="19"/>
        <v/>
      </c>
      <c r="F162" s="42" t="str">
        <f t="shared" si="14"/>
        <v/>
      </c>
      <c r="G162" s="42" t="str">
        <f t="shared" si="20"/>
        <v/>
      </c>
      <c r="H162" s="43" t="str">
        <f>IF(C162="","",GETPIVOTDATA("WinPips",ProfitRpt!$A$9,"Trade Month",C162,"Trade Year",B162))</f>
        <v/>
      </c>
      <c r="I162" s="42" t="str">
        <f t="shared" si="15"/>
        <v/>
      </c>
      <c r="J162" s="43" t="str">
        <f t="shared" si="16"/>
        <v/>
      </c>
      <c r="K162" s="44" t="str">
        <f t="shared" si="17"/>
        <v/>
      </c>
      <c r="L162" s="44" t="str">
        <f t="shared" si="18"/>
        <v/>
      </c>
    </row>
    <row r="163" spans="1:12">
      <c r="A163" s="1" t="str">
        <f t="shared" si="19"/>
        <v/>
      </c>
      <c r="F163" s="42" t="str">
        <f t="shared" si="14"/>
        <v/>
      </c>
      <c r="G163" s="42" t="str">
        <f t="shared" si="20"/>
        <v/>
      </c>
      <c r="H163" s="43" t="str">
        <f>IF(C163="","",GETPIVOTDATA("WinPips",ProfitRpt!$A$9,"Trade Month",C163,"Trade Year",B163))</f>
        <v/>
      </c>
      <c r="I163" s="42" t="str">
        <f t="shared" si="15"/>
        <v/>
      </c>
      <c r="J163" s="43" t="str">
        <f t="shared" si="16"/>
        <v/>
      </c>
      <c r="K163" s="44" t="str">
        <f t="shared" si="17"/>
        <v/>
      </c>
      <c r="L163" s="44" t="str">
        <f t="shared" si="18"/>
        <v/>
      </c>
    </row>
    <row r="164" spans="1:12">
      <c r="A164" s="1" t="str">
        <f t="shared" si="19"/>
        <v/>
      </c>
      <c r="F164" s="42" t="str">
        <f t="shared" si="14"/>
        <v/>
      </c>
      <c r="G164" s="42" t="str">
        <f t="shared" si="20"/>
        <v/>
      </c>
      <c r="H164" s="43" t="str">
        <f>IF(C164="","",GETPIVOTDATA("WinPips",ProfitRpt!$A$9,"Trade Month",C164,"Trade Year",B164))</f>
        <v/>
      </c>
      <c r="I164" s="42" t="str">
        <f t="shared" si="15"/>
        <v/>
      </c>
      <c r="J164" s="43" t="str">
        <f t="shared" si="16"/>
        <v/>
      </c>
      <c r="K164" s="44" t="str">
        <f t="shared" si="17"/>
        <v/>
      </c>
      <c r="L164" s="44" t="str">
        <f t="shared" si="18"/>
        <v/>
      </c>
    </row>
    <row r="165" spans="1:12">
      <c r="A165" s="1" t="str">
        <f t="shared" si="19"/>
        <v/>
      </c>
      <c r="F165" s="42" t="str">
        <f t="shared" si="14"/>
        <v/>
      </c>
      <c r="G165" s="42" t="str">
        <f t="shared" si="20"/>
        <v/>
      </c>
      <c r="H165" s="43" t="str">
        <f>IF(C165="","",GETPIVOTDATA("WinPips",ProfitRpt!$A$9,"Trade Month",C165,"Trade Year",B165))</f>
        <v/>
      </c>
      <c r="I165" s="42" t="str">
        <f t="shared" si="15"/>
        <v/>
      </c>
      <c r="J165" s="43" t="str">
        <f t="shared" si="16"/>
        <v/>
      </c>
      <c r="K165" s="44" t="str">
        <f t="shared" si="17"/>
        <v/>
      </c>
      <c r="L165" s="44" t="str">
        <f t="shared" si="18"/>
        <v/>
      </c>
    </row>
    <row r="166" spans="1:12">
      <c r="A166" s="1" t="str">
        <f t="shared" si="19"/>
        <v/>
      </c>
      <c r="F166" s="42" t="str">
        <f t="shared" si="14"/>
        <v/>
      </c>
      <c r="G166" s="42" t="str">
        <f t="shared" si="20"/>
        <v/>
      </c>
      <c r="H166" s="43" t="str">
        <f>IF(C166="","",GETPIVOTDATA("WinPips",ProfitRpt!$A$9,"Trade Month",C166,"Trade Year",B166))</f>
        <v/>
      </c>
      <c r="I166" s="42" t="str">
        <f t="shared" si="15"/>
        <v/>
      </c>
      <c r="J166" s="43" t="str">
        <f t="shared" si="16"/>
        <v/>
      </c>
      <c r="K166" s="44" t="str">
        <f t="shared" si="17"/>
        <v/>
      </c>
      <c r="L166" s="44" t="str">
        <f t="shared" si="18"/>
        <v/>
      </c>
    </row>
    <row r="167" spans="1:12">
      <c r="A167" s="1" t="str">
        <f t="shared" si="19"/>
        <v/>
      </c>
      <c r="F167" s="42" t="str">
        <f t="shared" si="14"/>
        <v/>
      </c>
      <c r="G167" s="42" t="str">
        <f t="shared" si="20"/>
        <v/>
      </c>
      <c r="H167" s="43" t="str">
        <f>IF(C167="","",GETPIVOTDATA("WinPips",ProfitRpt!$A$9,"Trade Month",C167,"Trade Year",B167))</f>
        <v/>
      </c>
      <c r="I167" s="42" t="str">
        <f t="shared" si="15"/>
        <v/>
      </c>
      <c r="J167" s="43" t="str">
        <f t="shared" si="16"/>
        <v/>
      </c>
      <c r="K167" s="44" t="str">
        <f t="shared" si="17"/>
        <v/>
      </c>
      <c r="L167" s="44" t="str">
        <f t="shared" si="18"/>
        <v/>
      </c>
    </row>
    <row r="168" spans="1:12">
      <c r="A168" s="1" t="str">
        <f t="shared" si="19"/>
        <v/>
      </c>
      <c r="F168" s="42" t="str">
        <f t="shared" si="14"/>
        <v/>
      </c>
      <c r="G168" s="42" t="str">
        <f t="shared" si="20"/>
        <v/>
      </c>
      <c r="H168" s="43" t="str">
        <f>IF(C168="","",GETPIVOTDATA("WinPips",ProfitRpt!$A$9,"Trade Month",C168,"Trade Year",B168))</f>
        <v/>
      </c>
      <c r="I168" s="42" t="str">
        <f t="shared" si="15"/>
        <v/>
      </c>
      <c r="J168" s="43" t="str">
        <f t="shared" si="16"/>
        <v/>
      </c>
      <c r="K168" s="44" t="str">
        <f t="shared" si="17"/>
        <v/>
      </c>
      <c r="L168" s="44" t="str">
        <f t="shared" si="18"/>
        <v/>
      </c>
    </row>
    <row r="169" spans="1:12">
      <c r="A169" s="1" t="str">
        <f t="shared" si="19"/>
        <v/>
      </c>
      <c r="F169" s="42" t="str">
        <f t="shared" si="14"/>
        <v/>
      </c>
      <c r="G169" s="42" t="str">
        <f t="shared" si="20"/>
        <v/>
      </c>
      <c r="H169" s="43" t="str">
        <f>IF(C169="","",GETPIVOTDATA("WinPips",ProfitRpt!$A$9,"Trade Month",C169,"Trade Year",B169))</f>
        <v/>
      </c>
      <c r="I169" s="42" t="str">
        <f t="shared" si="15"/>
        <v/>
      </c>
      <c r="J169" s="43" t="str">
        <f t="shared" si="16"/>
        <v/>
      </c>
      <c r="K169" s="44" t="str">
        <f t="shared" si="17"/>
        <v/>
      </c>
      <c r="L169" s="44" t="str">
        <f t="shared" si="18"/>
        <v/>
      </c>
    </row>
    <row r="170" spans="1:12">
      <c r="A170" s="1" t="str">
        <f t="shared" si="19"/>
        <v/>
      </c>
      <c r="F170" s="42" t="str">
        <f t="shared" si="14"/>
        <v/>
      </c>
      <c r="G170" s="42" t="str">
        <f t="shared" si="20"/>
        <v/>
      </c>
      <c r="H170" s="43" t="str">
        <f>IF(C170="","",GETPIVOTDATA("WinPips",ProfitRpt!$A$9,"Trade Month",C170,"Trade Year",B170))</f>
        <v/>
      </c>
      <c r="I170" s="42" t="str">
        <f t="shared" si="15"/>
        <v/>
      </c>
      <c r="J170" s="43" t="str">
        <f t="shared" si="16"/>
        <v/>
      </c>
      <c r="K170" s="44" t="str">
        <f t="shared" si="17"/>
        <v/>
      </c>
      <c r="L170" s="44" t="str">
        <f t="shared" si="18"/>
        <v/>
      </c>
    </row>
    <row r="171" spans="1:12">
      <c r="A171" s="1" t="str">
        <f t="shared" si="19"/>
        <v/>
      </c>
      <c r="F171" s="42" t="str">
        <f t="shared" si="14"/>
        <v/>
      </c>
      <c r="G171" s="42" t="str">
        <f t="shared" si="20"/>
        <v/>
      </c>
      <c r="H171" s="43" t="str">
        <f>IF(C171="","",GETPIVOTDATA("WinPips",ProfitRpt!$A$9,"Trade Month",C171,"Trade Year",B171))</f>
        <v/>
      </c>
      <c r="I171" s="42" t="str">
        <f t="shared" si="15"/>
        <v/>
      </c>
      <c r="J171" s="43" t="str">
        <f t="shared" si="16"/>
        <v/>
      </c>
      <c r="K171" s="44" t="str">
        <f t="shared" si="17"/>
        <v/>
      </c>
      <c r="L171" s="44" t="str">
        <f t="shared" si="18"/>
        <v/>
      </c>
    </row>
    <row r="172" spans="1:12">
      <c r="A172" s="1" t="str">
        <f t="shared" si="19"/>
        <v/>
      </c>
      <c r="F172" s="42" t="str">
        <f t="shared" si="14"/>
        <v/>
      </c>
      <c r="G172" s="42" t="str">
        <f t="shared" si="20"/>
        <v/>
      </c>
      <c r="H172" s="43" t="str">
        <f>IF(C172="","",GETPIVOTDATA("WinPips",ProfitRpt!$A$9,"Trade Month",C172,"Trade Year",B172))</f>
        <v/>
      </c>
      <c r="I172" s="42" t="str">
        <f t="shared" si="15"/>
        <v/>
      </c>
      <c r="J172" s="43" t="str">
        <f t="shared" si="16"/>
        <v/>
      </c>
      <c r="K172" s="44" t="str">
        <f t="shared" si="17"/>
        <v/>
      </c>
      <c r="L172" s="44" t="str">
        <f t="shared" si="18"/>
        <v/>
      </c>
    </row>
    <row r="173" spans="1:12">
      <c r="A173" s="1" t="str">
        <f t="shared" si="19"/>
        <v/>
      </c>
      <c r="F173" s="42" t="str">
        <f t="shared" si="14"/>
        <v/>
      </c>
      <c r="G173" s="42" t="str">
        <f t="shared" si="20"/>
        <v/>
      </c>
      <c r="H173" s="43" t="str">
        <f>IF(C173="","",GETPIVOTDATA("WinPips",ProfitRpt!$A$9,"Trade Month",C173,"Trade Year",B173))</f>
        <v/>
      </c>
      <c r="I173" s="42" t="str">
        <f t="shared" si="15"/>
        <v/>
      </c>
      <c r="J173" s="43" t="str">
        <f t="shared" si="16"/>
        <v/>
      </c>
      <c r="K173" s="44" t="str">
        <f t="shared" si="17"/>
        <v/>
      </c>
      <c r="L173" s="44" t="str">
        <f t="shared" si="18"/>
        <v/>
      </c>
    </row>
    <row r="174" spans="1:12">
      <c r="A174" s="1" t="str">
        <f t="shared" si="19"/>
        <v/>
      </c>
      <c r="F174" s="42" t="str">
        <f t="shared" si="14"/>
        <v/>
      </c>
      <c r="G174" s="42" t="str">
        <f t="shared" si="20"/>
        <v/>
      </c>
      <c r="H174" s="43" t="str">
        <f>IF(C174="","",GETPIVOTDATA("WinPips",ProfitRpt!$A$9,"Trade Month",C174,"Trade Year",B174))</f>
        <v/>
      </c>
      <c r="I174" s="42" t="str">
        <f t="shared" si="15"/>
        <v/>
      </c>
      <c r="J174" s="43" t="str">
        <f t="shared" si="16"/>
        <v/>
      </c>
      <c r="K174" s="44" t="str">
        <f t="shared" si="17"/>
        <v/>
      </c>
      <c r="L174" s="44" t="str">
        <f t="shared" si="18"/>
        <v/>
      </c>
    </row>
    <row r="175" spans="1:12">
      <c r="A175" s="1" t="str">
        <f t="shared" si="19"/>
        <v/>
      </c>
      <c r="F175" s="42" t="str">
        <f t="shared" si="14"/>
        <v/>
      </c>
      <c r="G175" s="42" t="str">
        <f t="shared" si="20"/>
        <v/>
      </c>
      <c r="H175" s="43" t="str">
        <f>IF(C175="","",GETPIVOTDATA("WinPips",ProfitRpt!$A$9,"Trade Month",C175,"Trade Year",B175))</f>
        <v/>
      </c>
      <c r="I175" s="42" t="str">
        <f t="shared" si="15"/>
        <v/>
      </c>
      <c r="J175" s="43" t="str">
        <f t="shared" si="16"/>
        <v/>
      </c>
      <c r="K175" s="44" t="str">
        <f t="shared" si="17"/>
        <v/>
      </c>
      <c r="L175" s="44" t="str">
        <f t="shared" si="18"/>
        <v/>
      </c>
    </row>
    <row r="176" spans="1:12">
      <c r="A176" s="1" t="str">
        <f t="shared" si="19"/>
        <v/>
      </c>
      <c r="F176" s="42" t="str">
        <f t="shared" si="14"/>
        <v/>
      </c>
      <c r="G176" s="42" t="str">
        <f t="shared" si="20"/>
        <v/>
      </c>
      <c r="H176" s="43" t="str">
        <f>IF(C176="","",GETPIVOTDATA("WinPips",ProfitRpt!$A$9,"Trade Month",C176,"Trade Year",B176))</f>
        <v/>
      </c>
      <c r="I176" s="42" t="str">
        <f t="shared" si="15"/>
        <v/>
      </c>
      <c r="J176" s="43" t="str">
        <f t="shared" si="16"/>
        <v/>
      </c>
      <c r="K176" s="44" t="str">
        <f t="shared" si="17"/>
        <v/>
      </c>
      <c r="L176" s="44" t="str">
        <f t="shared" si="18"/>
        <v/>
      </c>
    </row>
    <row r="177" spans="1:12">
      <c r="A177" s="1" t="str">
        <f t="shared" si="19"/>
        <v/>
      </c>
      <c r="F177" s="42" t="str">
        <f t="shared" si="14"/>
        <v/>
      </c>
      <c r="G177" s="42" t="str">
        <f t="shared" si="20"/>
        <v/>
      </c>
      <c r="H177" s="43" t="str">
        <f>IF(C177="","",GETPIVOTDATA("WinPips",ProfitRpt!$A$9,"Trade Month",C177,"Trade Year",B177))</f>
        <v/>
      </c>
      <c r="I177" s="42" t="str">
        <f t="shared" si="15"/>
        <v/>
      </c>
      <c r="J177" s="43" t="str">
        <f t="shared" si="16"/>
        <v/>
      </c>
      <c r="K177" s="44" t="str">
        <f t="shared" si="17"/>
        <v/>
      </c>
      <c r="L177" s="44" t="str">
        <f t="shared" si="18"/>
        <v/>
      </c>
    </row>
    <row r="178" spans="1:12">
      <c r="A178" s="1" t="str">
        <f t="shared" si="19"/>
        <v/>
      </c>
      <c r="F178" s="42" t="str">
        <f t="shared" si="14"/>
        <v/>
      </c>
      <c r="G178" s="42" t="str">
        <f t="shared" si="20"/>
        <v/>
      </c>
      <c r="H178" s="43" t="str">
        <f>IF(C178="","",GETPIVOTDATA("WinPips",ProfitRpt!$A$9,"Trade Month",C178,"Trade Year",B178))</f>
        <v/>
      </c>
      <c r="I178" s="42" t="str">
        <f t="shared" si="15"/>
        <v/>
      </c>
      <c r="J178" s="43" t="str">
        <f t="shared" si="16"/>
        <v/>
      </c>
      <c r="K178" s="44" t="str">
        <f t="shared" si="17"/>
        <v/>
      </c>
      <c r="L178" s="44" t="str">
        <f t="shared" si="18"/>
        <v/>
      </c>
    </row>
    <row r="179" spans="1:12">
      <c r="A179" s="1" t="str">
        <f t="shared" si="19"/>
        <v/>
      </c>
      <c r="F179" s="42" t="str">
        <f t="shared" si="14"/>
        <v/>
      </c>
      <c r="G179" s="42" t="str">
        <f t="shared" si="20"/>
        <v/>
      </c>
      <c r="H179" s="43" t="str">
        <f>IF(C179="","",GETPIVOTDATA("WinPips",ProfitRpt!$A$9,"Trade Month",C179,"Trade Year",B179))</f>
        <v/>
      </c>
      <c r="I179" s="42" t="str">
        <f t="shared" si="15"/>
        <v/>
      </c>
      <c r="J179" s="43" t="str">
        <f t="shared" si="16"/>
        <v/>
      </c>
      <c r="K179" s="44" t="str">
        <f t="shared" si="17"/>
        <v/>
      </c>
      <c r="L179" s="44" t="str">
        <f t="shared" si="18"/>
        <v/>
      </c>
    </row>
    <row r="180" spans="1:12">
      <c r="A180" s="1" t="str">
        <f t="shared" si="19"/>
        <v/>
      </c>
      <c r="F180" s="42" t="str">
        <f t="shared" si="14"/>
        <v/>
      </c>
      <c r="G180" s="42" t="str">
        <f t="shared" si="20"/>
        <v/>
      </c>
      <c r="H180" s="43" t="str">
        <f>IF(C180="","",GETPIVOTDATA("WinPips",ProfitRpt!$A$9,"Trade Month",C180,"Trade Year",B180))</f>
        <v/>
      </c>
      <c r="I180" s="42" t="str">
        <f t="shared" si="15"/>
        <v/>
      </c>
      <c r="J180" s="43" t="str">
        <f t="shared" si="16"/>
        <v/>
      </c>
      <c r="K180" s="44" t="str">
        <f t="shared" si="17"/>
        <v/>
      </c>
      <c r="L180" s="44" t="str">
        <f t="shared" si="18"/>
        <v/>
      </c>
    </row>
    <row r="181" spans="1:12">
      <c r="A181" s="1" t="str">
        <f t="shared" si="19"/>
        <v/>
      </c>
      <c r="F181" s="42" t="str">
        <f t="shared" si="14"/>
        <v/>
      </c>
      <c r="G181" s="42" t="str">
        <f t="shared" si="20"/>
        <v/>
      </c>
      <c r="H181" s="43" t="str">
        <f>IF(C181="","",GETPIVOTDATA("WinPips",ProfitRpt!$A$9,"Trade Month",C181,"Trade Year",B181))</f>
        <v/>
      </c>
      <c r="I181" s="42" t="str">
        <f t="shared" si="15"/>
        <v/>
      </c>
      <c r="J181" s="43" t="str">
        <f t="shared" si="16"/>
        <v/>
      </c>
      <c r="K181" s="44" t="str">
        <f t="shared" si="17"/>
        <v/>
      </c>
      <c r="L181" s="44" t="str">
        <f t="shared" si="18"/>
        <v/>
      </c>
    </row>
    <row r="182" spans="1:12">
      <c r="A182" s="1" t="str">
        <f t="shared" si="19"/>
        <v/>
      </c>
      <c r="F182" s="42" t="str">
        <f t="shared" si="14"/>
        <v/>
      </c>
      <c r="G182" s="42" t="str">
        <f t="shared" si="20"/>
        <v/>
      </c>
      <c r="H182" s="43" t="str">
        <f>IF(C182="","",GETPIVOTDATA("WinPips",ProfitRpt!$A$9,"Trade Month",C182,"Trade Year",B182))</f>
        <v/>
      </c>
      <c r="I182" s="42" t="str">
        <f t="shared" si="15"/>
        <v/>
      </c>
      <c r="J182" s="43" t="str">
        <f t="shared" si="16"/>
        <v/>
      </c>
      <c r="K182" s="44" t="str">
        <f t="shared" si="17"/>
        <v/>
      </c>
      <c r="L182" s="44" t="str">
        <f t="shared" si="18"/>
        <v/>
      </c>
    </row>
    <row r="183" spans="1:12">
      <c r="A183" s="1" t="str">
        <f t="shared" si="19"/>
        <v/>
      </c>
      <c r="F183" s="42" t="str">
        <f t="shared" si="14"/>
        <v/>
      </c>
      <c r="G183" s="42" t="str">
        <f t="shared" si="20"/>
        <v/>
      </c>
      <c r="H183" s="43" t="str">
        <f>IF(C183="","",GETPIVOTDATA("WinPips",ProfitRpt!$A$9,"Trade Month",C183,"Trade Year",B183))</f>
        <v/>
      </c>
      <c r="I183" s="42" t="str">
        <f t="shared" si="15"/>
        <v/>
      </c>
      <c r="J183" s="43" t="str">
        <f t="shared" si="16"/>
        <v/>
      </c>
      <c r="K183" s="44" t="str">
        <f t="shared" si="17"/>
        <v/>
      </c>
      <c r="L183" s="44" t="str">
        <f t="shared" si="18"/>
        <v/>
      </c>
    </row>
    <row r="184" spans="1:12">
      <c r="A184" s="1" t="str">
        <f t="shared" si="19"/>
        <v/>
      </c>
      <c r="F184" s="42" t="str">
        <f t="shared" si="14"/>
        <v/>
      </c>
      <c r="G184" s="42" t="str">
        <f t="shared" si="20"/>
        <v/>
      </c>
      <c r="H184" s="43" t="str">
        <f>IF(C184="","",GETPIVOTDATA("WinPips",ProfitRpt!$A$9,"Trade Month",C184,"Trade Year",B184))</f>
        <v/>
      </c>
      <c r="I184" s="42" t="str">
        <f t="shared" si="15"/>
        <v/>
      </c>
      <c r="J184" s="43" t="str">
        <f t="shared" si="16"/>
        <v/>
      </c>
      <c r="K184" s="44" t="str">
        <f t="shared" si="17"/>
        <v/>
      </c>
      <c r="L184" s="44" t="str">
        <f t="shared" si="18"/>
        <v/>
      </c>
    </row>
    <row r="185" spans="1:12">
      <c r="A185" s="1" t="str">
        <f t="shared" si="19"/>
        <v/>
      </c>
      <c r="F185" s="42" t="str">
        <f t="shared" si="14"/>
        <v/>
      </c>
      <c r="G185" s="42" t="str">
        <f t="shared" si="20"/>
        <v/>
      </c>
      <c r="H185" s="43" t="str">
        <f>IF(C185="","",GETPIVOTDATA("WinPips",ProfitRpt!$A$9,"Trade Month",C185,"Trade Year",B185))</f>
        <v/>
      </c>
      <c r="I185" s="42" t="str">
        <f t="shared" si="15"/>
        <v/>
      </c>
      <c r="J185" s="43" t="str">
        <f t="shared" si="16"/>
        <v/>
      </c>
      <c r="K185" s="44" t="str">
        <f t="shared" si="17"/>
        <v/>
      </c>
      <c r="L185" s="44" t="str">
        <f t="shared" si="18"/>
        <v/>
      </c>
    </row>
    <row r="186" spans="1:12">
      <c r="A186" s="1" t="str">
        <f t="shared" si="19"/>
        <v/>
      </c>
      <c r="F186" s="42" t="str">
        <f t="shared" si="14"/>
        <v/>
      </c>
      <c r="G186" s="42" t="str">
        <f t="shared" si="20"/>
        <v/>
      </c>
      <c r="H186" s="43" t="str">
        <f>IF(C186="","",GETPIVOTDATA("WinPips",ProfitRpt!$A$9,"Trade Month",C186,"Trade Year",B186))</f>
        <v/>
      </c>
      <c r="I186" s="42" t="str">
        <f t="shared" si="15"/>
        <v/>
      </c>
      <c r="J186" s="43" t="str">
        <f t="shared" si="16"/>
        <v/>
      </c>
      <c r="K186" s="44" t="str">
        <f t="shared" si="17"/>
        <v/>
      </c>
      <c r="L186" s="44" t="str">
        <f t="shared" si="18"/>
        <v/>
      </c>
    </row>
    <row r="187" spans="1:12">
      <c r="A187" s="1" t="str">
        <f t="shared" si="19"/>
        <v/>
      </c>
      <c r="F187" s="42" t="str">
        <f t="shared" si="14"/>
        <v/>
      </c>
      <c r="G187" s="42" t="str">
        <f t="shared" si="20"/>
        <v/>
      </c>
      <c r="H187" s="43" t="str">
        <f>IF(C187="","",GETPIVOTDATA("WinPips",ProfitRpt!$A$9,"Trade Month",C187,"Trade Year",B187))</f>
        <v/>
      </c>
      <c r="I187" s="42" t="str">
        <f t="shared" si="15"/>
        <v/>
      </c>
      <c r="J187" s="43" t="str">
        <f t="shared" si="16"/>
        <v/>
      </c>
      <c r="K187" s="44" t="str">
        <f t="shared" si="17"/>
        <v/>
      </c>
      <c r="L187" s="44" t="str">
        <f t="shared" si="18"/>
        <v/>
      </c>
    </row>
    <row r="188" spans="1:12">
      <c r="A188" s="1" t="str">
        <f t="shared" si="19"/>
        <v/>
      </c>
      <c r="F188" s="42" t="str">
        <f t="shared" si="14"/>
        <v/>
      </c>
      <c r="G188" s="42" t="str">
        <f t="shared" si="20"/>
        <v/>
      </c>
      <c r="H188" s="43" t="str">
        <f>IF(C188="","",GETPIVOTDATA("WinPips",ProfitRpt!$A$9,"Trade Month",C188,"Trade Year",B188))</f>
        <v/>
      </c>
      <c r="I188" s="42" t="str">
        <f t="shared" si="15"/>
        <v/>
      </c>
      <c r="J188" s="43" t="str">
        <f t="shared" si="16"/>
        <v/>
      </c>
      <c r="K188" s="44" t="str">
        <f t="shared" si="17"/>
        <v/>
      </c>
      <c r="L188" s="44" t="str">
        <f t="shared" si="18"/>
        <v/>
      </c>
    </row>
    <row r="189" spans="1:12">
      <c r="A189" s="1" t="str">
        <f t="shared" si="19"/>
        <v/>
      </c>
      <c r="F189" s="42" t="str">
        <f t="shared" si="14"/>
        <v/>
      </c>
      <c r="G189" s="42" t="str">
        <f t="shared" si="20"/>
        <v/>
      </c>
      <c r="H189" s="43" t="str">
        <f>IF(C189="","",GETPIVOTDATA("WinPips",ProfitRpt!$A$9,"Trade Month",C189,"Trade Year",B189))</f>
        <v/>
      </c>
      <c r="I189" s="42" t="str">
        <f t="shared" si="15"/>
        <v/>
      </c>
      <c r="J189" s="43" t="str">
        <f t="shared" si="16"/>
        <v/>
      </c>
      <c r="K189" s="44" t="str">
        <f t="shared" si="17"/>
        <v/>
      </c>
      <c r="L189" s="44" t="str">
        <f t="shared" si="18"/>
        <v/>
      </c>
    </row>
    <row r="190" spans="1:12">
      <c r="A190" s="1" t="str">
        <f t="shared" si="19"/>
        <v/>
      </c>
      <c r="F190" s="42" t="str">
        <f t="shared" si="14"/>
        <v/>
      </c>
      <c r="G190" s="42" t="str">
        <f t="shared" si="20"/>
        <v/>
      </c>
      <c r="H190" s="43" t="str">
        <f>IF(C190="","",GETPIVOTDATA("WinPips",ProfitRpt!$A$9,"Trade Month",C190,"Trade Year",B190))</f>
        <v/>
      </c>
      <c r="I190" s="42" t="str">
        <f t="shared" si="15"/>
        <v/>
      </c>
      <c r="J190" s="43" t="str">
        <f t="shared" si="16"/>
        <v/>
      </c>
      <c r="K190" s="44" t="str">
        <f t="shared" si="17"/>
        <v/>
      </c>
      <c r="L190" s="44" t="str">
        <f t="shared" si="18"/>
        <v/>
      </c>
    </row>
    <row r="191" spans="1:12">
      <c r="A191" s="1" t="str">
        <f t="shared" si="19"/>
        <v/>
      </c>
      <c r="F191" s="42" t="str">
        <f t="shared" si="14"/>
        <v/>
      </c>
      <c r="G191" s="42" t="str">
        <f t="shared" si="20"/>
        <v/>
      </c>
      <c r="H191" s="43" t="str">
        <f>IF(C191="","",GETPIVOTDATA("WinPips",ProfitRpt!$A$9,"Trade Month",C191,"Trade Year",B191))</f>
        <v/>
      </c>
      <c r="I191" s="42" t="str">
        <f t="shared" si="15"/>
        <v/>
      </c>
      <c r="J191" s="43" t="str">
        <f t="shared" si="16"/>
        <v/>
      </c>
      <c r="K191" s="44" t="str">
        <f t="shared" si="17"/>
        <v/>
      </c>
      <c r="L191" s="44" t="str">
        <f t="shared" si="18"/>
        <v/>
      </c>
    </row>
    <row r="192" spans="1:12">
      <c r="A192" s="1" t="str">
        <f t="shared" si="19"/>
        <v/>
      </c>
      <c r="F192" s="42" t="str">
        <f t="shared" si="14"/>
        <v/>
      </c>
      <c r="G192" s="42" t="str">
        <f t="shared" si="20"/>
        <v/>
      </c>
      <c r="H192" s="43" t="str">
        <f>IF(C192="","",GETPIVOTDATA("WinPips",ProfitRpt!$A$9,"Trade Month",C192,"Trade Year",B192))</f>
        <v/>
      </c>
      <c r="I192" s="42" t="str">
        <f t="shared" si="15"/>
        <v/>
      </c>
      <c r="J192" s="43" t="str">
        <f t="shared" si="16"/>
        <v/>
      </c>
      <c r="K192" s="44" t="str">
        <f t="shared" si="17"/>
        <v/>
      </c>
      <c r="L192" s="44" t="str">
        <f t="shared" si="18"/>
        <v/>
      </c>
    </row>
    <row r="193" spans="1:12">
      <c r="A193" s="1" t="str">
        <f t="shared" si="19"/>
        <v/>
      </c>
      <c r="F193" s="42" t="str">
        <f t="shared" si="14"/>
        <v/>
      </c>
      <c r="G193" s="42" t="str">
        <f t="shared" si="20"/>
        <v/>
      </c>
      <c r="H193" s="43" t="str">
        <f>IF(C193="","",GETPIVOTDATA("WinPips",ProfitRpt!$A$9,"Trade Month",C193,"Trade Year",B193))</f>
        <v/>
      </c>
      <c r="I193" s="42" t="str">
        <f t="shared" si="15"/>
        <v/>
      </c>
      <c r="J193" s="43" t="str">
        <f t="shared" si="16"/>
        <v/>
      </c>
      <c r="K193" s="44" t="str">
        <f t="shared" si="17"/>
        <v/>
      </c>
      <c r="L193" s="44" t="str">
        <f t="shared" si="18"/>
        <v/>
      </c>
    </row>
    <row r="194" spans="1:12">
      <c r="A194" s="1" t="str">
        <f t="shared" si="19"/>
        <v/>
      </c>
      <c r="F194" s="42" t="str">
        <f t="shared" si="14"/>
        <v/>
      </c>
      <c r="G194" s="42" t="str">
        <f t="shared" si="20"/>
        <v/>
      </c>
      <c r="H194" s="43" t="str">
        <f>IF(C194="","",GETPIVOTDATA("WinPips",ProfitRpt!$A$9,"Trade Month",C194,"Trade Year",B194))</f>
        <v/>
      </c>
      <c r="I194" s="42" t="str">
        <f t="shared" si="15"/>
        <v/>
      </c>
      <c r="J194" s="43" t="str">
        <f t="shared" si="16"/>
        <v/>
      </c>
      <c r="K194" s="44" t="str">
        <f t="shared" si="17"/>
        <v/>
      </c>
      <c r="L194" s="44" t="str">
        <f t="shared" si="18"/>
        <v/>
      </c>
    </row>
    <row r="195" spans="1:12">
      <c r="A195" s="1" t="str">
        <f t="shared" si="19"/>
        <v/>
      </c>
      <c r="F195" s="42" t="str">
        <f t="shared" si="14"/>
        <v/>
      </c>
      <c r="G195" s="42" t="str">
        <f t="shared" si="20"/>
        <v/>
      </c>
      <c r="H195" s="43" t="str">
        <f>IF(C195="","",GETPIVOTDATA("WinPips",ProfitRpt!$A$9,"Trade Month",C195,"Trade Year",B195))</f>
        <v/>
      </c>
      <c r="I195" s="42" t="str">
        <f t="shared" si="15"/>
        <v/>
      </c>
      <c r="J195" s="43" t="str">
        <f t="shared" si="16"/>
        <v/>
      </c>
      <c r="K195" s="44" t="str">
        <f t="shared" si="17"/>
        <v/>
      </c>
      <c r="L195" s="44" t="str">
        <f t="shared" si="18"/>
        <v/>
      </c>
    </row>
    <row r="196" spans="1:12">
      <c r="A196" s="1" t="str">
        <f t="shared" si="19"/>
        <v/>
      </c>
      <c r="F196" s="42" t="str">
        <f t="shared" si="14"/>
        <v/>
      </c>
      <c r="G196" s="42" t="str">
        <f t="shared" si="20"/>
        <v/>
      </c>
      <c r="H196" s="43" t="str">
        <f>IF(C196="","",GETPIVOTDATA("WinPips",ProfitRpt!$A$9,"Trade Month",C196,"Trade Year",B196))</f>
        <v/>
      </c>
      <c r="I196" s="42" t="str">
        <f t="shared" si="15"/>
        <v/>
      </c>
      <c r="J196" s="43" t="str">
        <f t="shared" si="16"/>
        <v/>
      </c>
      <c r="K196" s="44" t="str">
        <f t="shared" si="17"/>
        <v/>
      </c>
      <c r="L196" s="44" t="str">
        <f t="shared" si="18"/>
        <v/>
      </c>
    </row>
    <row r="197" spans="1:12">
      <c r="A197" s="1" t="str">
        <f t="shared" si="19"/>
        <v/>
      </c>
      <c r="F197" s="42" t="str">
        <f t="shared" si="14"/>
        <v/>
      </c>
      <c r="G197" s="42" t="str">
        <f t="shared" si="20"/>
        <v/>
      </c>
      <c r="H197" s="43" t="str">
        <f>IF(C197="","",GETPIVOTDATA("WinPips",ProfitRpt!$A$9,"Trade Month",C197,"Trade Year",B197))</f>
        <v/>
      </c>
      <c r="I197" s="42" t="str">
        <f t="shared" si="15"/>
        <v/>
      </c>
      <c r="J197" s="43" t="str">
        <f t="shared" si="16"/>
        <v/>
      </c>
      <c r="K197" s="44" t="str">
        <f t="shared" si="17"/>
        <v/>
      </c>
      <c r="L197" s="44" t="str">
        <f t="shared" si="18"/>
        <v/>
      </c>
    </row>
    <row r="198" spans="1:12">
      <c r="A198" s="1" t="str">
        <f t="shared" si="19"/>
        <v/>
      </c>
      <c r="F198" s="42" t="str">
        <f t="shared" si="14"/>
        <v/>
      </c>
      <c r="G198" s="42" t="str">
        <f t="shared" si="20"/>
        <v/>
      </c>
      <c r="H198" s="43" t="str">
        <f>IF(C198="","",GETPIVOTDATA("WinPips",ProfitRpt!$A$9,"Trade Month",C198,"Trade Year",B198))</f>
        <v/>
      </c>
      <c r="I198" s="42" t="str">
        <f t="shared" si="15"/>
        <v/>
      </c>
      <c r="J198" s="43" t="str">
        <f t="shared" si="16"/>
        <v/>
      </c>
      <c r="K198" s="44" t="str">
        <f t="shared" si="17"/>
        <v/>
      </c>
      <c r="L198" s="44" t="str">
        <f t="shared" si="18"/>
        <v/>
      </c>
    </row>
    <row r="199" spans="1:12">
      <c r="A199" s="1" t="str">
        <f t="shared" si="19"/>
        <v/>
      </c>
      <c r="F199" s="42" t="str">
        <f t="shared" ref="F199:F262" si="21">IF(G199="","",E199+G199)</f>
        <v/>
      </c>
      <c r="G199" s="42" t="str">
        <f t="shared" si="20"/>
        <v/>
      </c>
      <c r="H199" s="43" t="str">
        <f>IF(C199="","",GETPIVOTDATA("WinPips",ProfitRpt!$A$9,"Trade Month",C199,"Trade Year",B199))</f>
        <v/>
      </c>
      <c r="I199" s="42" t="str">
        <f t="shared" ref="I199:I262" si="22">IF(B199="","",IF(B199=B198,I198+G199,G199))</f>
        <v/>
      </c>
      <c r="J199" s="43" t="str">
        <f t="shared" ref="J199:J262" si="23">IF(B199="","",IF(B198=B199,J198+H199,H199))</f>
        <v/>
      </c>
      <c r="K199" s="44" t="str">
        <f t="shared" ref="K199:K262" si="24">IF(F199="","",IF(E199="","",(F199-E199)/E199))</f>
        <v/>
      </c>
      <c r="L199" s="44" t="str">
        <f t="shared" ref="L199:L262" si="25">IF(I199="","",IF(D199="","",I199/D199) )</f>
        <v/>
      </c>
    </row>
    <row r="200" spans="1:12">
      <c r="A200" s="1" t="str">
        <f t="shared" ref="A200:A263" si="26">IF(C200="","",A199+1)</f>
        <v/>
      </c>
      <c r="F200" s="42" t="str">
        <f t="shared" si="21"/>
        <v/>
      </c>
      <c r="G200" s="42" t="str">
        <f t="shared" ref="G200:G263" si="27">IF(C200="","",H200/10)</f>
        <v/>
      </c>
      <c r="H200" s="43" t="str">
        <f>IF(C200="","",GETPIVOTDATA("WinPips",ProfitRpt!$A$9,"Trade Month",C200,"Trade Year",B200))</f>
        <v/>
      </c>
      <c r="I200" s="42" t="str">
        <f t="shared" si="22"/>
        <v/>
      </c>
      <c r="J200" s="43" t="str">
        <f t="shared" si="23"/>
        <v/>
      </c>
      <c r="K200" s="44" t="str">
        <f t="shared" si="24"/>
        <v/>
      </c>
      <c r="L200" s="44" t="str">
        <f t="shared" si="25"/>
        <v/>
      </c>
    </row>
    <row r="201" spans="1:12">
      <c r="A201" s="1" t="str">
        <f t="shared" si="26"/>
        <v/>
      </c>
      <c r="F201" s="42" t="str">
        <f t="shared" si="21"/>
        <v/>
      </c>
      <c r="G201" s="42" t="str">
        <f t="shared" si="27"/>
        <v/>
      </c>
      <c r="H201" s="43" t="str">
        <f>IF(C201="","",GETPIVOTDATA("WinPips",ProfitRpt!$A$9,"Trade Month",C201,"Trade Year",B201))</f>
        <v/>
      </c>
      <c r="I201" s="42" t="str">
        <f t="shared" si="22"/>
        <v/>
      </c>
      <c r="J201" s="43" t="str">
        <f t="shared" si="23"/>
        <v/>
      </c>
      <c r="K201" s="44" t="str">
        <f t="shared" si="24"/>
        <v/>
      </c>
      <c r="L201" s="44" t="str">
        <f t="shared" si="25"/>
        <v/>
      </c>
    </row>
    <row r="202" spans="1:12">
      <c r="A202" s="1" t="str">
        <f t="shared" si="26"/>
        <v/>
      </c>
      <c r="F202" s="42" t="str">
        <f t="shared" si="21"/>
        <v/>
      </c>
      <c r="G202" s="42" t="str">
        <f t="shared" si="27"/>
        <v/>
      </c>
      <c r="H202" s="43" t="str">
        <f>IF(C202="","",GETPIVOTDATA("WinPips",ProfitRpt!$A$9,"Trade Month",C202,"Trade Year",B202))</f>
        <v/>
      </c>
      <c r="I202" s="42" t="str">
        <f t="shared" si="22"/>
        <v/>
      </c>
      <c r="J202" s="43" t="str">
        <f t="shared" si="23"/>
        <v/>
      </c>
      <c r="K202" s="44" t="str">
        <f t="shared" si="24"/>
        <v/>
      </c>
      <c r="L202" s="44" t="str">
        <f t="shared" si="25"/>
        <v/>
      </c>
    </row>
    <row r="203" spans="1:12">
      <c r="A203" s="1" t="str">
        <f t="shared" si="26"/>
        <v/>
      </c>
      <c r="F203" s="42" t="str">
        <f t="shared" si="21"/>
        <v/>
      </c>
      <c r="G203" s="42" t="str">
        <f t="shared" si="27"/>
        <v/>
      </c>
      <c r="H203" s="43" t="str">
        <f>IF(C203="","",GETPIVOTDATA("WinPips",ProfitRpt!$A$9,"Trade Month",C203,"Trade Year",B203))</f>
        <v/>
      </c>
      <c r="I203" s="42" t="str">
        <f t="shared" si="22"/>
        <v/>
      </c>
      <c r="J203" s="43" t="str">
        <f t="shared" si="23"/>
        <v/>
      </c>
      <c r="K203" s="44" t="str">
        <f t="shared" si="24"/>
        <v/>
      </c>
      <c r="L203" s="44" t="str">
        <f t="shared" si="25"/>
        <v/>
      </c>
    </row>
    <row r="204" spans="1:12">
      <c r="A204" s="1" t="str">
        <f t="shared" si="26"/>
        <v/>
      </c>
      <c r="F204" s="42" t="str">
        <f t="shared" si="21"/>
        <v/>
      </c>
      <c r="G204" s="42" t="str">
        <f t="shared" si="27"/>
        <v/>
      </c>
      <c r="H204" s="43" t="str">
        <f>IF(C204="","",GETPIVOTDATA("WinPips",ProfitRpt!$A$9,"Trade Month",C204,"Trade Year",B204))</f>
        <v/>
      </c>
      <c r="I204" s="42" t="str">
        <f t="shared" si="22"/>
        <v/>
      </c>
      <c r="J204" s="43" t="str">
        <f t="shared" si="23"/>
        <v/>
      </c>
      <c r="K204" s="44" t="str">
        <f t="shared" si="24"/>
        <v/>
      </c>
      <c r="L204" s="44" t="str">
        <f t="shared" si="25"/>
        <v/>
      </c>
    </row>
    <row r="205" spans="1:12">
      <c r="A205" s="1" t="str">
        <f t="shared" si="26"/>
        <v/>
      </c>
      <c r="F205" s="42" t="str">
        <f t="shared" si="21"/>
        <v/>
      </c>
      <c r="G205" s="42" t="str">
        <f t="shared" si="27"/>
        <v/>
      </c>
      <c r="H205" s="43" t="str">
        <f>IF(C205="","",GETPIVOTDATA("WinPips",ProfitRpt!$A$9,"Trade Month",C205,"Trade Year",B205))</f>
        <v/>
      </c>
      <c r="I205" s="42" t="str">
        <f t="shared" si="22"/>
        <v/>
      </c>
      <c r="J205" s="43" t="str">
        <f t="shared" si="23"/>
        <v/>
      </c>
      <c r="K205" s="44" t="str">
        <f t="shared" si="24"/>
        <v/>
      </c>
      <c r="L205" s="44" t="str">
        <f t="shared" si="25"/>
        <v/>
      </c>
    </row>
    <row r="206" spans="1:12">
      <c r="A206" s="1" t="str">
        <f t="shared" si="26"/>
        <v/>
      </c>
      <c r="F206" s="42" t="str">
        <f t="shared" si="21"/>
        <v/>
      </c>
      <c r="G206" s="42" t="str">
        <f t="shared" si="27"/>
        <v/>
      </c>
      <c r="H206" s="43" t="str">
        <f>IF(C206="","",GETPIVOTDATA("WinPips",ProfitRpt!$A$9,"Trade Month",C206,"Trade Year",B206))</f>
        <v/>
      </c>
      <c r="I206" s="42" t="str">
        <f t="shared" si="22"/>
        <v/>
      </c>
      <c r="J206" s="43" t="str">
        <f t="shared" si="23"/>
        <v/>
      </c>
      <c r="K206" s="44" t="str">
        <f t="shared" si="24"/>
        <v/>
      </c>
      <c r="L206" s="44" t="str">
        <f t="shared" si="25"/>
        <v/>
      </c>
    </row>
    <row r="207" spans="1:12">
      <c r="A207" s="1" t="str">
        <f t="shared" si="26"/>
        <v/>
      </c>
      <c r="F207" s="42" t="str">
        <f t="shared" si="21"/>
        <v/>
      </c>
      <c r="G207" s="42" t="str">
        <f t="shared" si="27"/>
        <v/>
      </c>
      <c r="H207" s="43" t="str">
        <f>IF(C207="","",GETPIVOTDATA("WinPips",ProfitRpt!$A$9,"Trade Month",C207,"Trade Year",B207))</f>
        <v/>
      </c>
      <c r="I207" s="42" t="str">
        <f t="shared" si="22"/>
        <v/>
      </c>
      <c r="J207" s="43" t="str">
        <f t="shared" si="23"/>
        <v/>
      </c>
      <c r="K207" s="44" t="str">
        <f t="shared" si="24"/>
        <v/>
      </c>
      <c r="L207" s="44" t="str">
        <f t="shared" si="25"/>
        <v/>
      </c>
    </row>
    <row r="208" spans="1:12">
      <c r="A208" s="1" t="str">
        <f t="shared" si="26"/>
        <v/>
      </c>
      <c r="F208" s="42" t="str">
        <f t="shared" si="21"/>
        <v/>
      </c>
      <c r="G208" s="42" t="str">
        <f t="shared" si="27"/>
        <v/>
      </c>
      <c r="H208" s="43" t="str">
        <f>IF(C208="","",GETPIVOTDATA("WinPips",ProfitRpt!$A$9,"Trade Month",C208,"Trade Year",B208))</f>
        <v/>
      </c>
      <c r="I208" s="42" t="str">
        <f t="shared" si="22"/>
        <v/>
      </c>
      <c r="J208" s="43" t="str">
        <f t="shared" si="23"/>
        <v/>
      </c>
      <c r="K208" s="44" t="str">
        <f t="shared" si="24"/>
        <v/>
      </c>
      <c r="L208" s="44" t="str">
        <f t="shared" si="25"/>
        <v/>
      </c>
    </row>
    <row r="209" spans="1:12">
      <c r="A209" s="1" t="str">
        <f t="shared" si="26"/>
        <v/>
      </c>
      <c r="F209" s="42" t="str">
        <f t="shared" si="21"/>
        <v/>
      </c>
      <c r="G209" s="42" t="str">
        <f t="shared" si="27"/>
        <v/>
      </c>
      <c r="H209" s="43" t="str">
        <f>IF(C209="","",GETPIVOTDATA("WinPips",ProfitRpt!$A$9,"Trade Month",C209,"Trade Year",B209))</f>
        <v/>
      </c>
      <c r="I209" s="42" t="str">
        <f t="shared" si="22"/>
        <v/>
      </c>
      <c r="J209" s="43" t="str">
        <f t="shared" si="23"/>
        <v/>
      </c>
      <c r="K209" s="44" t="str">
        <f t="shared" si="24"/>
        <v/>
      </c>
      <c r="L209" s="44" t="str">
        <f t="shared" si="25"/>
        <v/>
      </c>
    </row>
    <row r="210" spans="1:12">
      <c r="A210" s="1" t="str">
        <f t="shared" si="26"/>
        <v/>
      </c>
      <c r="F210" s="42" t="str">
        <f t="shared" si="21"/>
        <v/>
      </c>
      <c r="G210" s="42" t="str">
        <f t="shared" si="27"/>
        <v/>
      </c>
      <c r="H210" s="43" t="str">
        <f>IF(C210="","",GETPIVOTDATA("WinPips",ProfitRpt!$A$9,"Trade Month",C210,"Trade Year",B210))</f>
        <v/>
      </c>
      <c r="I210" s="42" t="str">
        <f t="shared" si="22"/>
        <v/>
      </c>
      <c r="J210" s="43" t="str">
        <f t="shared" si="23"/>
        <v/>
      </c>
      <c r="K210" s="44" t="str">
        <f t="shared" si="24"/>
        <v/>
      </c>
      <c r="L210" s="44" t="str">
        <f t="shared" si="25"/>
        <v/>
      </c>
    </row>
    <row r="211" spans="1:12">
      <c r="A211" s="1" t="str">
        <f t="shared" si="26"/>
        <v/>
      </c>
      <c r="F211" s="42" t="str">
        <f t="shared" si="21"/>
        <v/>
      </c>
      <c r="G211" s="42" t="str">
        <f t="shared" si="27"/>
        <v/>
      </c>
      <c r="H211" s="43" t="str">
        <f>IF(C211="","",GETPIVOTDATA("WinPips",ProfitRpt!$A$9,"Trade Month",C211,"Trade Year",B211))</f>
        <v/>
      </c>
      <c r="I211" s="42" t="str">
        <f t="shared" si="22"/>
        <v/>
      </c>
      <c r="J211" s="43" t="str">
        <f t="shared" si="23"/>
        <v/>
      </c>
      <c r="K211" s="44" t="str">
        <f t="shared" si="24"/>
        <v/>
      </c>
      <c r="L211" s="44" t="str">
        <f t="shared" si="25"/>
        <v/>
      </c>
    </row>
    <row r="212" spans="1:12">
      <c r="A212" s="1" t="str">
        <f t="shared" si="26"/>
        <v/>
      </c>
      <c r="F212" s="42" t="str">
        <f t="shared" si="21"/>
        <v/>
      </c>
      <c r="G212" s="42" t="str">
        <f t="shared" si="27"/>
        <v/>
      </c>
      <c r="H212" s="43" t="str">
        <f>IF(C212="","",GETPIVOTDATA("WinPips",ProfitRpt!$A$9,"Trade Month",C212,"Trade Year",B212))</f>
        <v/>
      </c>
      <c r="I212" s="42" t="str">
        <f t="shared" si="22"/>
        <v/>
      </c>
      <c r="J212" s="43" t="str">
        <f t="shared" si="23"/>
        <v/>
      </c>
      <c r="K212" s="44" t="str">
        <f t="shared" si="24"/>
        <v/>
      </c>
      <c r="L212" s="44" t="str">
        <f t="shared" si="25"/>
        <v/>
      </c>
    </row>
    <row r="213" spans="1:12">
      <c r="A213" s="1" t="str">
        <f t="shared" si="26"/>
        <v/>
      </c>
      <c r="F213" s="42" t="str">
        <f t="shared" si="21"/>
        <v/>
      </c>
      <c r="G213" s="42" t="str">
        <f t="shared" si="27"/>
        <v/>
      </c>
      <c r="H213" s="43" t="str">
        <f>IF(C213="","",GETPIVOTDATA("WinPips",ProfitRpt!$A$9,"Trade Month",C213,"Trade Year",B213))</f>
        <v/>
      </c>
      <c r="I213" s="42" t="str">
        <f t="shared" si="22"/>
        <v/>
      </c>
      <c r="J213" s="43" t="str">
        <f t="shared" si="23"/>
        <v/>
      </c>
      <c r="K213" s="44" t="str">
        <f t="shared" si="24"/>
        <v/>
      </c>
      <c r="L213" s="44" t="str">
        <f t="shared" si="25"/>
        <v/>
      </c>
    </row>
    <row r="214" spans="1:12">
      <c r="A214" s="1" t="str">
        <f t="shared" si="26"/>
        <v/>
      </c>
      <c r="F214" s="42" t="str">
        <f t="shared" si="21"/>
        <v/>
      </c>
      <c r="G214" s="42" t="str">
        <f t="shared" si="27"/>
        <v/>
      </c>
      <c r="H214" s="43" t="str">
        <f>IF(C214="","",GETPIVOTDATA("WinPips",ProfitRpt!$A$9,"Trade Month",C214,"Trade Year",B214))</f>
        <v/>
      </c>
      <c r="I214" s="42" t="str">
        <f t="shared" si="22"/>
        <v/>
      </c>
      <c r="J214" s="43" t="str">
        <f t="shared" si="23"/>
        <v/>
      </c>
      <c r="K214" s="44" t="str">
        <f t="shared" si="24"/>
        <v/>
      </c>
      <c r="L214" s="44" t="str">
        <f t="shared" si="25"/>
        <v/>
      </c>
    </row>
    <row r="215" spans="1:12">
      <c r="A215" s="1" t="str">
        <f t="shared" si="26"/>
        <v/>
      </c>
      <c r="F215" s="42" t="str">
        <f t="shared" si="21"/>
        <v/>
      </c>
      <c r="G215" s="42" t="str">
        <f t="shared" si="27"/>
        <v/>
      </c>
      <c r="H215" s="43" t="str">
        <f>IF(C215="","",GETPIVOTDATA("WinPips",ProfitRpt!$A$9,"Trade Month",C215,"Trade Year",B215))</f>
        <v/>
      </c>
      <c r="I215" s="42" t="str">
        <f t="shared" si="22"/>
        <v/>
      </c>
      <c r="J215" s="43" t="str">
        <f t="shared" si="23"/>
        <v/>
      </c>
      <c r="K215" s="44" t="str">
        <f t="shared" si="24"/>
        <v/>
      </c>
      <c r="L215" s="44" t="str">
        <f t="shared" si="25"/>
        <v/>
      </c>
    </row>
    <row r="216" spans="1:12">
      <c r="A216" s="1" t="str">
        <f t="shared" si="26"/>
        <v/>
      </c>
      <c r="F216" s="42" t="str">
        <f t="shared" si="21"/>
        <v/>
      </c>
      <c r="G216" s="42" t="str">
        <f t="shared" si="27"/>
        <v/>
      </c>
      <c r="H216" s="43" t="str">
        <f>IF(C216="","",GETPIVOTDATA("WinPips",ProfitRpt!$A$9,"Trade Month",C216,"Trade Year",B216))</f>
        <v/>
      </c>
      <c r="I216" s="42" t="str">
        <f t="shared" si="22"/>
        <v/>
      </c>
      <c r="J216" s="43" t="str">
        <f t="shared" si="23"/>
        <v/>
      </c>
      <c r="K216" s="44" t="str">
        <f t="shared" si="24"/>
        <v/>
      </c>
      <c r="L216" s="44" t="str">
        <f t="shared" si="25"/>
        <v/>
      </c>
    </row>
    <row r="217" spans="1:12">
      <c r="A217" s="1" t="str">
        <f t="shared" si="26"/>
        <v/>
      </c>
      <c r="F217" s="42" t="str">
        <f t="shared" si="21"/>
        <v/>
      </c>
      <c r="G217" s="42" t="str">
        <f t="shared" si="27"/>
        <v/>
      </c>
      <c r="H217" s="43" t="str">
        <f>IF(C217="","",GETPIVOTDATA("WinPips",ProfitRpt!$A$9,"Trade Month",C217,"Trade Year",B217))</f>
        <v/>
      </c>
      <c r="I217" s="42" t="str">
        <f t="shared" si="22"/>
        <v/>
      </c>
      <c r="J217" s="43" t="str">
        <f t="shared" si="23"/>
        <v/>
      </c>
      <c r="K217" s="44" t="str">
        <f t="shared" si="24"/>
        <v/>
      </c>
      <c r="L217" s="44" t="str">
        <f t="shared" si="25"/>
        <v/>
      </c>
    </row>
    <row r="218" spans="1:12">
      <c r="A218" s="1" t="str">
        <f t="shared" si="26"/>
        <v/>
      </c>
      <c r="F218" s="42" t="str">
        <f t="shared" si="21"/>
        <v/>
      </c>
      <c r="G218" s="42" t="str">
        <f t="shared" si="27"/>
        <v/>
      </c>
      <c r="H218" s="43" t="str">
        <f>IF(C218="","",GETPIVOTDATA("WinPips",ProfitRpt!$A$9,"Trade Month",C218,"Trade Year",B218))</f>
        <v/>
      </c>
      <c r="I218" s="42" t="str">
        <f t="shared" si="22"/>
        <v/>
      </c>
      <c r="J218" s="43" t="str">
        <f t="shared" si="23"/>
        <v/>
      </c>
      <c r="K218" s="44" t="str">
        <f t="shared" si="24"/>
        <v/>
      </c>
      <c r="L218" s="44" t="str">
        <f t="shared" si="25"/>
        <v/>
      </c>
    </row>
    <row r="219" spans="1:12">
      <c r="A219" s="1" t="str">
        <f t="shared" si="26"/>
        <v/>
      </c>
      <c r="F219" s="42" t="str">
        <f t="shared" si="21"/>
        <v/>
      </c>
      <c r="G219" s="42" t="str">
        <f t="shared" si="27"/>
        <v/>
      </c>
      <c r="H219" s="43" t="str">
        <f>IF(C219="","",GETPIVOTDATA("WinPips",ProfitRpt!$A$9,"Trade Month",C219,"Trade Year",B219))</f>
        <v/>
      </c>
      <c r="I219" s="42" t="str">
        <f t="shared" si="22"/>
        <v/>
      </c>
      <c r="J219" s="43" t="str">
        <f t="shared" si="23"/>
        <v/>
      </c>
      <c r="K219" s="44" t="str">
        <f t="shared" si="24"/>
        <v/>
      </c>
      <c r="L219" s="44" t="str">
        <f t="shared" si="25"/>
        <v/>
      </c>
    </row>
    <row r="220" spans="1:12">
      <c r="A220" s="1" t="str">
        <f t="shared" si="26"/>
        <v/>
      </c>
      <c r="F220" s="42" t="str">
        <f t="shared" si="21"/>
        <v/>
      </c>
      <c r="G220" s="42" t="str">
        <f t="shared" si="27"/>
        <v/>
      </c>
      <c r="H220" s="43" t="str">
        <f>IF(C220="","",GETPIVOTDATA("WinPips",ProfitRpt!$A$9,"Trade Month",C220,"Trade Year",B220))</f>
        <v/>
      </c>
      <c r="I220" s="42" t="str">
        <f t="shared" si="22"/>
        <v/>
      </c>
      <c r="J220" s="43" t="str">
        <f t="shared" si="23"/>
        <v/>
      </c>
      <c r="K220" s="44" t="str">
        <f t="shared" si="24"/>
        <v/>
      </c>
      <c r="L220" s="44" t="str">
        <f t="shared" si="25"/>
        <v/>
      </c>
    </row>
    <row r="221" spans="1:12">
      <c r="A221" s="1" t="str">
        <f t="shared" si="26"/>
        <v/>
      </c>
      <c r="F221" s="42" t="str">
        <f t="shared" si="21"/>
        <v/>
      </c>
      <c r="G221" s="42" t="str">
        <f t="shared" si="27"/>
        <v/>
      </c>
      <c r="H221" s="43" t="str">
        <f>IF(C221="","",GETPIVOTDATA("WinPips",ProfitRpt!$A$9,"Trade Month",C221,"Trade Year",B221))</f>
        <v/>
      </c>
      <c r="I221" s="42" t="str">
        <f t="shared" si="22"/>
        <v/>
      </c>
      <c r="J221" s="43" t="str">
        <f t="shared" si="23"/>
        <v/>
      </c>
      <c r="K221" s="44" t="str">
        <f t="shared" si="24"/>
        <v/>
      </c>
      <c r="L221" s="44" t="str">
        <f t="shared" si="25"/>
        <v/>
      </c>
    </row>
    <row r="222" spans="1:12">
      <c r="A222" s="1" t="str">
        <f t="shared" si="26"/>
        <v/>
      </c>
      <c r="F222" s="42" t="str">
        <f t="shared" si="21"/>
        <v/>
      </c>
      <c r="G222" s="42" t="str">
        <f t="shared" si="27"/>
        <v/>
      </c>
      <c r="H222" s="43" t="str">
        <f>IF(C222="","",GETPIVOTDATA("WinPips",ProfitRpt!$A$9,"Trade Month",C222,"Trade Year",B222))</f>
        <v/>
      </c>
      <c r="I222" s="42" t="str">
        <f t="shared" si="22"/>
        <v/>
      </c>
      <c r="J222" s="43" t="str">
        <f t="shared" si="23"/>
        <v/>
      </c>
      <c r="K222" s="44" t="str">
        <f t="shared" si="24"/>
        <v/>
      </c>
      <c r="L222" s="44" t="str">
        <f t="shared" si="25"/>
        <v/>
      </c>
    </row>
    <row r="223" spans="1:12">
      <c r="A223" s="1" t="str">
        <f t="shared" si="26"/>
        <v/>
      </c>
      <c r="F223" s="42" t="str">
        <f t="shared" si="21"/>
        <v/>
      </c>
      <c r="G223" s="42" t="str">
        <f t="shared" si="27"/>
        <v/>
      </c>
      <c r="H223" s="43" t="str">
        <f>IF(C223="","",GETPIVOTDATA("WinPips",ProfitRpt!$A$9,"Trade Month",C223,"Trade Year",B223))</f>
        <v/>
      </c>
      <c r="I223" s="42" t="str">
        <f t="shared" si="22"/>
        <v/>
      </c>
      <c r="J223" s="43" t="str">
        <f t="shared" si="23"/>
        <v/>
      </c>
      <c r="K223" s="44" t="str">
        <f t="shared" si="24"/>
        <v/>
      </c>
      <c r="L223" s="44" t="str">
        <f t="shared" si="25"/>
        <v/>
      </c>
    </row>
    <row r="224" spans="1:12">
      <c r="A224" s="1" t="str">
        <f t="shared" si="26"/>
        <v/>
      </c>
      <c r="F224" s="42" t="str">
        <f t="shared" si="21"/>
        <v/>
      </c>
      <c r="G224" s="42" t="str">
        <f t="shared" si="27"/>
        <v/>
      </c>
      <c r="H224" s="43" t="str">
        <f>IF(C224="","",GETPIVOTDATA("WinPips",ProfitRpt!$A$9,"Trade Month",C224,"Trade Year",B224))</f>
        <v/>
      </c>
      <c r="I224" s="42" t="str">
        <f t="shared" si="22"/>
        <v/>
      </c>
      <c r="J224" s="43" t="str">
        <f t="shared" si="23"/>
        <v/>
      </c>
      <c r="K224" s="44" t="str">
        <f t="shared" si="24"/>
        <v/>
      </c>
      <c r="L224" s="44" t="str">
        <f t="shared" si="25"/>
        <v/>
      </c>
    </row>
    <row r="225" spans="1:12">
      <c r="A225" s="1" t="str">
        <f t="shared" si="26"/>
        <v/>
      </c>
      <c r="F225" s="42" t="str">
        <f t="shared" si="21"/>
        <v/>
      </c>
      <c r="G225" s="42" t="str">
        <f t="shared" si="27"/>
        <v/>
      </c>
      <c r="H225" s="43" t="str">
        <f>IF(C225="","",GETPIVOTDATA("WinPips",ProfitRpt!$A$9,"Trade Month",C225,"Trade Year",B225))</f>
        <v/>
      </c>
      <c r="I225" s="42" t="str">
        <f t="shared" si="22"/>
        <v/>
      </c>
      <c r="J225" s="43" t="str">
        <f t="shared" si="23"/>
        <v/>
      </c>
      <c r="K225" s="44" t="str">
        <f t="shared" si="24"/>
        <v/>
      </c>
      <c r="L225" s="44" t="str">
        <f t="shared" si="25"/>
        <v/>
      </c>
    </row>
    <row r="226" spans="1:12">
      <c r="A226" s="1" t="str">
        <f t="shared" si="26"/>
        <v/>
      </c>
      <c r="F226" s="42" t="str">
        <f t="shared" si="21"/>
        <v/>
      </c>
      <c r="G226" s="42" t="str">
        <f t="shared" si="27"/>
        <v/>
      </c>
      <c r="H226" s="43" t="str">
        <f>IF(C226="","",GETPIVOTDATA("WinPips",ProfitRpt!$A$9,"Trade Month",C226,"Trade Year",B226))</f>
        <v/>
      </c>
      <c r="I226" s="42" t="str">
        <f t="shared" si="22"/>
        <v/>
      </c>
      <c r="J226" s="43" t="str">
        <f t="shared" si="23"/>
        <v/>
      </c>
      <c r="K226" s="44" t="str">
        <f t="shared" si="24"/>
        <v/>
      </c>
      <c r="L226" s="44" t="str">
        <f t="shared" si="25"/>
        <v/>
      </c>
    </row>
    <row r="227" spans="1:12">
      <c r="A227" s="1" t="str">
        <f t="shared" si="26"/>
        <v/>
      </c>
      <c r="F227" s="42" t="str">
        <f t="shared" si="21"/>
        <v/>
      </c>
      <c r="G227" s="42" t="str">
        <f t="shared" si="27"/>
        <v/>
      </c>
      <c r="H227" s="43" t="str">
        <f>IF(C227="","",GETPIVOTDATA("WinPips",ProfitRpt!$A$9,"Trade Month",C227,"Trade Year",B227))</f>
        <v/>
      </c>
      <c r="I227" s="42" t="str">
        <f t="shared" si="22"/>
        <v/>
      </c>
      <c r="J227" s="43" t="str">
        <f t="shared" si="23"/>
        <v/>
      </c>
      <c r="K227" s="44" t="str">
        <f t="shared" si="24"/>
        <v/>
      </c>
      <c r="L227" s="44" t="str">
        <f t="shared" si="25"/>
        <v/>
      </c>
    </row>
    <row r="228" spans="1:12">
      <c r="A228" s="1" t="str">
        <f t="shared" si="26"/>
        <v/>
      </c>
      <c r="F228" s="42" t="str">
        <f t="shared" si="21"/>
        <v/>
      </c>
      <c r="G228" s="42" t="str">
        <f t="shared" si="27"/>
        <v/>
      </c>
      <c r="H228" s="43" t="str">
        <f>IF(C228="","",GETPIVOTDATA("WinPips",ProfitRpt!$A$9,"Trade Month",C228,"Trade Year",B228))</f>
        <v/>
      </c>
      <c r="I228" s="42" t="str">
        <f t="shared" si="22"/>
        <v/>
      </c>
      <c r="J228" s="43" t="str">
        <f t="shared" si="23"/>
        <v/>
      </c>
      <c r="K228" s="44" t="str">
        <f t="shared" si="24"/>
        <v/>
      </c>
      <c r="L228" s="44" t="str">
        <f t="shared" si="25"/>
        <v/>
      </c>
    </row>
    <row r="229" spans="1:12">
      <c r="A229" s="1" t="str">
        <f t="shared" si="26"/>
        <v/>
      </c>
      <c r="F229" s="42" t="str">
        <f t="shared" si="21"/>
        <v/>
      </c>
      <c r="G229" s="42" t="str">
        <f t="shared" si="27"/>
        <v/>
      </c>
      <c r="H229" s="43" t="str">
        <f>IF(C229="","",GETPIVOTDATA("WinPips",ProfitRpt!$A$9,"Trade Month",C229,"Trade Year",B229))</f>
        <v/>
      </c>
      <c r="I229" s="42" t="str">
        <f t="shared" si="22"/>
        <v/>
      </c>
      <c r="J229" s="43" t="str">
        <f t="shared" si="23"/>
        <v/>
      </c>
      <c r="K229" s="44" t="str">
        <f t="shared" si="24"/>
        <v/>
      </c>
      <c r="L229" s="44" t="str">
        <f t="shared" si="25"/>
        <v/>
      </c>
    </row>
    <row r="230" spans="1:12">
      <c r="A230" s="1" t="str">
        <f t="shared" si="26"/>
        <v/>
      </c>
      <c r="F230" s="42" t="str">
        <f t="shared" si="21"/>
        <v/>
      </c>
      <c r="G230" s="42" t="str">
        <f t="shared" si="27"/>
        <v/>
      </c>
      <c r="H230" s="43" t="str">
        <f>IF(C230="","",GETPIVOTDATA("WinPips",ProfitRpt!$A$9,"Trade Month",C230,"Trade Year",B230))</f>
        <v/>
      </c>
      <c r="I230" s="42" t="str">
        <f t="shared" si="22"/>
        <v/>
      </c>
      <c r="J230" s="43" t="str">
        <f t="shared" si="23"/>
        <v/>
      </c>
      <c r="K230" s="44" t="str">
        <f t="shared" si="24"/>
        <v/>
      </c>
      <c r="L230" s="44" t="str">
        <f t="shared" si="25"/>
        <v/>
      </c>
    </row>
    <row r="231" spans="1:12">
      <c r="A231" s="1" t="str">
        <f t="shared" si="26"/>
        <v/>
      </c>
      <c r="F231" s="42" t="str">
        <f t="shared" si="21"/>
        <v/>
      </c>
      <c r="G231" s="42" t="str">
        <f t="shared" si="27"/>
        <v/>
      </c>
      <c r="H231" s="43" t="str">
        <f>IF(C231="","",GETPIVOTDATA("WinPips",ProfitRpt!$A$9,"Trade Month",C231,"Trade Year",B231))</f>
        <v/>
      </c>
      <c r="I231" s="42" t="str">
        <f t="shared" si="22"/>
        <v/>
      </c>
      <c r="J231" s="43" t="str">
        <f t="shared" si="23"/>
        <v/>
      </c>
      <c r="K231" s="44" t="str">
        <f t="shared" si="24"/>
        <v/>
      </c>
      <c r="L231" s="44" t="str">
        <f t="shared" si="25"/>
        <v/>
      </c>
    </row>
    <row r="232" spans="1:12">
      <c r="A232" s="1" t="str">
        <f t="shared" si="26"/>
        <v/>
      </c>
      <c r="F232" s="42" t="str">
        <f t="shared" si="21"/>
        <v/>
      </c>
      <c r="G232" s="42" t="str">
        <f t="shared" si="27"/>
        <v/>
      </c>
      <c r="H232" s="43" t="str">
        <f>IF(C232="","",GETPIVOTDATA("WinPips",ProfitRpt!$A$9,"Trade Month",C232,"Trade Year",B232))</f>
        <v/>
      </c>
      <c r="I232" s="42" t="str">
        <f t="shared" si="22"/>
        <v/>
      </c>
      <c r="J232" s="43" t="str">
        <f t="shared" si="23"/>
        <v/>
      </c>
      <c r="K232" s="44" t="str">
        <f t="shared" si="24"/>
        <v/>
      </c>
      <c r="L232" s="44" t="str">
        <f t="shared" si="25"/>
        <v/>
      </c>
    </row>
    <row r="233" spans="1:12">
      <c r="A233" s="1" t="str">
        <f t="shared" si="26"/>
        <v/>
      </c>
      <c r="F233" s="42" t="str">
        <f t="shared" si="21"/>
        <v/>
      </c>
      <c r="G233" s="42" t="str">
        <f t="shared" si="27"/>
        <v/>
      </c>
      <c r="H233" s="43" t="str">
        <f>IF(C233="","",GETPIVOTDATA("WinPips",ProfitRpt!$A$9,"Trade Month",C233,"Trade Year",B233))</f>
        <v/>
      </c>
      <c r="I233" s="42" t="str">
        <f t="shared" si="22"/>
        <v/>
      </c>
      <c r="J233" s="43" t="str">
        <f t="shared" si="23"/>
        <v/>
      </c>
      <c r="K233" s="44" t="str">
        <f t="shared" si="24"/>
        <v/>
      </c>
      <c r="L233" s="44" t="str">
        <f t="shared" si="25"/>
        <v/>
      </c>
    </row>
    <row r="234" spans="1:12">
      <c r="A234" s="1" t="str">
        <f t="shared" si="26"/>
        <v/>
      </c>
      <c r="F234" s="42" t="str">
        <f t="shared" si="21"/>
        <v/>
      </c>
      <c r="G234" s="42" t="str">
        <f t="shared" si="27"/>
        <v/>
      </c>
      <c r="H234" s="43" t="str">
        <f>IF(C234="","",GETPIVOTDATA("WinPips",ProfitRpt!$A$9,"Trade Month",C234,"Trade Year",B234))</f>
        <v/>
      </c>
      <c r="I234" s="42" t="str">
        <f t="shared" si="22"/>
        <v/>
      </c>
      <c r="J234" s="43" t="str">
        <f t="shared" si="23"/>
        <v/>
      </c>
      <c r="K234" s="44" t="str">
        <f t="shared" si="24"/>
        <v/>
      </c>
      <c r="L234" s="44" t="str">
        <f t="shared" si="25"/>
        <v/>
      </c>
    </row>
    <row r="235" spans="1:12">
      <c r="A235" s="1" t="str">
        <f t="shared" si="26"/>
        <v/>
      </c>
      <c r="F235" s="42" t="str">
        <f t="shared" si="21"/>
        <v/>
      </c>
      <c r="G235" s="42" t="str">
        <f t="shared" si="27"/>
        <v/>
      </c>
      <c r="H235" s="43" t="str">
        <f>IF(C235="","",GETPIVOTDATA("WinPips",ProfitRpt!$A$9,"Trade Month",C235,"Trade Year",B235))</f>
        <v/>
      </c>
      <c r="I235" s="42" t="str">
        <f t="shared" si="22"/>
        <v/>
      </c>
      <c r="J235" s="43" t="str">
        <f t="shared" si="23"/>
        <v/>
      </c>
      <c r="K235" s="44" t="str">
        <f t="shared" si="24"/>
        <v/>
      </c>
      <c r="L235" s="44" t="str">
        <f t="shared" si="25"/>
        <v/>
      </c>
    </row>
    <row r="236" spans="1:12">
      <c r="A236" s="1" t="str">
        <f t="shared" si="26"/>
        <v/>
      </c>
      <c r="F236" s="42" t="str">
        <f t="shared" si="21"/>
        <v/>
      </c>
      <c r="G236" s="42" t="str">
        <f t="shared" si="27"/>
        <v/>
      </c>
      <c r="H236" s="43" t="str">
        <f>IF(C236="","",GETPIVOTDATA("WinPips",ProfitRpt!$A$9,"Trade Month",C236,"Trade Year",B236))</f>
        <v/>
      </c>
      <c r="I236" s="42" t="str">
        <f t="shared" si="22"/>
        <v/>
      </c>
      <c r="J236" s="43" t="str">
        <f t="shared" si="23"/>
        <v/>
      </c>
      <c r="K236" s="44" t="str">
        <f t="shared" si="24"/>
        <v/>
      </c>
      <c r="L236" s="44" t="str">
        <f t="shared" si="25"/>
        <v/>
      </c>
    </row>
    <row r="237" spans="1:12">
      <c r="A237" s="1" t="str">
        <f t="shared" si="26"/>
        <v/>
      </c>
      <c r="F237" s="42" t="str">
        <f t="shared" si="21"/>
        <v/>
      </c>
      <c r="G237" s="42" t="str">
        <f t="shared" si="27"/>
        <v/>
      </c>
      <c r="H237" s="43" t="str">
        <f>IF(C237="","",GETPIVOTDATA("WinPips",ProfitRpt!$A$9,"Trade Month",C237,"Trade Year",B237))</f>
        <v/>
      </c>
      <c r="I237" s="42" t="str">
        <f t="shared" si="22"/>
        <v/>
      </c>
      <c r="J237" s="43" t="str">
        <f t="shared" si="23"/>
        <v/>
      </c>
      <c r="K237" s="44" t="str">
        <f t="shared" si="24"/>
        <v/>
      </c>
      <c r="L237" s="44" t="str">
        <f t="shared" si="25"/>
        <v/>
      </c>
    </row>
    <row r="238" spans="1:12">
      <c r="A238" s="1" t="str">
        <f t="shared" si="26"/>
        <v/>
      </c>
      <c r="F238" s="42" t="str">
        <f t="shared" si="21"/>
        <v/>
      </c>
      <c r="G238" s="42" t="str">
        <f t="shared" si="27"/>
        <v/>
      </c>
      <c r="H238" s="43" t="str">
        <f>IF(C238="","",GETPIVOTDATA("WinPips",ProfitRpt!$A$9,"Trade Month",C238,"Trade Year",B238))</f>
        <v/>
      </c>
      <c r="I238" s="42" t="str">
        <f t="shared" si="22"/>
        <v/>
      </c>
      <c r="J238" s="43" t="str">
        <f t="shared" si="23"/>
        <v/>
      </c>
      <c r="K238" s="44" t="str">
        <f t="shared" si="24"/>
        <v/>
      </c>
      <c r="L238" s="44" t="str">
        <f t="shared" si="25"/>
        <v/>
      </c>
    </row>
    <row r="239" spans="1:12">
      <c r="A239" s="1" t="str">
        <f t="shared" si="26"/>
        <v/>
      </c>
      <c r="F239" s="42" t="str">
        <f t="shared" si="21"/>
        <v/>
      </c>
      <c r="G239" s="42" t="str">
        <f t="shared" si="27"/>
        <v/>
      </c>
      <c r="H239" s="43" t="str">
        <f>IF(C239="","",GETPIVOTDATA("WinPips",ProfitRpt!$A$9,"Trade Month",C239,"Trade Year",B239))</f>
        <v/>
      </c>
      <c r="I239" s="42" t="str">
        <f t="shared" si="22"/>
        <v/>
      </c>
      <c r="J239" s="43" t="str">
        <f t="shared" si="23"/>
        <v/>
      </c>
      <c r="K239" s="44" t="str">
        <f t="shared" si="24"/>
        <v/>
      </c>
      <c r="L239" s="44" t="str">
        <f t="shared" si="25"/>
        <v/>
      </c>
    </row>
    <row r="240" spans="1:12">
      <c r="A240" s="1" t="str">
        <f t="shared" si="26"/>
        <v/>
      </c>
      <c r="F240" s="42" t="str">
        <f t="shared" si="21"/>
        <v/>
      </c>
      <c r="G240" s="42" t="str">
        <f t="shared" si="27"/>
        <v/>
      </c>
      <c r="H240" s="43" t="str">
        <f>IF(C240="","",GETPIVOTDATA("WinPips",ProfitRpt!$A$9,"Trade Month",C240,"Trade Year",B240))</f>
        <v/>
      </c>
      <c r="I240" s="42" t="str">
        <f t="shared" si="22"/>
        <v/>
      </c>
      <c r="J240" s="43" t="str">
        <f t="shared" si="23"/>
        <v/>
      </c>
      <c r="K240" s="44" t="str">
        <f t="shared" si="24"/>
        <v/>
      </c>
      <c r="L240" s="44" t="str">
        <f t="shared" si="25"/>
        <v/>
      </c>
    </row>
    <row r="241" spans="1:12">
      <c r="A241" s="1" t="str">
        <f t="shared" si="26"/>
        <v/>
      </c>
      <c r="F241" s="42" t="str">
        <f t="shared" si="21"/>
        <v/>
      </c>
      <c r="G241" s="42" t="str">
        <f t="shared" si="27"/>
        <v/>
      </c>
      <c r="H241" s="43" t="str">
        <f>IF(C241="","",GETPIVOTDATA("WinPips",ProfitRpt!$A$9,"Trade Month",C241,"Trade Year",B241))</f>
        <v/>
      </c>
      <c r="I241" s="42" t="str">
        <f t="shared" si="22"/>
        <v/>
      </c>
      <c r="J241" s="43" t="str">
        <f t="shared" si="23"/>
        <v/>
      </c>
      <c r="K241" s="44" t="str">
        <f t="shared" si="24"/>
        <v/>
      </c>
      <c r="L241" s="44" t="str">
        <f t="shared" si="25"/>
        <v/>
      </c>
    </row>
    <row r="242" spans="1:12">
      <c r="A242" s="1" t="str">
        <f t="shared" si="26"/>
        <v/>
      </c>
      <c r="F242" s="42" t="str">
        <f t="shared" si="21"/>
        <v/>
      </c>
      <c r="G242" s="42" t="str">
        <f t="shared" si="27"/>
        <v/>
      </c>
      <c r="H242" s="43" t="str">
        <f>IF(C242="","",GETPIVOTDATA("WinPips",ProfitRpt!$A$9,"Trade Month",C242,"Trade Year",B242))</f>
        <v/>
      </c>
      <c r="I242" s="42" t="str">
        <f t="shared" si="22"/>
        <v/>
      </c>
      <c r="J242" s="43" t="str">
        <f t="shared" si="23"/>
        <v/>
      </c>
      <c r="K242" s="44" t="str">
        <f t="shared" si="24"/>
        <v/>
      </c>
      <c r="L242" s="44" t="str">
        <f t="shared" si="25"/>
        <v/>
      </c>
    </row>
    <row r="243" spans="1:12">
      <c r="A243" s="1" t="str">
        <f t="shared" si="26"/>
        <v/>
      </c>
      <c r="F243" s="42" t="str">
        <f t="shared" si="21"/>
        <v/>
      </c>
      <c r="G243" s="42" t="str">
        <f t="shared" si="27"/>
        <v/>
      </c>
      <c r="H243" s="43" t="str">
        <f>IF(C243="","",GETPIVOTDATA("WinPips",ProfitRpt!$A$9,"Trade Month",C243,"Trade Year",B243))</f>
        <v/>
      </c>
      <c r="I243" s="42" t="str">
        <f t="shared" si="22"/>
        <v/>
      </c>
      <c r="J243" s="43" t="str">
        <f t="shared" si="23"/>
        <v/>
      </c>
      <c r="K243" s="44" t="str">
        <f t="shared" si="24"/>
        <v/>
      </c>
      <c r="L243" s="44" t="str">
        <f t="shared" si="25"/>
        <v/>
      </c>
    </row>
    <row r="244" spans="1:12">
      <c r="A244" s="1" t="str">
        <f t="shared" si="26"/>
        <v/>
      </c>
      <c r="F244" s="42" t="str">
        <f t="shared" si="21"/>
        <v/>
      </c>
      <c r="G244" s="42" t="str">
        <f t="shared" si="27"/>
        <v/>
      </c>
      <c r="H244" s="43" t="str">
        <f>IF(C244="","",GETPIVOTDATA("WinPips",ProfitRpt!$A$9,"Trade Month",C244,"Trade Year",B244))</f>
        <v/>
      </c>
      <c r="I244" s="42" t="str">
        <f t="shared" si="22"/>
        <v/>
      </c>
      <c r="J244" s="43" t="str">
        <f t="shared" si="23"/>
        <v/>
      </c>
      <c r="K244" s="44" t="str">
        <f t="shared" si="24"/>
        <v/>
      </c>
      <c r="L244" s="44" t="str">
        <f t="shared" si="25"/>
        <v/>
      </c>
    </row>
    <row r="245" spans="1:12">
      <c r="A245" s="1" t="str">
        <f t="shared" si="26"/>
        <v/>
      </c>
      <c r="F245" s="42" t="str">
        <f t="shared" si="21"/>
        <v/>
      </c>
      <c r="G245" s="42" t="str">
        <f t="shared" si="27"/>
        <v/>
      </c>
      <c r="H245" s="43" t="str">
        <f>IF(C245="","",GETPIVOTDATA("WinPips",ProfitRpt!$A$9,"Trade Month",C245,"Trade Year",B245))</f>
        <v/>
      </c>
      <c r="I245" s="42" t="str">
        <f t="shared" si="22"/>
        <v/>
      </c>
      <c r="J245" s="43" t="str">
        <f t="shared" si="23"/>
        <v/>
      </c>
      <c r="K245" s="44" t="str">
        <f t="shared" si="24"/>
        <v/>
      </c>
      <c r="L245" s="44" t="str">
        <f t="shared" si="25"/>
        <v/>
      </c>
    </row>
    <row r="246" spans="1:12">
      <c r="A246" s="1" t="str">
        <f t="shared" si="26"/>
        <v/>
      </c>
      <c r="F246" s="42" t="str">
        <f t="shared" si="21"/>
        <v/>
      </c>
      <c r="G246" s="42" t="str">
        <f t="shared" si="27"/>
        <v/>
      </c>
      <c r="H246" s="43" t="str">
        <f>IF(C246="","",GETPIVOTDATA("WinPips",ProfitRpt!$A$9,"Trade Month",C246,"Trade Year",B246))</f>
        <v/>
      </c>
      <c r="I246" s="42" t="str">
        <f t="shared" si="22"/>
        <v/>
      </c>
      <c r="J246" s="43" t="str">
        <f t="shared" si="23"/>
        <v/>
      </c>
      <c r="K246" s="44" t="str">
        <f t="shared" si="24"/>
        <v/>
      </c>
      <c r="L246" s="44" t="str">
        <f t="shared" si="25"/>
        <v/>
      </c>
    </row>
    <row r="247" spans="1:12">
      <c r="A247" s="1" t="str">
        <f t="shared" si="26"/>
        <v/>
      </c>
      <c r="F247" s="42" t="str">
        <f t="shared" si="21"/>
        <v/>
      </c>
      <c r="G247" s="42" t="str">
        <f t="shared" si="27"/>
        <v/>
      </c>
      <c r="H247" s="43" t="str">
        <f>IF(C247="","",GETPIVOTDATA("WinPips",ProfitRpt!$A$9,"Trade Month",C247,"Trade Year",B247))</f>
        <v/>
      </c>
      <c r="I247" s="42" t="str">
        <f t="shared" si="22"/>
        <v/>
      </c>
      <c r="J247" s="43" t="str">
        <f t="shared" si="23"/>
        <v/>
      </c>
      <c r="K247" s="44" t="str">
        <f t="shared" si="24"/>
        <v/>
      </c>
      <c r="L247" s="44" t="str">
        <f t="shared" si="25"/>
        <v/>
      </c>
    </row>
    <row r="248" spans="1:12">
      <c r="A248" s="1" t="str">
        <f t="shared" si="26"/>
        <v/>
      </c>
      <c r="F248" s="42" t="str">
        <f t="shared" si="21"/>
        <v/>
      </c>
      <c r="G248" s="42" t="str">
        <f t="shared" si="27"/>
        <v/>
      </c>
      <c r="H248" s="43" t="str">
        <f>IF(C248="","",GETPIVOTDATA("WinPips",ProfitRpt!$A$9,"Trade Month",C248,"Trade Year",B248))</f>
        <v/>
      </c>
      <c r="I248" s="42" t="str">
        <f t="shared" si="22"/>
        <v/>
      </c>
      <c r="J248" s="43" t="str">
        <f t="shared" si="23"/>
        <v/>
      </c>
      <c r="K248" s="44" t="str">
        <f t="shared" si="24"/>
        <v/>
      </c>
      <c r="L248" s="44" t="str">
        <f t="shared" si="25"/>
        <v/>
      </c>
    </row>
    <row r="249" spans="1:12">
      <c r="A249" s="1" t="str">
        <f t="shared" si="26"/>
        <v/>
      </c>
      <c r="F249" s="42" t="str">
        <f t="shared" si="21"/>
        <v/>
      </c>
      <c r="G249" s="42" t="str">
        <f t="shared" si="27"/>
        <v/>
      </c>
      <c r="H249" s="43" t="str">
        <f>IF(C249="","",GETPIVOTDATA("WinPips",ProfitRpt!$A$9,"Trade Month",C249,"Trade Year",B249))</f>
        <v/>
      </c>
      <c r="I249" s="42" t="str">
        <f t="shared" si="22"/>
        <v/>
      </c>
      <c r="J249" s="43" t="str">
        <f t="shared" si="23"/>
        <v/>
      </c>
      <c r="K249" s="44" t="str">
        <f t="shared" si="24"/>
        <v/>
      </c>
      <c r="L249" s="44" t="str">
        <f t="shared" si="25"/>
        <v/>
      </c>
    </row>
    <row r="250" spans="1:12">
      <c r="A250" s="1" t="str">
        <f t="shared" si="26"/>
        <v/>
      </c>
      <c r="F250" s="42" t="str">
        <f t="shared" si="21"/>
        <v/>
      </c>
      <c r="G250" s="42" t="str">
        <f t="shared" si="27"/>
        <v/>
      </c>
      <c r="H250" s="43" t="str">
        <f>IF(C250="","",GETPIVOTDATA("WinPips",ProfitRpt!$A$9,"Trade Month",C250,"Trade Year",B250))</f>
        <v/>
      </c>
      <c r="I250" s="42" t="str">
        <f t="shared" si="22"/>
        <v/>
      </c>
      <c r="J250" s="43" t="str">
        <f t="shared" si="23"/>
        <v/>
      </c>
      <c r="K250" s="44" t="str">
        <f t="shared" si="24"/>
        <v/>
      </c>
      <c r="L250" s="44" t="str">
        <f t="shared" si="25"/>
        <v/>
      </c>
    </row>
    <row r="251" spans="1:12">
      <c r="A251" s="1" t="str">
        <f t="shared" si="26"/>
        <v/>
      </c>
      <c r="F251" s="42" t="str">
        <f t="shared" si="21"/>
        <v/>
      </c>
      <c r="G251" s="42" t="str">
        <f t="shared" si="27"/>
        <v/>
      </c>
      <c r="H251" s="43" t="str">
        <f>IF(C251="","",GETPIVOTDATA("WinPips",ProfitRpt!$A$9,"Trade Month",C251,"Trade Year",B251))</f>
        <v/>
      </c>
      <c r="I251" s="42" t="str">
        <f t="shared" si="22"/>
        <v/>
      </c>
      <c r="J251" s="43" t="str">
        <f t="shared" si="23"/>
        <v/>
      </c>
      <c r="K251" s="44" t="str">
        <f t="shared" si="24"/>
        <v/>
      </c>
      <c r="L251" s="44" t="str">
        <f t="shared" si="25"/>
        <v/>
      </c>
    </row>
    <row r="252" spans="1:12">
      <c r="A252" s="1" t="str">
        <f t="shared" si="26"/>
        <v/>
      </c>
      <c r="F252" s="42" t="str">
        <f t="shared" si="21"/>
        <v/>
      </c>
      <c r="G252" s="42" t="str">
        <f t="shared" si="27"/>
        <v/>
      </c>
      <c r="H252" s="43" t="str">
        <f>IF(C252="","",GETPIVOTDATA("WinPips",ProfitRpt!$A$9,"Trade Month",C252,"Trade Year",B252))</f>
        <v/>
      </c>
      <c r="I252" s="42" t="str">
        <f t="shared" si="22"/>
        <v/>
      </c>
      <c r="J252" s="43" t="str">
        <f t="shared" si="23"/>
        <v/>
      </c>
      <c r="K252" s="44" t="str">
        <f t="shared" si="24"/>
        <v/>
      </c>
      <c r="L252" s="44" t="str">
        <f t="shared" si="25"/>
        <v/>
      </c>
    </row>
    <row r="253" spans="1:12">
      <c r="A253" s="1" t="str">
        <f t="shared" si="26"/>
        <v/>
      </c>
      <c r="F253" s="42" t="str">
        <f t="shared" si="21"/>
        <v/>
      </c>
      <c r="G253" s="42" t="str">
        <f t="shared" si="27"/>
        <v/>
      </c>
      <c r="H253" s="43" t="str">
        <f>IF(C253="","",GETPIVOTDATA("WinPips",ProfitRpt!$A$9,"Trade Month",C253,"Trade Year",B253))</f>
        <v/>
      </c>
      <c r="I253" s="42" t="str">
        <f t="shared" si="22"/>
        <v/>
      </c>
      <c r="J253" s="43" t="str">
        <f t="shared" si="23"/>
        <v/>
      </c>
      <c r="K253" s="44" t="str">
        <f t="shared" si="24"/>
        <v/>
      </c>
      <c r="L253" s="44" t="str">
        <f t="shared" si="25"/>
        <v/>
      </c>
    </row>
    <row r="254" spans="1:12">
      <c r="A254" s="1" t="str">
        <f t="shared" si="26"/>
        <v/>
      </c>
      <c r="F254" s="42" t="str">
        <f t="shared" si="21"/>
        <v/>
      </c>
      <c r="G254" s="42" t="str">
        <f t="shared" si="27"/>
        <v/>
      </c>
      <c r="H254" s="43" t="str">
        <f>IF(C254="","",GETPIVOTDATA("WinPips",ProfitRpt!$A$9,"Trade Month",C254,"Trade Year",B254))</f>
        <v/>
      </c>
      <c r="I254" s="42" t="str">
        <f t="shared" si="22"/>
        <v/>
      </c>
      <c r="J254" s="43" t="str">
        <f t="shared" si="23"/>
        <v/>
      </c>
      <c r="K254" s="44" t="str">
        <f t="shared" si="24"/>
        <v/>
      </c>
      <c r="L254" s="44" t="str">
        <f t="shared" si="25"/>
        <v/>
      </c>
    </row>
    <row r="255" spans="1:12">
      <c r="A255" s="1" t="str">
        <f t="shared" si="26"/>
        <v/>
      </c>
      <c r="F255" s="42" t="str">
        <f t="shared" si="21"/>
        <v/>
      </c>
      <c r="G255" s="42" t="str">
        <f t="shared" si="27"/>
        <v/>
      </c>
      <c r="H255" s="43" t="str">
        <f>IF(C255="","",GETPIVOTDATA("WinPips",ProfitRpt!$A$9,"Trade Month",C255,"Trade Year",B255))</f>
        <v/>
      </c>
      <c r="I255" s="42" t="str">
        <f t="shared" si="22"/>
        <v/>
      </c>
      <c r="J255" s="43" t="str">
        <f t="shared" si="23"/>
        <v/>
      </c>
      <c r="K255" s="44" t="str">
        <f t="shared" si="24"/>
        <v/>
      </c>
      <c r="L255" s="44" t="str">
        <f t="shared" si="25"/>
        <v/>
      </c>
    </row>
    <row r="256" spans="1:12">
      <c r="A256" s="1" t="str">
        <f t="shared" si="26"/>
        <v/>
      </c>
      <c r="F256" s="42" t="str">
        <f t="shared" si="21"/>
        <v/>
      </c>
      <c r="G256" s="42" t="str">
        <f t="shared" si="27"/>
        <v/>
      </c>
      <c r="H256" s="43" t="str">
        <f>IF(C256="","",GETPIVOTDATA("WinPips",ProfitRpt!$A$9,"Trade Month",C256,"Trade Year",B256))</f>
        <v/>
      </c>
      <c r="I256" s="42" t="str">
        <f t="shared" si="22"/>
        <v/>
      </c>
      <c r="J256" s="43" t="str">
        <f t="shared" si="23"/>
        <v/>
      </c>
      <c r="K256" s="44" t="str">
        <f t="shared" si="24"/>
        <v/>
      </c>
      <c r="L256" s="44" t="str">
        <f t="shared" si="25"/>
        <v/>
      </c>
    </row>
    <row r="257" spans="1:12">
      <c r="A257" s="1" t="str">
        <f t="shared" si="26"/>
        <v/>
      </c>
      <c r="F257" s="42" t="str">
        <f t="shared" si="21"/>
        <v/>
      </c>
      <c r="G257" s="42" t="str">
        <f t="shared" si="27"/>
        <v/>
      </c>
      <c r="H257" s="43" t="str">
        <f>IF(C257="","",GETPIVOTDATA("WinPips",ProfitRpt!$A$9,"Trade Month",C257,"Trade Year",B257))</f>
        <v/>
      </c>
      <c r="I257" s="42" t="str">
        <f t="shared" si="22"/>
        <v/>
      </c>
      <c r="J257" s="43" t="str">
        <f t="shared" si="23"/>
        <v/>
      </c>
      <c r="K257" s="44" t="str">
        <f t="shared" si="24"/>
        <v/>
      </c>
      <c r="L257" s="44" t="str">
        <f t="shared" si="25"/>
        <v/>
      </c>
    </row>
    <row r="258" spans="1:12">
      <c r="A258" s="1" t="str">
        <f t="shared" si="26"/>
        <v/>
      </c>
      <c r="F258" s="42" t="str">
        <f t="shared" si="21"/>
        <v/>
      </c>
      <c r="G258" s="42" t="str">
        <f t="shared" si="27"/>
        <v/>
      </c>
      <c r="H258" s="43" t="str">
        <f>IF(C258="","",GETPIVOTDATA("WinPips",ProfitRpt!$A$9,"Trade Month",C258,"Trade Year",B258))</f>
        <v/>
      </c>
      <c r="I258" s="42" t="str">
        <f t="shared" si="22"/>
        <v/>
      </c>
      <c r="J258" s="43" t="str">
        <f t="shared" si="23"/>
        <v/>
      </c>
      <c r="K258" s="44" t="str">
        <f t="shared" si="24"/>
        <v/>
      </c>
      <c r="L258" s="44" t="str">
        <f t="shared" si="25"/>
        <v/>
      </c>
    </row>
    <row r="259" spans="1:12">
      <c r="A259" s="1" t="str">
        <f t="shared" si="26"/>
        <v/>
      </c>
      <c r="F259" s="42" t="str">
        <f t="shared" si="21"/>
        <v/>
      </c>
      <c r="G259" s="42" t="str">
        <f t="shared" si="27"/>
        <v/>
      </c>
      <c r="H259" s="43" t="str">
        <f>IF(C259="","",GETPIVOTDATA("WinPips",ProfitRpt!$A$9,"Trade Month",C259,"Trade Year",B259))</f>
        <v/>
      </c>
      <c r="I259" s="42" t="str">
        <f t="shared" si="22"/>
        <v/>
      </c>
      <c r="J259" s="43" t="str">
        <f t="shared" si="23"/>
        <v/>
      </c>
      <c r="K259" s="44" t="str">
        <f t="shared" si="24"/>
        <v/>
      </c>
      <c r="L259" s="44" t="str">
        <f t="shared" si="25"/>
        <v/>
      </c>
    </row>
    <row r="260" spans="1:12">
      <c r="A260" s="1" t="str">
        <f t="shared" si="26"/>
        <v/>
      </c>
      <c r="F260" s="42" t="str">
        <f t="shared" si="21"/>
        <v/>
      </c>
      <c r="G260" s="42" t="str">
        <f t="shared" si="27"/>
        <v/>
      </c>
      <c r="H260" s="43" t="str">
        <f>IF(C260="","",GETPIVOTDATA("WinPips",ProfitRpt!$A$9,"Trade Month",C260,"Trade Year",B260))</f>
        <v/>
      </c>
      <c r="I260" s="42" t="str">
        <f t="shared" si="22"/>
        <v/>
      </c>
      <c r="J260" s="43" t="str">
        <f t="shared" si="23"/>
        <v/>
      </c>
      <c r="K260" s="44" t="str">
        <f t="shared" si="24"/>
        <v/>
      </c>
      <c r="L260" s="44" t="str">
        <f t="shared" si="25"/>
        <v/>
      </c>
    </row>
    <row r="261" spans="1:12">
      <c r="A261" s="1" t="str">
        <f t="shared" si="26"/>
        <v/>
      </c>
      <c r="F261" s="42" t="str">
        <f t="shared" si="21"/>
        <v/>
      </c>
      <c r="G261" s="42" t="str">
        <f t="shared" si="27"/>
        <v/>
      </c>
      <c r="H261" s="43" t="str">
        <f>IF(C261="","",GETPIVOTDATA("WinPips",ProfitRpt!$A$9,"Trade Month",C261,"Trade Year",B261))</f>
        <v/>
      </c>
      <c r="I261" s="42" t="str">
        <f t="shared" si="22"/>
        <v/>
      </c>
      <c r="J261" s="43" t="str">
        <f t="shared" si="23"/>
        <v/>
      </c>
      <c r="K261" s="44" t="str">
        <f t="shared" si="24"/>
        <v/>
      </c>
      <c r="L261" s="44" t="str">
        <f t="shared" si="25"/>
        <v/>
      </c>
    </row>
    <row r="262" spans="1:12">
      <c r="A262" s="1" t="str">
        <f t="shared" si="26"/>
        <v/>
      </c>
      <c r="F262" s="42" t="str">
        <f t="shared" si="21"/>
        <v/>
      </c>
      <c r="G262" s="42" t="str">
        <f t="shared" si="27"/>
        <v/>
      </c>
      <c r="H262" s="43" t="str">
        <f>IF(C262="","",GETPIVOTDATA("WinPips",ProfitRpt!$A$9,"Trade Month",C262,"Trade Year",B262))</f>
        <v/>
      </c>
      <c r="I262" s="42" t="str">
        <f t="shared" si="22"/>
        <v/>
      </c>
      <c r="J262" s="43" t="str">
        <f t="shared" si="23"/>
        <v/>
      </c>
      <c r="K262" s="44" t="str">
        <f t="shared" si="24"/>
        <v/>
      </c>
      <c r="L262" s="44" t="str">
        <f t="shared" si="25"/>
        <v/>
      </c>
    </row>
    <row r="263" spans="1:12">
      <c r="A263" s="1" t="str">
        <f t="shared" si="26"/>
        <v/>
      </c>
      <c r="F263" s="42" t="str">
        <f t="shared" ref="F263:F326" si="28">IF(G263="","",E263+G263)</f>
        <v/>
      </c>
      <c r="G263" s="42" t="str">
        <f t="shared" si="27"/>
        <v/>
      </c>
      <c r="H263" s="43" t="str">
        <f>IF(C263="","",GETPIVOTDATA("WinPips",ProfitRpt!$A$9,"Trade Month",C263,"Trade Year",B263))</f>
        <v/>
      </c>
      <c r="I263" s="42" t="str">
        <f t="shared" ref="I263:I326" si="29">IF(B263="","",IF(B263=B262,I262+G263,G263))</f>
        <v/>
      </c>
      <c r="J263" s="43" t="str">
        <f t="shared" ref="J263:J326" si="30">IF(B263="","",IF(B262=B263,J262+H263,H263))</f>
        <v/>
      </c>
      <c r="K263" s="44" t="str">
        <f t="shared" ref="K263:K326" si="31">IF(F263="","",IF(E263="","",(F263-E263)/E263))</f>
        <v/>
      </c>
      <c r="L263" s="44" t="str">
        <f t="shared" ref="L263:L326" si="32">IF(I263="","",IF(D263="","",I263/D263) )</f>
        <v/>
      </c>
    </row>
    <row r="264" spans="1:12">
      <c r="A264" s="1" t="str">
        <f t="shared" ref="A264:A327" si="33">IF(C264="","",A263+1)</f>
        <v/>
      </c>
      <c r="F264" s="42" t="str">
        <f t="shared" si="28"/>
        <v/>
      </c>
      <c r="G264" s="42" t="str">
        <f t="shared" ref="G264:G327" si="34">IF(C264="","",H264/10)</f>
        <v/>
      </c>
      <c r="H264" s="43" t="str">
        <f>IF(C264="","",GETPIVOTDATA("WinPips",ProfitRpt!$A$9,"Trade Month",C264,"Trade Year",B264))</f>
        <v/>
      </c>
      <c r="I264" s="42" t="str">
        <f t="shared" si="29"/>
        <v/>
      </c>
      <c r="J264" s="43" t="str">
        <f t="shared" si="30"/>
        <v/>
      </c>
      <c r="K264" s="44" t="str">
        <f t="shared" si="31"/>
        <v/>
      </c>
      <c r="L264" s="44" t="str">
        <f t="shared" si="32"/>
        <v/>
      </c>
    </row>
    <row r="265" spans="1:12">
      <c r="A265" s="1" t="str">
        <f t="shared" si="33"/>
        <v/>
      </c>
      <c r="F265" s="42" t="str">
        <f t="shared" si="28"/>
        <v/>
      </c>
      <c r="G265" s="42" t="str">
        <f t="shared" si="34"/>
        <v/>
      </c>
      <c r="H265" s="43" t="str">
        <f>IF(C265="","",GETPIVOTDATA("WinPips",ProfitRpt!$A$9,"Trade Month",C265,"Trade Year",B265))</f>
        <v/>
      </c>
      <c r="I265" s="42" t="str">
        <f t="shared" si="29"/>
        <v/>
      </c>
      <c r="J265" s="43" t="str">
        <f t="shared" si="30"/>
        <v/>
      </c>
      <c r="K265" s="44" t="str">
        <f t="shared" si="31"/>
        <v/>
      </c>
      <c r="L265" s="44" t="str">
        <f t="shared" si="32"/>
        <v/>
      </c>
    </row>
    <row r="266" spans="1:12">
      <c r="A266" s="1" t="str">
        <f t="shared" si="33"/>
        <v/>
      </c>
      <c r="F266" s="42" t="str">
        <f t="shared" si="28"/>
        <v/>
      </c>
      <c r="G266" s="42" t="str">
        <f t="shared" si="34"/>
        <v/>
      </c>
      <c r="H266" s="43" t="str">
        <f>IF(C266="","",GETPIVOTDATA("WinPips",ProfitRpt!$A$9,"Trade Month",C266,"Trade Year",B266))</f>
        <v/>
      </c>
      <c r="I266" s="42" t="str">
        <f t="shared" si="29"/>
        <v/>
      </c>
      <c r="J266" s="43" t="str">
        <f t="shared" si="30"/>
        <v/>
      </c>
      <c r="K266" s="44" t="str">
        <f t="shared" si="31"/>
        <v/>
      </c>
      <c r="L266" s="44" t="str">
        <f t="shared" si="32"/>
        <v/>
      </c>
    </row>
    <row r="267" spans="1:12">
      <c r="A267" s="1" t="str">
        <f t="shared" si="33"/>
        <v/>
      </c>
      <c r="F267" s="42" t="str">
        <f t="shared" si="28"/>
        <v/>
      </c>
      <c r="G267" s="42" t="str">
        <f t="shared" si="34"/>
        <v/>
      </c>
      <c r="H267" s="43" t="str">
        <f>IF(C267="","",GETPIVOTDATA("WinPips",ProfitRpt!$A$9,"Trade Month",C267,"Trade Year",B267))</f>
        <v/>
      </c>
      <c r="I267" s="42" t="str">
        <f t="shared" si="29"/>
        <v/>
      </c>
      <c r="J267" s="43" t="str">
        <f t="shared" si="30"/>
        <v/>
      </c>
      <c r="K267" s="44" t="str">
        <f t="shared" si="31"/>
        <v/>
      </c>
      <c r="L267" s="44" t="str">
        <f t="shared" si="32"/>
        <v/>
      </c>
    </row>
    <row r="268" spans="1:12">
      <c r="A268" s="1" t="str">
        <f t="shared" si="33"/>
        <v/>
      </c>
      <c r="F268" s="42" t="str">
        <f t="shared" si="28"/>
        <v/>
      </c>
      <c r="G268" s="42" t="str">
        <f t="shared" si="34"/>
        <v/>
      </c>
      <c r="H268" s="43" t="str">
        <f>IF(C268="","",GETPIVOTDATA("WinPips",ProfitRpt!$A$9,"Trade Month",C268,"Trade Year",B268))</f>
        <v/>
      </c>
      <c r="I268" s="42" t="str">
        <f t="shared" si="29"/>
        <v/>
      </c>
      <c r="J268" s="43" t="str">
        <f t="shared" si="30"/>
        <v/>
      </c>
      <c r="K268" s="44" t="str">
        <f t="shared" si="31"/>
        <v/>
      </c>
      <c r="L268" s="44" t="str">
        <f t="shared" si="32"/>
        <v/>
      </c>
    </row>
    <row r="269" spans="1:12">
      <c r="A269" s="1" t="str">
        <f t="shared" si="33"/>
        <v/>
      </c>
      <c r="F269" s="42" t="str">
        <f t="shared" si="28"/>
        <v/>
      </c>
      <c r="G269" s="42" t="str">
        <f t="shared" si="34"/>
        <v/>
      </c>
      <c r="H269" s="43" t="str">
        <f>IF(C269="","",GETPIVOTDATA("WinPips",ProfitRpt!$A$9,"Trade Month",C269,"Trade Year",B269))</f>
        <v/>
      </c>
      <c r="I269" s="42" t="str">
        <f t="shared" si="29"/>
        <v/>
      </c>
      <c r="J269" s="43" t="str">
        <f t="shared" si="30"/>
        <v/>
      </c>
      <c r="K269" s="44" t="str">
        <f t="shared" si="31"/>
        <v/>
      </c>
      <c r="L269" s="44" t="str">
        <f t="shared" si="32"/>
        <v/>
      </c>
    </row>
    <row r="270" spans="1:12">
      <c r="A270" s="1" t="str">
        <f t="shared" si="33"/>
        <v/>
      </c>
      <c r="F270" s="42" t="str">
        <f t="shared" si="28"/>
        <v/>
      </c>
      <c r="G270" s="42" t="str">
        <f t="shared" si="34"/>
        <v/>
      </c>
      <c r="H270" s="43" t="str">
        <f>IF(C270="","",GETPIVOTDATA("WinPips",ProfitRpt!$A$9,"Trade Month",C270,"Trade Year",B270))</f>
        <v/>
      </c>
      <c r="I270" s="42" t="str">
        <f t="shared" si="29"/>
        <v/>
      </c>
      <c r="J270" s="43" t="str">
        <f t="shared" si="30"/>
        <v/>
      </c>
      <c r="K270" s="44" t="str">
        <f t="shared" si="31"/>
        <v/>
      </c>
      <c r="L270" s="44" t="str">
        <f t="shared" si="32"/>
        <v/>
      </c>
    </row>
    <row r="271" spans="1:12">
      <c r="A271" s="1" t="str">
        <f t="shared" si="33"/>
        <v/>
      </c>
      <c r="F271" s="42" t="str">
        <f t="shared" si="28"/>
        <v/>
      </c>
      <c r="G271" s="42" t="str">
        <f t="shared" si="34"/>
        <v/>
      </c>
      <c r="H271" s="43" t="str">
        <f>IF(C271="","",GETPIVOTDATA("WinPips",ProfitRpt!$A$9,"Trade Month",C271,"Trade Year",B271))</f>
        <v/>
      </c>
      <c r="I271" s="42" t="str">
        <f t="shared" si="29"/>
        <v/>
      </c>
      <c r="J271" s="43" t="str">
        <f t="shared" si="30"/>
        <v/>
      </c>
      <c r="K271" s="44" t="str">
        <f t="shared" si="31"/>
        <v/>
      </c>
      <c r="L271" s="44" t="str">
        <f t="shared" si="32"/>
        <v/>
      </c>
    </row>
    <row r="272" spans="1:12">
      <c r="A272" s="1" t="str">
        <f t="shared" si="33"/>
        <v/>
      </c>
      <c r="F272" s="42" t="str">
        <f t="shared" si="28"/>
        <v/>
      </c>
      <c r="G272" s="42" t="str">
        <f t="shared" si="34"/>
        <v/>
      </c>
      <c r="H272" s="43" t="str">
        <f>IF(C272="","",GETPIVOTDATA("WinPips",ProfitRpt!$A$9,"Trade Month",C272,"Trade Year",B272))</f>
        <v/>
      </c>
      <c r="I272" s="42" t="str">
        <f t="shared" si="29"/>
        <v/>
      </c>
      <c r="J272" s="43" t="str">
        <f t="shared" si="30"/>
        <v/>
      </c>
      <c r="K272" s="44" t="str">
        <f t="shared" si="31"/>
        <v/>
      </c>
      <c r="L272" s="44" t="str">
        <f t="shared" si="32"/>
        <v/>
      </c>
    </row>
    <row r="273" spans="1:12">
      <c r="A273" s="1" t="str">
        <f t="shared" si="33"/>
        <v/>
      </c>
      <c r="F273" s="42" t="str">
        <f t="shared" si="28"/>
        <v/>
      </c>
      <c r="G273" s="42" t="str">
        <f t="shared" si="34"/>
        <v/>
      </c>
      <c r="H273" s="43" t="str">
        <f>IF(C273="","",GETPIVOTDATA("WinPips",ProfitRpt!$A$9,"Trade Month",C273,"Trade Year",B273))</f>
        <v/>
      </c>
      <c r="I273" s="42" t="str">
        <f t="shared" si="29"/>
        <v/>
      </c>
      <c r="J273" s="43" t="str">
        <f t="shared" si="30"/>
        <v/>
      </c>
      <c r="K273" s="44" t="str">
        <f t="shared" si="31"/>
        <v/>
      </c>
      <c r="L273" s="44" t="str">
        <f t="shared" si="32"/>
        <v/>
      </c>
    </row>
    <row r="274" spans="1:12">
      <c r="A274" s="1" t="str">
        <f t="shared" si="33"/>
        <v/>
      </c>
      <c r="F274" s="42" t="str">
        <f t="shared" si="28"/>
        <v/>
      </c>
      <c r="G274" s="42" t="str">
        <f t="shared" si="34"/>
        <v/>
      </c>
      <c r="H274" s="43" t="str">
        <f>IF(C274="","",GETPIVOTDATA("WinPips",ProfitRpt!$A$9,"Trade Month",C274,"Trade Year",B274))</f>
        <v/>
      </c>
      <c r="I274" s="42" t="str">
        <f t="shared" si="29"/>
        <v/>
      </c>
      <c r="J274" s="43" t="str">
        <f t="shared" si="30"/>
        <v/>
      </c>
      <c r="K274" s="44" t="str">
        <f t="shared" si="31"/>
        <v/>
      </c>
      <c r="L274" s="44" t="str">
        <f t="shared" si="32"/>
        <v/>
      </c>
    </row>
    <row r="275" spans="1:12">
      <c r="A275" s="1" t="str">
        <f t="shared" si="33"/>
        <v/>
      </c>
      <c r="F275" s="42" t="str">
        <f t="shared" si="28"/>
        <v/>
      </c>
      <c r="G275" s="42" t="str">
        <f t="shared" si="34"/>
        <v/>
      </c>
      <c r="H275" s="43" t="str">
        <f>IF(C275="","",GETPIVOTDATA("WinPips",ProfitRpt!$A$9,"Trade Month",C275,"Trade Year",B275))</f>
        <v/>
      </c>
      <c r="I275" s="42" t="str">
        <f t="shared" si="29"/>
        <v/>
      </c>
      <c r="J275" s="43" t="str">
        <f t="shared" si="30"/>
        <v/>
      </c>
      <c r="K275" s="44" t="str">
        <f t="shared" si="31"/>
        <v/>
      </c>
      <c r="L275" s="44" t="str">
        <f t="shared" si="32"/>
        <v/>
      </c>
    </row>
    <row r="276" spans="1:12">
      <c r="A276" s="1" t="str">
        <f t="shared" si="33"/>
        <v/>
      </c>
      <c r="F276" s="42" t="str">
        <f t="shared" si="28"/>
        <v/>
      </c>
      <c r="G276" s="42" t="str">
        <f t="shared" si="34"/>
        <v/>
      </c>
      <c r="H276" s="43" t="str">
        <f>IF(C276="","",GETPIVOTDATA("WinPips",ProfitRpt!$A$9,"Trade Month",C276,"Trade Year",B276))</f>
        <v/>
      </c>
      <c r="I276" s="42" t="str">
        <f t="shared" si="29"/>
        <v/>
      </c>
      <c r="J276" s="43" t="str">
        <f t="shared" si="30"/>
        <v/>
      </c>
      <c r="K276" s="44" t="str">
        <f t="shared" si="31"/>
        <v/>
      </c>
      <c r="L276" s="44" t="str">
        <f t="shared" si="32"/>
        <v/>
      </c>
    </row>
    <row r="277" spans="1:12">
      <c r="A277" s="1" t="str">
        <f t="shared" si="33"/>
        <v/>
      </c>
      <c r="F277" s="42" t="str">
        <f t="shared" si="28"/>
        <v/>
      </c>
      <c r="G277" s="42" t="str">
        <f t="shared" si="34"/>
        <v/>
      </c>
      <c r="H277" s="43" t="str">
        <f>IF(C277="","",GETPIVOTDATA("WinPips",ProfitRpt!$A$9,"Trade Month",C277,"Trade Year",B277))</f>
        <v/>
      </c>
      <c r="I277" s="42" t="str">
        <f t="shared" si="29"/>
        <v/>
      </c>
      <c r="J277" s="43" t="str">
        <f t="shared" si="30"/>
        <v/>
      </c>
      <c r="K277" s="44" t="str">
        <f t="shared" si="31"/>
        <v/>
      </c>
      <c r="L277" s="44" t="str">
        <f t="shared" si="32"/>
        <v/>
      </c>
    </row>
    <row r="278" spans="1:12">
      <c r="A278" s="1" t="str">
        <f t="shared" si="33"/>
        <v/>
      </c>
      <c r="F278" s="42" t="str">
        <f t="shared" si="28"/>
        <v/>
      </c>
      <c r="G278" s="42" t="str">
        <f t="shared" si="34"/>
        <v/>
      </c>
      <c r="H278" s="43" t="str">
        <f>IF(C278="","",GETPIVOTDATA("WinPips",ProfitRpt!$A$9,"Trade Month",C278,"Trade Year",B278))</f>
        <v/>
      </c>
      <c r="I278" s="42" t="str">
        <f t="shared" si="29"/>
        <v/>
      </c>
      <c r="J278" s="43" t="str">
        <f t="shared" si="30"/>
        <v/>
      </c>
      <c r="K278" s="44" t="str">
        <f t="shared" si="31"/>
        <v/>
      </c>
      <c r="L278" s="44" t="str">
        <f t="shared" si="32"/>
        <v/>
      </c>
    </row>
    <row r="279" spans="1:12">
      <c r="A279" s="1" t="str">
        <f t="shared" si="33"/>
        <v/>
      </c>
      <c r="F279" s="42" t="str">
        <f t="shared" si="28"/>
        <v/>
      </c>
      <c r="G279" s="42" t="str">
        <f t="shared" si="34"/>
        <v/>
      </c>
      <c r="H279" s="43" t="str">
        <f>IF(C279="","",GETPIVOTDATA("WinPips",ProfitRpt!$A$9,"Trade Month",C279,"Trade Year",B279))</f>
        <v/>
      </c>
      <c r="I279" s="42" t="str">
        <f t="shared" si="29"/>
        <v/>
      </c>
      <c r="J279" s="43" t="str">
        <f t="shared" si="30"/>
        <v/>
      </c>
      <c r="K279" s="44" t="str">
        <f t="shared" si="31"/>
        <v/>
      </c>
      <c r="L279" s="44" t="str">
        <f t="shared" si="32"/>
        <v/>
      </c>
    </row>
    <row r="280" spans="1:12">
      <c r="A280" s="1" t="str">
        <f t="shared" si="33"/>
        <v/>
      </c>
      <c r="F280" s="42" t="str">
        <f t="shared" si="28"/>
        <v/>
      </c>
      <c r="G280" s="42" t="str">
        <f t="shared" si="34"/>
        <v/>
      </c>
      <c r="H280" s="43" t="str">
        <f>IF(C280="","",GETPIVOTDATA("WinPips",ProfitRpt!$A$9,"Trade Month",C280,"Trade Year",B280))</f>
        <v/>
      </c>
      <c r="I280" s="42" t="str">
        <f t="shared" si="29"/>
        <v/>
      </c>
      <c r="J280" s="43" t="str">
        <f t="shared" si="30"/>
        <v/>
      </c>
      <c r="K280" s="44" t="str">
        <f t="shared" si="31"/>
        <v/>
      </c>
      <c r="L280" s="44" t="str">
        <f t="shared" si="32"/>
        <v/>
      </c>
    </row>
    <row r="281" spans="1:12">
      <c r="A281" s="1" t="str">
        <f t="shared" si="33"/>
        <v/>
      </c>
      <c r="F281" s="42" t="str">
        <f t="shared" si="28"/>
        <v/>
      </c>
      <c r="G281" s="42" t="str">
        <f t="shared" si="34"/>
        <v/>
      </c>
      <c r="H281" s="43" t="str">
        <f>IF(C281="","",GETPIVOTDATA("WinPips",ProfitRpt!$A$9,"Trade Month",C281,"Trade Year",B281))</f>
        <v/>
      </c>
      <c r="I281" s="42" t="str">
        <f t="shared" si="29"/>
        <v/>
      </c>
      <c r="J281" s="43" t="str">
        <f t="shared" si="30"/>
        <v/>
      </c>
      <c r="K281" s="44" t="str">
        <f t="shared" si="31"/>
        <v/>
      </c>
      <c r="L281" s="44" t="str">
        <f t="shared" si="32"/>
        <v/>
      </c>
    </row>
    <row r="282" spans="1:12">
      <c r="A282" s="1" t="str">
        <f t="shared" si="33"/>
        <v/>
      </c>
      <c r="F282" s="42" t="str">
        <f t="shared" si="28"/>
        <v/>
      </c>
      <c r="G282" s="42" t="str">
        <f t="shared" si="34"/>
        <v/>
      </c>
      <c r="H282" s="43" t="str">
        <f>IF(C282="","",GETPIVOTDATA("WinPips",ProfitRpt!$A$9,"Trade Month",C282,"Trade Year",B282))</f>
        <v/>
      </c>
      <c r="I282" s="42" t="str">
        <f t="shared" si="29"/>
        <v/>
      </c>
      <c r="J282" s="43" t="str">
        <f t="shared" si="30"/>
        <v/>
      </c>
      <c r="K282" s="44" t="str">
        <f t="shared" si="31"/>
        <v/>
      </c>
      <c r="L282" s="44" t="str">
        <f t="shared" si="32"/>
        <v/>
      </c>
    </row>
    <row r="283" spans="1:12">
      <c r="A283" s="1" t="str">
        <f t="shared" si="33"/>
        <v/>
      </c>
      <c r="F283" s="42" t="str">
        <f t="shared" si="28"/>
        <v/>
      </c>
      <c r="G283" s="42" t="str">
        <f t="shared" si="34"/>
        <v/>
      </c>
      <c r="H283" s="43" t="str">
        <f>IF(C283="","",GETPIVOTDATA("WinPips",ProfitRpt!$A$9,"Trade Month",C283,"Trade Year",B283))</f>
        <v/>
      </c>
      <c r="I283" s="42" t="str">
        <f t="shared" si="29"/>
        <v/>
      </c>
      <c r="J283" s="43" t="str">
        <f t="shared" si="30"/>
        <v/>
      </c>
      <c r="K283" s="44" t="str">
        <f t="shared" si="31"/>
        <v/>
      </c>
      <c r="L283" s="44" t="str">
        <f t="shared" si="32"/>
        <v/>
      </c>
    </row>
    <row r="284" spans="1:12">
      <c r="A284" s="1" t="str">
        <f t="shared" si="33"/>
        <v/>
      </c>
      <c r="F284" s="42" t="str">
        <f t="shared" si="28"/>
        <v/>
      </c>
      <c r="G284" s="42" t="str">
        <f t="shared" si="34"/>
        <v/>
      </c>
      <c r="H284" s="43" t="str">
        <f>IF(C284="","",GETPIVOTDATA("WinPips",ProfitRpt!$A$9,"Trade Month",C284,"Trade Year",B284))</f>
        <v/>
      </c>
      <c r="I284" s="42" t="str">
        <f t="shared" si="29"/>
        <v/>
      </c>
      <c r="J284" s="43" t="str">
        <f t="shared" si="30"/>
        <v/>
      </c>
      <c r="K284" s="44" t="str">
        <f t="shared" si="31"/>
        <v/>
      </c>
      <c r="L284" s="44" t="str">
        <f t="shared" si="32"/>
        <v/>
      </c>
    </row>
    <row r="285" spans="1:12">
      <c r="A285" s="1" t="str">
        <f t="shared" si="33"/>
        <v/>
      </c>
      <c r="F285" s="42" t="str">
        <f t="shared" si="28"/>
        <v/>
      </c>
      <c r="G285" s="42" t="str">
        <f t="shared" si="34"/>
        <v/>
      </c>
      <c r="H285" s="43" t="str">
        <f>IF(C285="","",GETPIVOTDATA("WinPips",ProfitRpt!$A$9,"Trade Month",C285,"Trade Year",B285))</f>
        <v/>
      </c>
      <c r="I285" s="42" t="str">
        <f t="shared" si="29"/>
        <v/>
      </c>
      <c r="J285" s="43" t="str">
        <f t="shared" si="30"/>
        <v/>
      </c>
      <c r="K285" s="44" t="str">
        <f t="shared" si="31"/>
        <v/>
      </c>
      <c r="L285" s="44" t="str">
        <f t="shared" si="32"/>
        <v/>
      </c>
    </row>
    <row r="286" spans="1:12">
      <c r="A286" s="1" t="str">
        <f t="shared" si="33"/>
        <v/>
      </c>
      <c r="F286" s="42" t="str">
        <f t="shared" si="28"/>
        <v/>
      </c>
      <c r="G286" s="42" t="str">
        <f t="shared" si="34"/>
        <v/>
      </c>
      <c r="H286" s="43" t="str">
        <f>IF(C286="","",GETPIVOTDATA("WinPips",ProfitRpt!$A$9,"Trade Month",C286,"Trade Year",B286))</f>
        <v/>
      </c>
      <c r="I286" s="42" t="str">
        <f t="shared" si="29"/>
        <v/>
      </c>
      <c r="J286" s="43" t="str">
        <f t="shared" si="30"/>
        <v/>
      </c>
      <c r="K286" s="44" t="str">
        <f t="shared" si="31"/>
        <v/>
      </c>
      <c r="L286" s="44" t="str">
        <f t="shared" si="32"/>
        <v/>
      </c>
    </row>
    <row r="287" spans="1:12">
      <c r="A287" s="1" t="str">
        <f t="shared" si="33"/>
        <v/>
      </c>
      <c r="F287" s="42" t="str">
        <f t="shared" si="28"/>
        <v/>
      </c>
      <c r="G287" s="42" t="str">
        <f t="shared" si="34"/>
        <v/>
      </c>
      <c r="H287" s="43" t="str">
        <f>IF(C287="","",GETPIVOTDATA("WinPips",ProfitRpt!$A$9,"Trade Month",C287,"Trade Year",B287))</f>
        <v/>
      </c>
      <c r="I287" s="42" t="str">
        <f t="shared" si="29"/>
        <v/>
      </c>
      <c r="J287" s="43" t="str">
        <f t="shared" si="30"/>
        <v/>
      </c>
      <c r="K287" s="44" t="str">
        <f t="shared" si="31"/>
        <v/>
      </c>
      <c r="L287" s="44" t="str">
        <f t="shared" si="32"/>
        <v/>
      </c>
    </row>
    <row r="288" spans="1:12">
      <c r="A288" s="1" t="str">
        <f t="shared" si="33"/>
        <v/>
      </c>
      <c r="F288" s="42" t="str">
        <f t="shared" si="28"/>
        <v/>
      </c>
      <c r="G288" s="42" t="str">
        <f t="shared" si="34"/>
        <v/>
      </c>
      <c r="H288" s="43" t="str">
        <f>IF(C288="","",GETPIVOTDATA("WinPips",ProfitRpt!$A$9,"Trade Month",C288,"Trade Year",B288))</f>
        <v/>
      </c>
      <c r="I288" s="42" t="str">
        <f t="shared" si="29"/>
        <v/>
      </c>
      <c r="J288" s="43" t="str">
        <f t="shared" si="30"/>
        <v/>
      </c>
      <c r="K288" s="44" t="str">
        <f t="shared" si="31"/>
        <v/>
      </c>
      <c r="L288" s="44" t="str">
        <f t="shared" si="32"/>
        <v/>
      </c>
    </row>
    <row r="289" spans="1:12">
      <c r="A289" s="1" t="str">
        <f t="shared" si="33"/>
        <v/>
      </c>
      <c r="F289" s="42" t="str">
        <f t="shared" si="28"/>
        <v/>
      </c>
      <c r="G289" s="42" t="str">
        <f t="shared" si="34"/>
        <v/>
      </c>
      <c r="H289" s="43" t="str">
        <f>IF(C289="","",GETPIVOTDATA("WinPips",ProfitRpt!$A$9,"Trade Month",C289,"Trade Year",B289))</f>
        <v/>
      </c>
      <c r="I289" s="42" t="str">
        <f t="shared" si="29"/>
        <v/>
      </c>
      <c r="J289" s="43" t="str">
        <f t="shared" si="30"/>
        <v/>
      </c>
      <c r="K289" s="44" t="str">
        <f t="shared" si="31"/>
        <v/>
      </c>
      <c r="L289" s="44" t="str">
        <f t="shared" si="32"/>
        <v/>
      </c>
    </row>
    <row r="290" spans="1:12">
      <c r="A290" s="1" t="str">
        <f t="shared" si="33"/>
        <v/>
      </c>
      <c r="F290" s="42" t="str">
        <f t="shared" si="28"/>
        <v/>
      </c>
      <c r="G290" s="42" t="str">
        <f t="shared" si="34"/>
        <v/>
      </c>
      <c r="H290" s="43" t="str">
        <f>IF(C290="","",GETPIVOTDATA("WinPips",ProfitRpt!$A$9,"Trade Month",C290,"Trade Year",B290))</f>
        <v/>
      </c>
      <c r="I290" s="42" t="str">
        <f t="shared" si="29"/>
        <v/>
      </c>
      <c r="J290" s="43" t="str">
        <f t="shared" si="30"/>
        <v/>
      </c>
      <c r="K290" s="44" t="str">
        <f t="shared" si="31"/>
        <v/>
      </c>
      <c r="L290" s="44" t="str">
        <f t="shared" si="32"/>
        <v/>
      </c>
    </row>
    <row r="291" spans="1:12">
      <c r="A291" s="1" t="str">
        <f t="shared" si="33"/>
        <v/>
      </c>
      <c r="F291" s="42" t="str">
        <f t="shared" si="28"/>
        <v/>
      </c>
      <c r="G291" s="42" t="str">
        <f t="shared" si="34"/>
        <v/>
      </c>
      <c r="H291" s="43" t="str">
        <f>IF(C291="","",GETPIVOTDATA("WinPips",ProfitRpt!$A$9,"Trade Month",C291,"Trade Year",B291))</f>
        <v/>
      </c>
      <c r="I291" s="42" t="str">
        <f t="shared" si="29"/>
        <v/>
      </c>
      <c r="J291" s="43" t="str">
        <f t="shared" si="30"/>
        <v/>
      </c>
      <c r="K291" s="44" t="str">
        <f t="shared" si="31"/>
        <v/>
      </c>
      <c r="L291" s="44" t="str">
        <f t="shared" si="32"/>
        <v/>
      </c>
    </row>
    <row r="292" spans="1:12">
      <c r="A292" s="1" t="str">
        <f t="shared" si="33"/>
        <v/>
      </c>
      <c r="F292" s="42" t="str">
        <f t="shared" si="28"/>
        <v/>
      </c>
      <c r="G292" s="42" t="str">
        <f t="shared" si="34"/>
        <v/>
      </c>
      <c r="H292" s="43" t="str">
        <f>IF(C292="","",GETPIVOTDATA("WinPips",ProfitRpt!$A$9,"Trade Month",C292,"Trade Year",B292))</f>
        <v/>
      </c>
      <c r="I292" s="42" t="str">
        <f t="shared" si="29"/>
        <v/>
      </c>
      <c r="J292" s="43" t="str">
        <f t="shared" si="30"/>
        <v/>
      </c>
      <c r="K292" s="44" t="str">
        <f t="shared" si="31"/>
        <v/>
      </c>
      <c r="L292" s="44" t="str">
        <f t="shared" si="32"/>
        <v/>
      </c>
    </row>
    <row r="293" spans="1:12">
      <c r="A293" s="1" t="str">
        <f t="shared" si="33"/>
        <v/>
      </c>
      <c r="F293" s="42" t="str">
        <f t="shared" si="28"/>
        <v/>
      </c>
      <c r="G293" s="42" t="str">
        <f t="shared" si="34"/>
        <v/>
      </c>
      <c r="H293" s="43" t="str">
        <f>IF(C293="","",GETPIVOTDATA("WinPips",ProfitRpt!$A$9,"Trade Month",C293,"Trade Year",B293))</f>
        <v/>
      </c>
      <c r="I293" s="42" t="str">
        <f t="shared" si="29"/>
        <v/>
      </c>
      <c r="J293" s="43" t="str">
        <f t="shared" si="30"/>
        <v/>
      </c>
      <c r="K293" s="44" t="str">
        <f t="shared" si="31"/>
        <v/>
      </c>
      <c r="L293" s="44" t="str">
        <f t="shared" si="32"/>
        <v/>
      </c>
    </row>
    <row r="294" spans="1:12">
      <c r="A294" s="1" t="str">
        <f t="shared" si="33"/>
        <v/>
      </c>
      <c r="F294" s="42" t="str">
        <f t="shared" si="28"/>
        <v/>
      </c>
      <c r="G294" s="42" t="str">
        <f t="shared" si="34"/>
        <v/>
      </c>
      <c r="H294" s="43" t="str">
        <f>IF(C294="","",GETPIVOTDATA("WinPips",ProfitRpt!$A$9,"Trade Month",C294,"Trade Year",B294))</f>
        <v/>
      </c>
      <c r="I294" s="42" t="str">
        <f t="shared" si="29"/>
        <v/>
      </c>
      <c r="J294" s="43" t="str">
        <f t="shared" si="30"/>
        <v/>
      </c>
      <c r="K294" s="44" t="str">
        <f t="shared" si="31"/>
        <v/>
      </c>
      <c r="L294" s="44" t="str">
        <f t="shared" si="32"/>
        <v/>
      </c>
    </row>
    <row r="295" spans="1:12">
      <c r="A295" s="1" t="str">
        <f t="shared" si="33"/>
        <v/>
      </c>
      <c r="F295" s="42" t="str">
        <f t="shared" si="28"/>
        <v/>
      </c>
      <c r="G295" s="42" t="str">
        <f t="shared" si="34"/>
        <v/>
      </c>
      <c r="H295" s="43" t="str">
        <f>IF(C295="","",GETPIVOTDATA("WinPips",ProfitRpt!$A$9,"Trade Month",C295,"Trade Year",B295))</f>
        <v/>
      </c>
      <c r="I295" s="42" t="str">
        <f t="shared" si="29"/>
        <v/>
      </c>
      <c r="J295" s="43" t="str">
        <f t="shared" si="30"/>
        <v/>
      </c>
      <c r="K295" s="44" t="str">
        <f t="shared" si="31"/>
        <v/>
      </c>
      <c r="L295" s="44" t="str">
        <f t="shared" si="32"/>
        <v/>
      </c>
    </row>
    <row r="296" spans="1:12">
      <c r="A296" s="1" t="str">
        <f t="shared" si="33"/>
        <v/>
      </c>
      <c r="F296" s="42" t="str">
        <f t="shared" si="28"/>
        <v/>
      </c>
      <c r="G296" s="42" t="str">
        <f t="shared" si="34"/>
        <v/>
      </c>
      <c r="H296" s="43" t="str">
        <f>IF(C296="","",GETPIVOTDATA("WinPips",ProfitRpt!$A$9,"Trade Month",C296,"Trade Year",B296))</f>
        <v/>
      </c>
      <c r="I296" s="42" t="str">
        <f t="shared" si="29"/>
        <v/>
      </c>
      <c r="J296" s="43" t="str">
        <f t="shared" si="30"/>
        <v/>
      </c>
      <c r="K296" s="44" t="str">
        <f t="shared" si="31"/>
        <v/>
      </c>
      <c r="L296" s="44" t="str">
        <f t="shared" si="32"/>
        <v/>
      </c>
    </row>
    <row r="297" spans="1:12">
      <c r="A297" s="1" t="str">
        <f t="shared" si="33"/>
        <v/>
      </c>
      <c r="F297" s="42" t="str">
        <f t="shared" si="28"/>
        <v/>
      </c>
      <c r="G297" s="42" t="str">
        <f t="shared" si="34"/>
        <v/>
      </c>
      <c r="H297" s="43" t="str">
        <f>IF(C297="","",GETPIVOTDATA("WinPips",ProfitRpt!$A$9,"Trade Month",C297,"Trade Year",B297))</f>
        <v/>
      </c>
      <c r="I297" s="42" t="str">
        <f t="shared" si="29"/>
        <v/>
      </c>
      <c r="J297" s="43" t="str">
        <f t="shared" si="30"/>
        <v/>
      </c>
      <c r="K297" s="44" t="str">
        <f t="shared" si="31"/>
        <v/>
      </c>
      <c r="L297" s="44" t="str">
        <f t="shared" si="32"/>
        <v/>
      </c>
    </row>
    <row r="298" spans="1:12">
      <c r="A298" s="1" t="str">
        <f t="shared" si="33"/>
        <v/>
      </c>
      <c r="F298" s="42" t="str">
        <f t="shared" si="28"/>
        <v/>
      </c>
      <c r="G298" s="42" t="str">
        <f t="shared" si="34"/>
        <v/>
      </c>
      <c r="H298" s="43" t="str">
        <f>IF(C298="","",GETPIVOTDATA("WinPips",ProfitRpt!$A$9,"Trade Month",C298,"Trade Year",B298))</f>
        <v/>
      </c>
      <c r="I298" s="42" t="str">
        <f t="shared" si="29"/>
        <v/>
      </c>
      <c r="J298" s="43" t="str">
        <f t="shared" si="30"/>
        <v/>
      </c>
      <c r="K298" s="44" t="str">
        <f t="shared" si="31"/>
        <v/>
      </c>
      <c r="L298" s="44" t="str">
        <f t="shared" si="32"/>
        <v/>
      </c>
    </row>
    <row r="299" spans="1:12">
      <c r="A299" s="1" t="str">
        <f t="shared" si="33"/>
        <v/>
      </c>
      <c r="F299" s="42" t="str">
        <f t="shared" si="28"/>
        <v/>
      </c>
      <c r="G299" s="42" t="str">
        <f t="shared" si="34"/>
        <v/>
      </c>
      <c r="H299" s="43" t="str">
        <f>IF(C299="","",GETPIVOTDATA("WinPips",ProfitRpt!$A$9,"Trade Month",C299,"Trade Year",B299))</f>
        <v/>
      </c>
      <c r="I299" s="42" t="str">
        <f t="shared" si="29"/>
        <v/>
      </c>
      <c r="J299" s="43" t="str">
        <f t="shared" si="30"/>
        <v/>
      </c>
      <c r="K299" s="44" t="str">
        <f t="shared" si="31"/>
        <v/>
      </c>
      <c r="L299" s="44" t="str">
        <f t="shared" si="32"/>
        <v/>
      </c>
    </row>
    <row r="300" spans="1:12">
      <c r="A300" s="1" t="str">
        <f t="shared" si="33"/>
        <v/>
      </c>
      <c r="F300" s="42" t="str">
        <f t="shared" si="28"/>
        <v/>
      </c>
      <c r="G300" s="42" t="str">
        <f t="shared" si="34"/>
        <v/>
      </c>
      <c r="H300" s="43" t="str">
        <f>IF(C300="","",GETPIVOTDATA("WinPips",ProfitRpt!$A$9,"Trade Month",C300,"Trade Year",B300))</f>
        <v/>
      </c>
      <c r="I300" s="42" t="str">
        <f t="shared" si="29"/>
        <v/>
      </c>
      <c r="J300" s="43" t="str">
        <f t="shared" si="30"/>
        <v/>
      </c>
      <c r="K300" s="44" t="str">
        <f t="shared" si="31"/>
        <v/>
      </c>
      <c r="L300" s="44" t="str">
        <f t="shared" si="32"/>
        <v/>
      </c>
    </row>
    <row r="301" spans="1:12">
      <c r="A301" s="1" t="str">
        <f t="shared" si="33"/>
        <v/>
      </c>
      <c r="F301" s="42" t="str">
        <f t="shared" si="28"/>
        <v/>
      </c>
      <c r="G301" s="42" t="str">
        <f t="shared" si="34"/>
        <v/>
      </c>
      <c r="H301" s="43" t="str">
        <f>IF(C301="","",GETPIVOTDATA("WinPips",ProfitRpt!$A$9,"Trade Month",C301,"Trade Year",B301))</f>
        <v/>
      </c>
      <c r="I301" s="42" t="str">
        <f t="shared" si="29"/>
        <v/>
      </c>
      <c r="J301" s="43" t="str">
        <f t="shared" si="30"/>
        <v/>
      </c>
      <c r="K301" s="44" t="str">
        <f t="shared" si="31"/>
        <v/>
      </c>
      <c r="L301" s="44" t="str">
        <f t="shared" si="32"/>
        <v/>
      </c>
    </row>
    <row r="302" spans="1:12">
      <c r="A302" s="1" t="str">
        <f t="shared" si="33"/>
        <v/>
      </c>
      <c r="F302" s="42" t="str">
        <f t="shared" si="28"/>
        <v/>
      </c>
      <c r="G302" s="42" t="str">
        <f t="shared" si="34"/>
        <v/>
      </c>
      <c r="H302" s="43" t="str">
        <f>IF(C302="","",GETPIVOTDATA("WinPips",ProfitRpt!$A$9,"Trade Month",C302,"Trade Year",B302))</f>
        <v/>
      </c>
      <c r="I302" s="42" t="str">
        <f t="shared" si="29"/>
        <v/>
      </c>
      <c r="J302" s="43" t="str">
        <f t="shared" si="30"/>
        <v/>
      </c>
      <c r="K302" s="44" t="str">
        <f t="shared" si="31"/>
        <v/>
      </c>
      <c r="L302" s="44" t="str">
        <f t="shared" si="32"/>
        <v/>
      </c>
    </row>
    <row r="303" spans="1:12">
      <c r="A303" s="1" t="str">
        <f t="shared" si="33"/>
        <v/>
      </c>
      <c r="F303" s="42" t="str">
        <f t="shared" si="28"/>
        <v/>
      </c>
      <c r="G303" s="42" t="str">
        <f t="shared" si="34"/>
        <v/>
      </c>
      <c r="H303" s="43" t="str">
        <f>IF(C303="","",GETPIVOTDATA("WinPips",ProfitRpt!$A$9,"Trade Month",C303,"Trade Year",B303))</f>
        <v/>
      </c>
      <c r="I303" s="42" t="str">
        <f t="shared" si="29"/>
        <v/>
      </c>
      <c r="J303" s="43" t="str">
        <f t="shared" si="30"/>
        <v/>
      </c>
      <c r="K303" s="44" t="str">
        <f t="shared" si="31"/>
        <v/>
      </c>
      <c r="L303" s="44" t="str">
        <f t="shared" si="32"/>
        <v/>
      </c>
    </row>
    <row r="304" spans="1:12">
      <c r="A304" s="1" t="str">
        <f t="shared" si="33"/>
        <v/>
      </c>
      <c r="F304" s="42" t="str">
        <f t="shared" si="28"/>
        <v/>
      </c>
      <c r="G304" s="42" t="str">
        <f t="shared" si="34"/>
        <v/>
      </c>
      <c r="H304" s="43" t="str">
        <f>IF(C304="","",GETPIVOTDATA("WinPips",ProfitRpt!$A$9,"Trade Month",C304,"Trade Year",B304))</f>
        <v/>
      </c>
      <c r="I304" s="42" t="str">
        <f t="shared" si="29"/>
        <v/>
      </c>
      <c r="J304" s="43" t="str">
        <f t="shared" si="30"/>
        <v/>
      </c>
      <c r="K304" s="44" t="str">
        <f t="shared" si="31"/>
        <v/>
      </c>
      <c r="L304" s="44" t="str">
        <f t="shared" si="32"/>
        <v/>
      </c>
    </row>
    <row r="305" spans="1:12">
      <c r="A305" s="1" t="str">
        <f t="shared" si="33"/>
        <v/>
      </c>
      <c r="F305" s="42" t="str">
        <f t="shared" si="28"/>
        <v/>
      </c>
      <c r="G305" s="42" t="str">
        <f t="shared" si="34"/>
        <v/>
      </c>
      <c r="H305" s="43" t="str">
        <f>IF(C305="","",GETPIVOTDATA("WinPips",ProfitRpt!$A$9,"Trade Month",C305,"Trade Year",B305))</f>
        <v/>
      </c>
      <c r="I305" s="42" t="str">
        <f t="shared" si="29"/>
        <v/>
      </c>
      <c r="J305" s="43" t="str">
        <f t="shared" si="30"/>
        <v/>
      </c>
      <c r="K305" s="44" t="str">
        <f t="shared" si="31"/>
        <v/>
      </c>
      <c r="L305" s="44" t="str">
        <f t="shared" si="32"/>
        <v/>
      </c>
    </row>
    <row r="306" spans="1:12">
      <c r="A306" s="1" t="str">
        <f t="shared" si="33"/>
        <v/>
      </c>
      <c r="F306" s="42" t="str">
        <f t="shared" si="28"/>
        <v/>
      </c>
      <c r="G306" s="42" t="str">
        <f t="shared" si="34"/>
        <v/>
      </c>
      <c r="H306" s="43" t="str">
        <f>IF(C306="","",GETPIVOTDATA("WinPips",ProfitRpt!$A$9,"Trade Month",C306,"Trade Year",B306))</f>
        <v/>
      </c>
      <c r="I306" s="42" t="str">
        <f t="shared" si="29"/>
        <v/>
      </c>
      <c r="J306" s="43" t="str">
        <f t="shared" si="30"/>
        <v/>
      </c>
      <c r="K306" s="44" t="str">
        <f t="shared" si="31"/>
        <v/>
      </c>
      <c r="L306" s="44" t="str">
        <f t="shared" si="32"/>
        <v/>
      </c>
    </row>
    <row r="307" spans="1:12">
      <c r="A307" s="1" t="str">
        <f t="shared" si="33"/>
        <v/>
      </c>
      <c r="F307" s="42" t="str">
        <f t="shared" si="28"/>
        <v/>
      </c>
      <c r="G307" s="42" t="str">
        <f t="shared" si="34"/>
        <v/>
      </c>
      <c r="H307" s="43" t="str">
        <f>IF(C307="","",GETPIVOTDATA("WinPips",ProfitRpt!$A$9,"Trade Month",C307,"Trade Year",B307))</f>
        <v/>
      </c>
      <c r="I307" s="42" t="str">
        <f t="shared" si="29"/>
        <v/>
      </c>
      <c r="J307" s="43" t="str">
        <f t="shared" si="30"/>
        <v/>
      </c>
      <c r="K307" s="44" t="str">
        <f t="shared" si="31"/>
        <v/>
      </c>
      <c r="L307" s="44" t="str">
        <f t="shared" si="32"/>
        <v/>
      </c>
    </row>
    <row r="308" spans="1:12">
      <c r="A308" s="1" t="str">
        <f t="shared" si="33"/>
        <v/>
      </c>
      <c r="F308" s="42" t="str">
        <f t="shared" si="28"/>
        <v/>
      </c>
      <c r="G308" s="42" t="str">
        <f t="shared" si="34"/>
        <v/>
      </c>
      <c r="H308" s="43" t="str">
        <f>IF(C308="","",GETPIVOTDATA("WinPips",ProfitRpt!$A$9,"Trade Month",C308,"Trade Year",B308))</f>
        <v/>
      </c>
      <c r="I308" s="42" t="str">
        <f t="shared" si="29"/>
        <v/>
      </c>
      <c r="J308" s="43" t="str">
        <f t="shared" si="30"/>
        <v/>
      </c>
      <c r="K308" s="44" t="str">
        <f t="shared" si="31"/>
        <v/>
      </c>
      <c r="L308" s="44" t="str">
        <f t="shared" si="32"/>
        <v/>
      </c>
    </row>
    <row r="309" spans="1:12">
      <c r="A309" s="1" t="str">
        <f t="shared" si="33"/>
        <v/>
      </c>
      <c r="F309" s="42" t="str">
        <f t="shared" si="28"/>
        <v/>
      </c>
      <c r="G309" s="42" t="str">
        <f t="shared" si="34"/>
        <v/>
      </c>
      <c r="H309" s="43" t="str">
        <f>IF(C309="","",GETPIVOTDATA("WinPips",ProfitRpt!$A$9,"Trade Month",C309,"Trade Year",B309))</f>
        <v/>
      </c>
      <c r="I309" s="42" t="str">
        <f t="shared" si="29"/>
        <v/>
      </c>
      <c r="J309" s="43" t="str">
        <f t="shared" si="30"/>
        <v/>
      </c>
      <c r="K309" s="44" t="str">
        <f t="shared" si="31"/>
        <v/>
      </c>
      <c r="L309" s="44" t="str">
        <f t="shared" si="32"/>
        <v/>
      </c>
    </row>
    <row r="310" spans="1:12">
      <c r="A310" s="1" t="str">
        <f t="shared" si="33"/>
        <v/>
      </c>
      <c r="F310" s="42" t="str">
        <f t="shared" si="28"/>
        <v/>
      </c>
      <c r="G310" s="42" t="str">
        <f t="shared" si="34"/>
        <v/>
      </c>
      <c r="H310" s="43" t="str">
        <f>IF(C310="","",GETPIVOTDATA("WinPips",ProfitRpt!$A$9,"Trade Month",C310,"Trade Year",B310))</f>
        <v/>
      </c>
      <c r="I310" s="42" t="str">
        <f t="shared" si="29"/>
        <v/>
      </c>
      <c r="J310" s="43" t="str">
        <f t="shared" si="30"/>
        <v/>
      </c>
      <c r="K310" s="44" t="str">
        <f t="shared" si="31"/>
        <v/>
      </c>
      <c r="L310" s="44" t="str">
        <f t="shared" si="32"/>
        <v/>
      </c>
    </row>
    <row r="311" spans="1:12">
      <c r="A311" s="1" t="str">
        <f t="shared" si="33"/>
        <v/>
      </c>
      <c r="F311" s="42" t="str">
        <f t="shared" si="28"/>
        <v/>
      </c>
      <c r="G311" s="42" t="str">
        <f t="shared" si="34"/>
        <v/>
      </c>
      <c r="H311" s="43" t="str">
        <f>IF(C311="","",GETPIVOTDATA("WinPips",ProfitRpt!$A$9,"Trade Month",C311,"Trade Year",B311))</f>
        <v/>
      </c>
      <c r="I311" s="42" t="str">
        <f t="shared" si="29"/>
        <v/>
      </c>
      <c r="J311" s="43" t="str">
        <f t="shared" si="30"/>
        <v/>
      </c>
      <c r="K311" s="44" t="str">
        <f t="shared" si="31"/>
        <v/>
      </c>
      <c r="L311" s="44" t="str">
        <f t="shared" si="32"/>
        <v/>
      </c>
    </row>
    <row r="312" spans="1:12">
      <c r="A312" s="1" t="str">
        <f t="shared" si="33"/>
        <v/>
      </c>
      <c r="F312" s="42" t="str">
        <f t="shared" si="28"/>
        <v/>
      </c>
      <c r="G312" s="42" t="str">
        <f t="shared" si="34"/>
        <v/>
      </c>
      <c r="H312" s="43" t="str">
        <f>IF(C312="","",GETPIVOTDATA("WinPips",ProfitRpt!$A$9,"Trade Month",C312,"Trade Year",B312))</f>
        <v/>
      </c>
      <c r="I312" s="42" t="str">
        <f t="shared" si="29"/>
        <v/>
      </c>
      <c r="J312" s="43" t="str">
        <f t="shared" si="30"/>
        <v/>
      </c>
      <c r="K312" s="44" t="str">
        <f t="shared" si="31"/>
        <v/>
      </c>
      <c r="L312" s="44" t="str">
        <f t="shared" si="32"/>
        <v/>
      </c>
    </row>
    <row r="313" spans="1:12">
      <c r="A313" s="1" t="str">
        <f t="shared" si="33"/>
        <v/>
      </c>
      <c r="F313" s="42" t="str">
        <f t="shared" si="28"/>
        <v/>
      </c>
      <c r="G313" s="42" t="str">
        <f t="shared" si="34"/>
        <v/>
      </c>
      <c r="H313" s="43" t="str">
        <f>IF(C313="","",GETPIVOTDATA("WinPips",ProfitRpt!$A$9,"Trade Month",C313,"Trade Year",B313))</f>
        <v/>
      </c>
      <c r="I313" s="42" t="str">
        <f t="shared" si="29"/>
        <v/>
      </c>
      <c r="J313" s="43" t="str">
        <f t="shared" si="30"/>
        <v/>
      </c>
      <c r="K313" s="44" t="str">
        <f t="shared" si="31"/>
        <v/>
      </c>
      <c r="L313" s="44" t="str">
        <f t="shared" si="32"/>
        <v/>
      </c>
    </row>
    <row r="314" spans="1:12">
      <c r="A314" s="1" t="str">
        <f t="shared" si="33"/>
        <v/>
      </c>
      <c r="F314" s="42" t="str">
        <f t="shared" si="28"/>
        <v/>
      </c>
      <c r="G314" s="42" t="str">
        <f t="shared" si="34"/>
        <v/>
      </c>
      <c r="H314" s="43" t="str">
        <f>IF(C314="","",GETPIVOTDATA("WinPips",ProfitRpt!$A$9,"Trade Month",C314,"Trade Year",B314))</f>
        <v/>
      </c>
      <c r="I314" s="42" t="str">
        <f t="shared" si="29"/>
        <v/>
      </c>
      <c r="J314" s="43" t="str">
        <f t="shared" si="30"/>
        <v/>
      </c>
      <c r="K314" s="44" t="str">
        <f t="shared" si="31"/>
        <v/>
      </c>
      <c r="L314" s="44" t="str">
        <f t="shared" si="32"/>
        <v/>
      </c>
    </row>
    <row r="315" spans="1:12">
      <c r="A315" s="1" t="str">
        <f t="shared" si="33"/>
        <v/>
      </c>
      <c r="F315" s="42" t="str">
        <f t="shared" si="28"/>
        <v/>
      </c>
      <c r="G315" s="42" t="str">
        <f t="shared" si="34"/>
        <v/>
      </c>
      <c r="H315" s="43" t="str">
        <f>IF(C315="","",GETPIVOTDATA("WinPips",ProfitRpt!$A$9,"Trade Month",C315,"Trade Year",B315))</f>
        <v/>
      </c>
      <c r="I315" s="42" t="str">
        <f t="shared" si="29"/>
        <v/>
      </c>
      <c r="J315" s="43" t="str">
        <f t="shared" si="30"/>
        <v/>
      </c>
      <c r="K315" s="44" t="str">
        <f t="shared" si="31"/>
        <v/>
      </c>
      <c r="L315" s="44" t="str">
        <f t="shared" si="32"/>
        <v/>
      </c>
    </row>
    <row r="316" spans="1:12">
      <c r="A316" s="1" t="str">
        <f t="shared" si="33"/>
        <v/>
      </c>
      <c r="F316" s="42" t="str">
        <f t="shared" si="28"/>
        <v/>
      </c>
      <c r="G316" s="42" t="str">
        <f t="shared" si="34"/>
        <v/>
      </c>
      <c r="H316" s="43" t="str">
        <f>IF(C316="","",GETPIVOTDATA("WinPips",ProfitRpt!$A$9,"Trade Month",C316,"Trade Year",B316))</f>
        <v/>
      </c>
      <c r="I316" s="42" t="str">
        <f t="shared" si="29"/>
        <v/>
      </c>
      <c r="J316" s="43" t="str">
        <f t="shared" si="30"/>
        <v/>
      </c>
      <c r="K316" s="44" t="str">
        <f t="shared" si="31"/>
        <v/>
      </c>
      <c r="L316" s="44" t="str">
        <f t="shared" si="32"/>
        <v/>
      </c>
    </row>
    <row r="317" spans="1:12">
      <c r="A317" s="1" t="str">
        <f t="shared" si="33"/>
        <v/>
      </c>
      <c r="F317" s="42" t="str">
        <f t="shared" si="28"/>
        <v/>
      </c>
      <c r="G317" s="42" t="str">
        <f t="shared" si="34"/>
        <v/>
      </c>
      <c r="H317" s="43" t="str">
        <f>IF(C317="","",GETPIVOTDATA("WinPips",ProfitRpt!$A$9,"Trade Month",C317,"Trade Year",B317))</f>
        <v/>
      </c>
      <c r="I317" s="42" t="str">
        <f t="shared" si="29"/>
        <v/>
      </c>
      <c r="J317" s="43" t="str">
        <f t="shared" si="30"/>
        <v/>
      </c>
      <c r="K317" s="44" t="str">
        <f t="shared" si="31"/>
        <v/>
      </c>
      <c r="L317" s="44" t="str">
        <f t="shared" si="32"/>
        <v/>
      </c>
    </row>
    <row r="318" spans="1:12">
      <c r="A318" s="1" t="str">
        <f t="shared" si="33"/>
        <v/>
      </c>
      <c r="F318" s="42" t="str">
        <f t="shared" si="28"/>
        <v/>
      </c>
      <c r="G318" s="42" t="str">
        <f t="shared" si="34"/>
        <v/>
      </c>
      <c r="H318" s="43" t="str">
        <f>IF(C318="","",GETPIVOTDATA("WinPips",ProfitRpt!$A$9,"Trade Month",C318,"Trade Year",B318))</f>
        <v/>
      </c>
      <c r="I318" s="42" t="str">
        <f t="shared" si="29"/>
        <v/>
      </c>
      <c r="J318" s="43" t="str">
        <f t="shared" si="30"/>
        <v/>
      </c>
      <c r="K318" s="44" t="str">
        <f t="shared" si="31"/>
        <v/>
      </c>
      <c r="L318" s="44" t="str">
        <f t="shared" si="32"/>
        <v/>
      </c>
    </row>
    <row r="319" spans="1:12">
      <c r="A319" s="1" t="str">
        <f t="shared" si="33"/>
        <v/>
      </c>
      <c r="F319" s="42" t="str">
        <f t="shared" si="28"/>
        <v/>
      </c>
      <c r="G319" s="42" t="str">
        <f t="shared" si="34"/>
        <v/>
      </c>
      <c r="H319" s="43" t="str">
        <f>IF(C319="","",GETPIVOTDATA("WinPips",ProfitRpt!$A$9,"Trade Month",C319,"Trade Year",B319))</f>
        <v/>
      </c>
      <c r="I319" s="42" t="str">
        <f t="shared" si="29"/>
        <v/>
      </c>
      <c r="J319" s="43" t="str">
        <f t="shared" si="30"/>
        <v/>
      </c>
      <c r="K319" s="44" t="str">
        <f t="shared" si="31"/>
        <v/>
      </c>
      <c r="L319" s="44" t="str">
        <f t="shared" si="32"/>
        <v/>
      </c>
    </row>
    <row r="320" spans="1:12">
      <c r="A320" s="1" t="str">
        <f t="shared" si="33"/>
        <v/>
      </c>
      <c r="F320" s="42" t="str">
        <f t="shared" si="28"/>
        <v/>
      </c>
      <c r="G320" s="42" t="str">
        <f t="shared" si="34"/>
        <v/>
      </c>
      <c r="H320" s="43" t="str">
        <f>IF(C320="","",GETPIVOTDATA("WinPips",ProfitRpt!$A$9,"Trade Month",C320,"Trade Year",B320))</f>
        <v/>
      </c>
      <c r="I320" s="42" t="str">
        <f t="shared" si="29"/>
        <v/>
      </c>
      <c r="J320" s="43" t="str">
        <f t="shared" si="30"/>
        <v/>
      </c>
      <c r="K320" s="44" t="str">
        <f t="shared" si="31"/>
        <v/>
      </c>
      <c r="L320" s="44" t="str">
        <f t="shared" si="32"/>
        <v/>
      </c>
    </row>
    <row r="321" spans="1:12">
      <c r="A321" s="1" t="str">
        <f t="shared" si="33"/>
        <v/>
      </c>
      <c r="F321" s="42" t="str">
        <f t="shared" si="28"/>
        <v/>
      </c>
      <c r="G321" s="42" t="str">
        <f t="shared" si="34"/>
        <v/>
      </c>
      <c r="H321" s="43" t="str">
        <f>IF(C321="","",GETPIVOTDATA("WinPips",ProfitRpt!$A$9,"Trade Month",C321,"Trade Year",B321))</f>
        <v/>
      </c>
      <c r="I321" s="42" t="str">
        <f t="shared" si="29"/>
        <v/>
      </c>
      <c r="J321" s="43" t="str">
        <f t="shared" si="30"/>
        <v/>
      </c>
      <c r="K321" s="44" t="str">
        <f t="shared" si="31"/>
        <v/>
      </c>
      <c r="L321" s="44" t="str">
        <f t="shared" si="32"/>
        <v/>
      </c>
    </row>
    <row r="322" spans="1:12">
      <c r="A322" s="1" t="str">
        <f t="shared" si="33"/>
        <v/>
      </c>
      <c r="F322" s="42" t="str">
        <f t="shared" si="28"/>
        <v/>
      </c>
      <c r="G322" s="42" t="str">
        <f t="shared" si="34"/>
        <v/>
      </c>
      <c r="H322" s="43" t="str">
        <f>IF(C322="","",GETPIVOTDATA("WinPips",ProfitRpt!$A$9,"Trade Month",C322,"Trade Year",B322))</f>
        <v/>
      </c>
      <c r="I322" s="42" t="str">
        <f t="shared" si="29"/>
        <v/>
      </c>
      <c r="J322" s="43" t="str">
        <f t="shared" si="30"/>
        <v/>
      </c>
      <c r="K322" s="44" t="str">
        <f t="shared" si="31"/>
        <v/>
      </c>
      <c r="L322" s="44" t="str">
        <f t="shared" si="32"/>
        <v/>
      </c>
    </row>
    <row r="323" spans="1:12">
      <c r="A323" s="1" t="str">
        <f t="shared" si="33"/>
        <v/>
      </c>
      <c r="F323" s="42" t="str">
        <f t="shared" si="28"/>
        <v/>
      </c>
      <c r="G323" s="42" t="str">
        <f t="shared" si="34"/>
        <v/>
      </c>
      <c r="H323" s="43" t="str">
        <f>IF(C323="","",GETPIVOTDATA("WinPips",ProfitRpt!$A$9,"Trade Month",C323,"Trade Year",B323))</f>
        <v/>
      </c>
      <c r="I323" s="42" t="str">
        <f t="shared" si="29"/>
        <v/>
      </c>
      <c r="J323" s="43" t="str">
        <f t="shared" si="30"/>
        <v/>
      </c>
      <c r="K323" s="44" t="str">
        <f t="shared" si="31"/>
        <v/>
      </c>
      <c r="L323" s="44" t="str">
        <f t="shared" si="32"/>
        <v/>
      </c>
    </row>
    <row r="324" spans="1:12">
      <c r="A324" s="1" t="str">
        <f t="shared" si="33"/>
        <v/>
      </c>
      <c r="F324" s="42" t="str">
        <f t="shared" si="28"/>
        <v/>
      </c>
      <c r="G324" s="42" t="str">
        <f t="shared" si="34"/>
        <v/>
      </c>
      <c r="H324" s="43" t="str">
        <f>IF(C324="","",GETPIVOTDATA("WinPips",ProfitRpt!$A$9,"Trade Month",C324,"Trade Year",B324))</f>
        <v/>
      </c>
      <c r="I324" s="42" t="str">
        <f t="shared" si="29"/>
        <v/>
      </c>
      <c r="J324" s="43" t="str">
        <f t="shared" si="30"/>
        <v/>
      </c>
      <c r="K324" s="44" t="str">
        <f t="shared" si="31"/>
        <v/>
      </c>
      <c r="L324" s="44" t="str">
        <f t="shared" si="32"/>
        <v/>
      </c>
    </row>
    <row r="325" spans="1:12">
      <c r="A325" s="1" t="str">
        <f t="shared" si="33"/>
        <v/>
      </c>
      <c r="F325" s="42" t="str">
        <f t="shared" si="28"/>
        <v/>
      </c>
      <c r="G325" s="42" t="str">
        <f t="shared" si="34"/>
        <v/>
      </c>
      <c r="H325" s="43" t="str">
        <f>IF(C325="","",GETPIVOTDATA("WinPips",ProfitRpt!$A$9,"Trade Month",C325,"Trade Year",B325))</f>
        <v/>
      </c>
      <c r="I325" s="42" t="str">
        <f t="shared" si="29"/>
        <v/>
      </c>
      <c r="J325" s="43" t="str">
        <f t="shared" si="30"/>
        <v/>
      </c>
      <c r="K325" s="44" t="str">
        <f t="shared" si="31"/>
        <v/>
      </c>
      <c r="L325" s="44" t="str">
        <f t="shared" si="32"/>
        <v/>
      </c>
    </row>
    <row r="326" spans="1:12">
      <c r="A326" s="1" t="str">
        <f t="shared" si="33"/>
        <v/>
      </c>
      <c r="F326" s="42" t="str">
        <f t="shared" si="28"/>
        <v/>
      </c>
      <c r="G326" s="42" t="str">
        <f t="shared" si="34"/>
        <v/>
      </c>
      <c r="H326" s="43" t="str">
        <f>IF(C326="","",GETPIVOTDATA("WinPips",ProfitRpt!$A$9,"Trade Month",C326,"Trade Year",B326))</f>
        <v/>
      </c>
      <c r="I326" s="42" t="str">
        <f t="shared" si="29"/>
        <v/>
      </c>
      <c r="J326" s="43" t="str">
        <f t="shared" si="30"/>
        <v/>
      </c>
      <c r="K326" s="44" t="str">
        <f t="shared" si="31"/>
        <v/>
      </c>
      <c r="L326" s="44" t="str">
        <f t="shared" si="32"/>
        <v/>
      </c>
    </row>
    <row r="327" spans="1:12">
      <c r="A327" s="1" t="str">
        <f t="shared" si="33"/>
        <v/>
      </c>
      <c r="F327" s="42" t="str">
        <f t="shared" ref="F327:F390" si="35">IF(G327="","",E327+G327)</f>
        <v/>
      </c>
      <c r="G327" s="42" t="str">
        <f t="shared" si="34"/>
        <v/>
      </c>
      <c r="H327" s="43" t="str">
        <f>IF(C327="","",GETPIVOTDATA("WinPips",ProfitRpt!$A$9,"Trade Month",C327,"Trade Year",B327))</f>
        <v/>
      </c>
      <c r="I327" s="42" t="str">
        <f t="shared" ref="I327:I390" si="36">IF(B327="","",IF(B327=B326,I326+G327,G327))</f>
        <v/>
      </c>
      <c r="J327" s="43" t="str">
        <f t="shared" ref="J327:J390" si="37">IF(B327="","",IF(B326=B327,J326+H327,H327))</f>
        <v/>
      </c>
      <c r="K327" s="44" t="str">
        <f t="shared" ref="K327:K390" si="38">IF(F327="","",IF(E327="","",(F327-E327)/E327))</f>
        <v/>
      </c>
      <c r="L327" s="44" t="str">
        <f t="shared" ref="L327:L390" si="39">IF(I327="","",IF(D327="","",I327/D327) )</f>
        <v/>
      </c>
    </row>
    <row r="328" spans="1:12">
      <c r="A328" s="1" t="str">
        <f t="shared" ref="A328:A391" si="40">IF(C328="","",A327+1)</f>
        <v/>
      </c>
      <c r="F328" s="42" t="str">
        <f t="shared" si="35"/>
        <v/>
      </c>
      <c r="G328" s="42" t="str">
        <f t="shared" ref="G328:G391" si="41">IF(C328="","",H328/10)</f>
        <v/>
      </c>
      <c r="H328" s="43" t="str">
        <f>IF(C328="","",GETPIVOTDATA("WinPips",ProfitRpt!$A$9,"Trade Month",C328,"Trade Year",B328))</f>
        <v/>
      </c>
      <c r="I328" s="42" t="str">
        <f t="shared" si="36"/>
        <v/>
      </c>
      <c r="J328" s="43" t="str">
        <f t="shared" si="37"/>
        <v/>
      </c>
      <c r="K328" s="44" t="str">
        <f t="shared" si="38"/>
        <v/>
      </c>
      <c r="L328" s="44" t="str">
        <f t="shared" si="39"/>
        <v/>
      </c>
    </row>
    <row r="329" spans="1:12">
      <c r="A329" s="1" t="str">
        <f t="shared" si="40"/>
        <v/>
      </c>
      <c r="F329" s="42" t="str">
        <f t="shared" si="35"/>
        <v/>
      </c>
      <c r="G329" s="42" t="str">
        <f t="shared" si="41"/>
        <v/>
      </c>
      <c r="H329" s="43" t="str">
        <f>IF(C329="","",GETPIVOTDATA("WinPips",ProfitRpt!$A$9,"Trade Month",C329,"Trade Year",B329))</f>
        <v/>
      </c>
      <c r="I329" s="42" t="str">
        <f t="shared" si="36"/>
        <v/>
      </c>
      <c r="J329" s="43" t="str">
        <f t="shared" si="37"/>
        <v/>
      </c>
      <c r="K329" s="44" t="str">
        <f t="shared" si="38"/>
        <v/>
      </c>
      <c r="L329" s="44" t="str">
        <f t="shared" si="39"/>
        <v/>
      </c>
    </row>
    <row r="330" spans="1:12">
      <c r="A330" s="1" t="str">
        <f t="shared" si="40"/>
        <v/>
      </c>
      <c r="F330" s="42" t="str">
        <f t="shared" si="35"/>
        <v/>
      </c>
      <c r="G330" s="42" t="str">
        <f t="shared" si="41"/>
        <v/>
      </c>
      <c r="H330" s="43" t="str">
        <f>IF(C330="","",GETPIVOTDATA("WinPips",ProfitRpt!$A$9,"Trade Month",C330,"Trade Year",B330))</f>
        <v/>
      </c>
      <c r="I330" s="42" t="str">
        <f t="shared" si="36"/>
        <v/>
      </c>
      <c r="J330" s="43" t="str">
        <f t="shared" si="37"/>
        <v/>
      </c>
      <c r="K330" s="44" t="str">
        <f t="shared" si="38"/>
        <v/>
      </c>
      <c r="L330" s="44" t="str">
        <f t="shared" si="39"/>
        <v/>
      </c>
    </row>
    <row r="331" spans="1:12">
      <c r="A331" s="1" t="str">
        <f t="shared" si="40"/>
        <v/>
      </c>
      <c r="F331" s="42" t="str">
        <f t="shared" si="35"/>
        <v/>
      </c>
      <c r="G331" s="42" t="str">
        <f t="shared" si="41"/>
        <v/>
      </c>
      <c r="H331" s="43" t="str">
        <f>IF(C331="","",GETPIVOTDATA("WinPips",ProfitRpt!$A$9,"Trade Month",C331,"Trade Year",B331))</f>
        <v/>
      </c>
      <c r="I331" s="42" t="str">
        <f t="shared" si="36"/>
        <v/>
      </c>
      <c r="J331" s="43" t="str">
        <f t="shared" si="37"/>
        <v/>
      </c>
      <c r="K331" s="44" t="str">
        <f t="shared" si="38"/>
        <v/>
      </c>
      <c r="L331" s="44" t="str">
        <f t="shared" si="39"/>
        <v/>
      </c>
    </row>
    <row r="332" spans="1:12">
      <c r="A332" s="1" t="str">
        <f t="shared" si="40"/>
        <v/>
      </c>
      <c r="F332" s="42" t="str">
        <f t="shared" si="35"/>
        <v/>
      </c>
      <c r="G332" s="42" t="str">
        <f t="shared" si="41"/>
        <v/>
      </c>
      <c r="H332" s="43" t="str">
        <f>IF(C332="","",GETPIVOTDATA("WinPips",ProfitRpt!$A$9,"Trade Month",C332,"Trade Year",B332))</f>
        <v/>
      </c>
      <c r="I332" s="42" t="str">
        <f t="shared" si="36"/>
        <v/>
      </c>
      <c r="J332" s="43" t="str">
        <f t="shared" si="37"/>
        <v/>
      </c>
      <c r="K332" s="44" t="str">
        <f t="shared" si="38"/>
        <v/>
      </c>
      <c r="L332" s="44" t="str">
        <f t="shared" si="39"/>
        <v/>
      </c>
    </row>
    <row r="333" spans="1:12">
      <c r="A333" s="1" t="str">
        <f t="shared" si="40"/>
        <v/>
      </c>
      <c r="F333" s="42" t="str">
        <f t="shared" si="35"/>
        <v/>
      </c>
      <c r="G333" s="42" t="str">
        <f t="shared" si="41"/>
        <v/>
      </c>
      <c r="H333" s="43" t="str">
        <f>IF(C333="","",GETPIVOTDATA("WinPips",ProfitRpt!$A$9,"Trade Month",C333,"Trade Year",B333))</f>
        <v/>
      </c>
      <c r="I333" s="42" t="str">
        <f t="shared" si="36"/>
        <v/>
      </c>
      <c r="J333" s="43" t="str">
        <f t="shared" si="37"/>
        <v/>
      </c>
      <c r="K333" s="44" t="str">
        <f t="shared" si="38"/>
        <v/>
      </c>
      <c r="L333" s="44" t="str">
        <f t="shared" si="39"/>
        <v/>
      </c>
    </row>
    <row r="334" spans="1:12">
      <c r="A334" s="1" t="str">
        <f t="shared" si="40"/>
        <v/>
      </c>
      <c r="F334" s="42" t="str">
        <f t="shared" si="35"/>
        <v/>
      </c>
      <c r="G334" s="42" t="str">
        <f t="shared" si="41"/>
        <v/>
      </c>
      <c r="H334" s="43" t="str">
        <f>IF(C334="","",GETPIVOTDATA("WinPips",ProfitRpt!$A$9,"Trade Month",C334,"Trade Year",B334))</f>
        <v/>
      </c>
      <c r="I334" s="42" t="str">
        <f t="shared" si="36"/>
        <v/>
      </c>
      <c r="J334" s="43" t="str">
        <f t="shared" si="37"/>
        <v/>
      </c>
      <c r="K334" s="44" t="str">
        <f t="shared" si="38"/>
        <v/>
      </c>
      <c r="L334" s="44" t="str">
        <f t="shared" si="39"/>
        <v/>
      </c>
    </row>
    <row r="335" spans="1:12">
      <c r="A335" s="1" t="str">
        <f t="shared" si="40"/>
        <v/>
      </c>
      <c r="F335" s="42" t="str">
        <f t="shared" si="35"/>
        <v/>
      </c>
      <c r="G335" s="42" t="str">
        <f t="shared" si="41"/>
        <v/>
      </c>
      <c r="H335" s="43" t="str">
        <f>IF(C335="","",GETPIVOTDATA("WinPips",ProfitRpt!$A$9,"Trade Month",C335,"Trade Year",B335))</f>
        <v/>
      </c>
      <c r="I335" s="42" t="str">
        <f t="shared" si="36"/>
        <v/>
      </c>
      <c r="J335" s="43" t="str">
        <f t="shared" si="37"/>
        <v/>
      </c>
      <c r="K335" s="44" t="str">
        <f t="shared" si="38"/>
        <v/>
      </c>
      <c r="L335" s="44" t="str">
        <f t="shared" si="39"/>
        <v/>
      </c>
    </row>
    <row r="336" spans="1:12">
      <c r="A336" s="1" t="str">
        <f t="shared" si="40"/>
        <v/>
      </c>
      <c r="F336" s="42" t="str">
        <f t="shared" si="35"/>
        <v/>
      </c>
      <c r="G336" s="42" t="str">
        <f t="shared" si="41"/>
        <v/>
      </c>
      <c r="H336" s="43" t="str">
        <f>IF(C336="","",GETPIVOTDATA("WinPips",ProfitRpt!$A$9,"Trade Month",C336,"Trade Year",B336))</f>
        <v/>
      </c>
      <c r="I336" s="42" t="str">
        <f t="shared" si="36"/>
        <v/>
      </c>
      <c r="J336" s="43" t="str">
        <f t="shared" si="37"/>
        <v/>
      </c>
      <c r="K336" s="44" t="str">
        <f t="shared" si="38"/>
        <v/>
      </c>
      <c r="L336" s="44" t="str">
        <f t="shared" si="39"/>
        <v/>
      </c>
    </row>
    <row r="337" spans="1:12">
      <c r="A337" s="1" t="str">
        <f t="shared" si="40"/>
        <v/>
      </c>
      <c r="F337" s="42" t="str">
        <f t="shared" si="35"/>
        <v/>
      </c>
      <c r="G337" s="42" t="str">
        <f t="shared" si="41"/>
        <v/>
      </c>
      <c r="H337" s="43" t="str">
        <f>IF(C337="","",GETPIVOTDATA("WinPips",ProfitRpt!$A$9,"Trade Month",C337,"Trade Year",B337))</f>
        <v/>
      </c>
      <c r="I337" s="42" t="str">
        <f t="shared" si="36"/>
        <v/>
      </c>
      <c r="J337" s="43" t="str">
        <f t="shared" si="37"/>
        <v/>
      </c>
      <c r="K337" s="44" t="str">
        <f t="shared" si="38"/>
        <v/>
      </c>
      <c r="L337" s="44" t="str">
        <f t="shared" si="39"/>
        <v/>
      </c>
    </row>
    <row r="338" spans="1:12">
      <c r="A338" s="1" t="str">
        <f t="shared" si="40"/>
        <v/>
      </c>
      <c r="F338" s="42" t="str">
        <f t="shared" si="35"/>
        <v/>
      </c>
      <c r="G338" s="42" t="str">
        <f t="shared" si="41"/>
        <v/>
      </c>
      <c r="H338" s="43" t="str">
        <f>IF(C338="","",GETPIVOTDATA("WinPips",ProfitRpt!$A$9,"Trade Month",C338,"Trade Year",B338))</f>
        <v/>
      </c>
      <c r="I338" s="42" t="str">
        <f t="shared" si="36"/>
        <v/>
      </c>
      <c r="J338" s="43" t="str">
        <f t="shared" si="37"/>
        <v/>
      </c>
      <c r="K338" s="44" t="str">
        <f t="shared" si="38"/>
        <v/>
      </c>
      <c r="L338" s="44" t="str">
        <f t="shared" si="39"/>
        <v/>
      </c>
    </row>
    <row r="339" spans="1:12">
      <c r="A339" s="1" t="str">
        <f t="shared" si="40"/>
        <v/>
      </c>
      <c r="F339" s="42" t="str">
        <f t="shared" si="35"/>
        <v/>
      </c>
      <c r="G339" s="42" t="str">
        <f t="shared" si="41"/>
        <v/>
      </c>
      <c r="H339" s="43" t="str">
        <f>IF(C339="","",GETPIVOTDATA("WinPips",ProfitRpt!$A$9,"Trade Month",C339,"Trade Year",B339))</f>
        <v/>
      </c>
      <c r="I339" s="42" t="str">
        <f t="shared" si="36"/>
        <v/>
      </c>
      <c r="J339" s="43" t="str">
        <f t="shared" si="37"/>
        <v/>
      </c>
      <c r="K339" s="44" t="str">
        <f t="shared" si="38"/>
        <v/>
      </c>
      <c r="L339" s="44" t="str">
        <f t="shared" si="39"/>
        <v/>
      </c>
    </row>
    <row r="340" spans="1:12">
      <c r="A340" s="1" t="str">
        <f t="shared" si="40"/>
        <v/>
      </c>
      <c r="F340" s="42" t="str">
        <f t="shared" si="35"/>
        <v/>
      </c>
      <c r="G340" s="42" t="str">
        <f t="shared" si="41"/>
        <v/>
      </c>
      <c r="H340" s="43" t="str">
        <f>IF(C340="","",GETPIVOTDATA("WinPips",ProfitRpt!$A$9,"Trade Month",C340,"Trade Year",B340))</f>
        <v/>
      </c>
      <c r="I340" s="42" t="str">
        <f t="shared" si="36"/>
        <v/>
      </c>
      <c r="J340" s="43" t="str">
        <f t="shared" si="37"/>
        <v/>
      </c>
      <c r="K340" s="44" t="str">
        <f t="shared" si="38"/>
        <v/>
      </c>
      <c r="L340" s="44" t="str">
        <f t="shared" si="39"/>
        <v/>
      </c>
    </row>
    <row r="341" spans="1:12">
      <c r="A341" s="1" t="str">
        <f t="shared" si="40"/>
        <v/>
      </c>
      <c r="F341" s="42" t="str">
        <f t="shared" si="35"/>
        <v/>
      </c>
      <c r="G341" s="42" t="str">
        <f t="shared" si="41"/>
        <v/>
      </c>
      <c r="H341" s="43" t="str">
        <f>IF(C341="","",GETPIVOTDATA("WinPips",ProfitRpt!$A$9,"Trade Month",C341,"Trade Year",B341))</f>
        <v/>
      </c>
      <c r="I341" s="42" t="str">
        <f t="shared" si="36"/>
        <v/>
      </c>
      <c r="J341" s="43" t="str">
        <f t="shared" si="37"/>
        <v/>
      </c>
      <c r="K341" s="44" t="str">
        <f t="shared" si="38"/>
        <v/>
      </c>
      <c r="L341" s="44" t="str">
        <f t="shared" si="39"/>
        <v/>
      </c>
    </row>
    <row r="342" spans="1:12">
      <c r="A342" s="1" t="str">
        <f t="shared" si="40"/>
        <v/>
      </c>
      <c r="F342" s="42" t="str">
        <f t="shared" si="35"/>
        <v/>
      </c>
      <c r="G342" s="42" t="str">
        <f t="shared" si="41"/>
        <v/>
      </c>
      <c r="H342" s="43" t="str">
        <f>IF(C342="","",GETPIVOTDATA("WinPips",ProfitRpt!$A$9,"Trade Month",C342,"Trade Year",B342))</f>
        <v/>
      </c>
      <c r="I342" s="42" t="str">
        <f t="shared" si="36"/>
        <v/>
      </c>
      <c r="J342" s="43" t="str">
        <f t="shared" si="37"/>
        <v/>
      </c>
      <c r="K342" s="44" t="str">
        <f t="shared" si="38"/>
        <v/>
      </c>
      <c r="L342" s="44" t="str">
        <f t="shared" si="39"/>
        <v/>
      </c>
    </row>
    <row r="343" spans="1:12">
      <c r="A343" s="1" t="str">
        <f t="shared" si="40"/>
        <v/>
      </c>
      <c r="F343" s="42" t="str">
        <f t="shared" si="35"/>
        <v/>
      </c>
      <c r="G343" s="42" t="str">
        <f t="shared" si="41"/>
        <v/>
      </c>
      <c r="H343" s="43" t="str">
        <f>IF(C343="","",GETPIVOTDATA("WinPips",ProfitRpt!$A$9,"Trade Month",C343,"Trade Year",B343))</f>
        <v/>
      </c>
      <c r="I343" s="42" t="str">
        <f t="shared" si="36"/>
        <v/>
      </c>
      <c r="J343" s="43" t="str">
        <f t="shared" si="37"/>
        <v/>
      </c>
      <c r="K343" s="44" t="str">
        <f t="shared" si="38"/>
        <v/>
      </c>
      <c r="L343" s="44" t="str">
        <f t="shared" si="39"/>
        <v/>
      </c>
    </row>
    <row r="344" spans="1:12">
      <c r="A344" s="1" t="str">
        <f t="shared" si="40"/>
        <v/>
      </c>
      <c r="F344" s="42" t="str">
        <f t="shared" si="35"/>
        <v/>
      </c>
      <c r="G344" s="42" t="str">
        <f t="shared" si="41"/>
        <v/>
      </c>
      <c r="H344" s="43" t="str">
        <f>IF(C344="","",GETPIVOTDATA("WinPips",ProfitRpt!$A$9,"Trade Month",C344,"Trade Year",B344))</f>
        <v/>
      </c>
      <c r="I344" s="42" t="str">
        <f t="shared" si="36"/>
        <v/>
      </c>
      <c r="J344" s="43" t="str">
        <f t="shared" si="37"/>
        <v/>
      </c>
      <c r="K344" s="44" t="str">
        <f t="shared" si="38"/>
        <v/>
      </c>
      <c r="L344" s="44" t="str">
        <f t="shared" si="39"/>
        <v/>
      </c>
    </row>
    <row r="345" spans="1:12">
      <c r="A345" s="1" t="str">
        <f t="shared" si="40"/>
        <v/>
      </c>
      <c r="F345" s="42" t="str">
        <f t="shared" si="35"/>
        <v/>
      </c>
      <c r="G345" s="42" t="str">
        <f t="shared" si="41"/>
        <v/>
      </c>
      <c r="H345" s="43" t="str">
        <f>IF(C345="","",GETPIVOTDATA("WinPips",ProfitRpt!$A$9,"Trade Month",C345,"Trade Year",B345))</f>
        <v/>
      </c>
      <c r="I345" s="42" t="str">
        <f t="shared" si="36"/>
        <v/>
      </c>
      <c r="J345" s="43" t="str">
        <f t="shared" si="37"/>
        <v/>
      </c>
      <c r="K345" s="44" t="str">
        <f t="shared" si="38"/>
        <v/>
      </c>
      <c r="L345" s="44" t="str">
        <f t="shared" si="39"/>
        <v/>
      </c>
    </row>
    <row r="346" spans="1:12">
      <c r="A346" s="1" t="str">
        <f t="shared" si="40"/>
        <v/>
      </c>
      <c r="F346" s="42" t="str">
        <f t="shared" si="35"/>
        <v/>
      </c>
      <c r="G346" s="42" t="str">
        <f t="shared" si="41"/>
        <v/>
      </c>
      <c r="H346" s="43" t="str">
        <f>IF(C346="","",GETPIVOTDATA("WinPips",ProfitRpt!$A$9,"Trade Month",C346,"Trade Year",B346))</f>
        <v/>
      </c>
      <c r="I346" s="42" t="str">
        <f t="shared" si="36"/>
        <v/>
      </c>
      <c r="J346" s="43" t="str">
        <f t="shared" si="37"/>
        <v/>
      </c>
      <c r="K346" s="44" t="str">
        <f t="shared" si="38"/>
        <v/>
      </c>
      <c r="L346" s="44" t="str">
        <f t="shared" si="39"/>
        <v/>
      </c>
    </row>
    <row r="347" spans="1:12">
      <c r="A347" s="1" t="str">
        <f t="shared" si="40"/>
        <v/>
      </c>
      <c r="F347" s="42" t="str">
        <f t="shared" si="35"/>
        <v/>
      </c>
      <c r="G347" s="42" t="str">
        <f t="shared" si="41"/>
        <v/>
      </c>
      <c r="H347" s="43" t="str">
        <f>IF(C347="","",GETPIVOTDATA("WinPips",ProfitRpt!$A$9,"Trade Month",C347,"Trade Year",B347))</f>
        <v/>
      </c>
      <c r="I347" s="42" t="str">
        <f t="shared" si="36"/>
        <v/>
      </c>
      <c r="J347" s="43" t="str">
        <f t="shared" si="37"/>
        <v/>
      </c>
      <c r="K347" s="44" t="str">
        <f t="shared" si="38"/>
        <v/>
      </c>
      <c r="L347" s="44" t="str">
        <f t="shared" si="39"/>
        <v/>
      </c>
    </row>
    <row r="348" spans="1:12">
      <c r="A348" s="1" t="str">
        <f t="shared" si="40"/>
        <v/>
      </c>
      <c r="F348" s="42" t="str">
        <f t="shared" si="35"/>
        <v/>
      </c>
      <c r="G348" s="42" t="str">
        <f t="shared" si="41"/>
        <v/>
      </c>
      <c r="H348" s="43" t="str">
        <f>IF(C348="","",GETPIVOTDATA("WinPips",ProfitRpt!$A$9,"Trade Month",C348,"Trade Year",B348))</f>
        <v/>
      </c>
      <c r="I348" s="42" t="str">
        <f t="shared" si="36"/>
        <v/>
      </c>
      <c r="J348" s="43" t="str">
        <f t="shared" si="37"/>
        <v/>
      </c>
      <c r="K348" s="44" t="str">
        <f t="shared" si="38"/>
        <v/>
      </c>
      <c r="L348" s="44" t="str">
        <f t="shared" si="39"/>
        <v/>
      </c>
    </row>
    <row r="349" spans="1:12">
      <c r="A349" s="1" t="str">
        <f t="shared" si="40"/>
        <v/>
      </c>
      <c r="F349" s="42" t="str">
        <f t="shared" si="35"/>
        <v/>
      </c>
      <c r="G349" s="42" t="str">
        <f t="shared" si="41"/>
        <v/>
      </c>
      <c r="H349" s="43" t="str">
        <f>IF(C349="","",GETPIVOTDATA("WinPips",ProfitRpt!$A$9,"Trade Month",C349,"Trade Year",B349))</f>
        <v/>
      </c>
      <c r="I349" s="42" t="str">
        <f t="shared" si="36"/>
        <v/>
      </c>
      <c r="J349" s="43" t="str">
        <f t="shared" si="37"/>
        <v/>
      </c>
      <c r="K349" s="44" t="str">
        <f t="shared" si="38"/>
        <v/>
      </c>
      <c r="L349" s="44" t="str">
        <f t="shared" si="39"/>
        <v/>
      </c>
    </row>
    <row r="350" spans="1:12">
      <c r="A350" s="1" t="str">
        <f t="shared" si="40"/>
        <v/>
      </c>
      <c r="F350" s="42" t="str">
        <f t="shared" si="35"/>
        <v/>
      </c>
      <c r="G350" s="42" t="str">
        <f t="shared" si="41"/>
        <v/>
      </c>
      <c r="H350" s="43" t="str">
        <f>IF(C350="","",GETPIVOTDATA("WinPips",ProfitRpt!$A$9,"Trade Month",C350,"Trade Year",B350))</f>
        <v/>
      </c>
      <c r="I350" s="42" t="str">
        <f t="shared" si="36"/>
        <v/>
      </c>
      <c r="J350" s="43" t="str">
        <f t="shared" si="37"/>
        <v/>
      </c>
      <c r="K350" s="44" t="str">
        <f t="shared" si="38"/>
        <v/>
      </c>
      <c r="L350" s="44" t="str">
        <f t="shared" si="39"/>
        <v/>
      </c>
    </row>
    <row r="351" spans="1:12">
      <c r="A351" s="1" t="str">
        <f t="shared" si="40"/>
        <v/>
      </c>
      <c r="F351" s="42" t="str">
        <f t="shared" si="35"/>
        <v/>
      </c>
      <c r="G351" s="42" t="str">
        <f t="shared" si="41"/>
        <v/>
      </c>
      <c r="H351" s="43" t="str">
        <f>IF(C351="","",GETPIVOTDATA("WinPips",ProfitRpt!$A$9,"Trade Month",C351,"Trade Year",B351))</f>
        <v/>
      </c>
      <c r="I351" s="42" t="str">
        <f t="shared" si="36"/>
        <v/>
      </c>
      <c r="J351" s="43" t="str">
        <f t="shared" si="37"/>
        <v/>
      </c>
      <c r="K351" s="44" t="str">
        <f t="shared" si="38"/>
        <v/>
      </c>
      <c r="L351" s="44" t="str">
        <f t="shared" si="39"/>
        <v/>
      </c>
    </row>
    <row r="352" spans="1:12">
      <c r="A352" s="1" t="str">
        <f t="shared" si="40"/>
        <v/>
      </c>
      <c r="F352" s="42" t="str">
        <f t="shared" si="35"/>
        <v/>
      </c>
      <c r="G352" s="42" t="str">
        <f t="shared" si="41"/>
        <v/>
      </c>
      <c r="H352" s="43" t="str">
        <f>IF(C352="","",GETPIVOTDATA("WinPips",ProfitRpt!$A$9,"Trade Month",C352,"Trade Year",B352))</f>
        <v/>
      </c>
      <c r="I352" s="42" t="str">
        <f t="shared" si="36"/>
        <v/>
      </c>
      <c r="J352" s="43" t="str">
        <f t="shared" si="37"/>
        <v/>
      </c>
      <c r="K352" s="44" t="str">
        <f t="shared" si="38"/>
        <v/>
      </c>
      <c r="L352" s="44" t="str">
        <f t="shared" si="39"/>
        <v/>
      </c>
    </row>
    <row r="353" spans="1:12">
      <c r="A353" s="1" t="str">
        <f t="shared" si="40"/>
        <v/>
      </c>
      <c r="F353" s="42" t="str">
        <f t="shared" si="35"/>
        <v/>
      </c>
      <c r="G353" s="42" t="str">
        <f t="shared" si="41"/>
        <v/>
      </c>
      <c r="H353" s="43" t="str">
        <f>IF(C353="","",GETPIVOTDATA("WinPips",ProfitRpt!$A$9,"Trade Month",C353,"Trade Year",B353))</f>
        <v/>
      </c>
      <c r="I353" s="42" t="str">
        <f t="shared" si="36"/>
        <v/>
      </c>
      <c r="J353" s="43" t="str">
        <f t="shared" si="37"/>
        <v/>
      </c>
      <c r="K353" s="44" t="str">
        <f t="shared" si="38"/>
        <v/>
      </c>
      <c r="L353" s="44" t="str">
        <f t="shared" si="39"/>
        <v/>
      </c>
    </row>
    <row r="354" spans="1:12">
      <c r="A354" s="1" t="str">
        <f t="shared" si="40"/>
        <v/>
      </c>
      <c r="F354" s="42" t="str">
        <f t="shared" si="35"/>
        <v/>
      </c>
      <c r="G354" s="42" t="str">
        <f t="shared" si="41"/>
        <v/>
      </c>
      <c r="H354" s="43" t="str">
        <f>IF(C354="","",GETPIVOTDATA("WinPips",ProfitRpt!$A$9,"Trade Month",C354,"Trade Year",B354))</f>
        <v/>
      </c>
      <c r="I354" s="42" t="str">
        <f t="shared" si="36"/>
        <v/>
      </c>
      <c r="J354" s="43" t="str">
        <f t="shared" si="37"/>
        <v/>
      </c>
      <c r="K354" s="44" t="str">
        <f t="shared" si="38"/>
        <v/>
      </c>
      <c r="L354" s="44" t="str">
        <f t="shared" si="39"/>
        <v/>
      </c>
    </row>
    <row r="355" spans="1:12">
      <c r="A355" s="1" t="str">
        <f t="shared" si="40"/>
        <v/>
      </c>
      <c r="F355" s="42" t="str">
        <f t="shared" si="35"/>
        <v/>
      </c>
      <c r="G355" s="42" t="str">
        <f t="shared" si="41"/>
        <v/>
      </c>
      <c r="H355" s="43" t="str">
        <f>IF(C355="","",GETPIVOTDATA("WinPips",ProfitRpt!$A$9,"Trade Month",C355,"Trade Year",B355))</f>
        <v/>
      </c>
      <c r="I355" s="42" t="str">
        <f t="shared" si="36"/>
        <v/>
      </c>
      <c r="J355" s="43" t="str">
        <f t="shared" si="37"/>
        <v/>
      </c>
      <c r="K355" s="44" t="str">
        <f t="shared" si="38"/>
        <v/>
      </c>
      <c r="L355" s="44" t="str">
        <f t="shared" si="39"/>
        <v/>
      </c>
    </row>
    <row r="356" spans="1:12">
      <c r="A356" s="1" t="str">
        <f t="shared" si="40"/>
        <v/>
      </c>
      <c r="F356" s="42" t="str">
        <f t="shared" si="35"/>
        <v/>
      </c>
      <c r="G356" s="42" t="str">
        <f t="shared" si="41"/>
        <v/>
      </c>
      <c r="H356" s="43" t="str">
        <f>IF(C356="","",GETPIVOTDATA("WinPips",ProfitRpt!$A$9,"Trade Month",C356,"Trade Year",B356))</f>
        <v/>
      </c>
      <c r="I356" s="42" t="str">
        <f t="shared" si="36"/>
        <v/>
      </c>
      <c r="J356" s="43" t="str">
        <f t="shared" si="37"/>
        <v/>
      </c>
      <c r="K356" s="44" t="str">
        <f t="shared" si="38"/>
        <v/>
      </c>
      <c r="L356" s="44" t="str">
        <f t="shared" si="39"/>
        <v/>
      </c>
    </row>
    <row r="357" spans="1:12">
      <c r="A357" s="1" t="str">
        <f t="shared" si="40"/>
        <v/>
      </c>
      <c r="F357" s="42" t="str">
        <f t="shared" si="35"/>
        <v/>
      </c>
      <c r="G357" s="42" t="str">
        <f t="shared" si="41"/>
        <v/>
      </c>
      <c r="H357" s="43" t="str">
        <f>IF(C357="","",GETPIVOTDATA("WinPips",ProfitRpt!$A$9,"Trade Month",C357,"Trade Year",B357))</f>
        <v/>
      </c>
      <c r="I357" s="42" t="str">
        <f t="shared" si="36"/>
        <v/>
      </c>
      <c r="J357" s="43" t="str">
        <f t="shared" si="37"/>
        <v/>
      </c>
      <c r="K357" s="44" t="str">
        <f t="shared" si="38"/>
        <v/>
      </c>
      <c r="L357" s="44" t="str">
        <f t="shared" si="39"/>
        <v/>
      </c>
    </row>
    <row r="358" spans="1:12">
      <c r="A358" s="1" t="str">
        <f t="shared" si="40"/>
        <v/>
      </c>
      <c r="F358" s="42" t="str">
        <f t="shared" si="35"/>
        <v/>
      </c>
      <c r="G358" s="42" t="str">
        <f t="shared" si="41"/>
        <v/>
      </c>
      <c r="H358" s="43" t="str">
        <f>IF(C358="","",GETPIVOTDATA("WinPips",ProfitRpt!$A$9,"Trade Month",C358,"Trade Year",B358))</f>
        <v/>
      </c>
      <c r="I358" s="42" t="str">
        <f t="shared" si="36"/>
        <v/>
      </c>
      <c r="J358" s="43" t="str">
        <f t="shared" si="37"/>
        <v/>
      </c>
      <c r="K358" s="44" t="str">
        <f t="shared" si="38"/>
        <v/>
      </c>
      <c r="L358" s="44" t="str">
        <f t="shared" si="39"/>
        <v/>
      </c>
    </row>
    <row r="359" spans="1:12">
      <c r="A359" s="1" t="str">
        <f t="shared" si="40"/>
        <v/>
      </c>
      <c r="F359" s="42" t="str">
        <f t="shared" si="35"/>
        <v/>
      </c>
      <c r="G359" s="42" t="str">
        <f t="shared" si="41"/>
        <v/>
      </c>
      <c r="H359" s="43" t="str">
        <f>IF(C359="","",GETPIVOTDATA("WinPips",ProfitRpt!$A$9,"Trade Month",C359,"Trade Year",B359))</f>
        <v/>
      </c>
      <c r="I359" s="42" t="str">
        <f t="shared" si="36"/>
        <v/>
      </c>
      <c r="J359" s="43" t="str">
        <f t="shared" si="37"/>
        <v/>
      </c>
      <c r="K359" s="44" t="str">
        <f t="shared" si="38"/>
        <v/>
      </c>
      <c r="L359" s="44" t="str">
        <f t="shared" si="39"/>
        <v/>
      </c>
    </row>
    <row r="360" spans="1:12">
      <c r="A360" s="1" t="str">
        <f t="shared" si="40"/>
        <v/>
      </c>
      <c r="F360" s="42" t="str">
        <f t="shared" si="35"/>
        <v/>
      </c>
      <c r="G360" s="42" t="str">
        <f t="shared" si="41"/>
        <v/>
      </c>
      <c r="H360" s="43" t="str">
        <f>IF(C360="","",GETPIVOTDATA("WinPips",ProfitRpt!$A$9,"Trade Month",C360,"Trade Year",B360))</f>
        <v/>
      </c>
      <c r="I360" s="42" t="str">
        <f t="shared" si="36"/>
        <v/>
      </c>
      <c r="J360" s="43" t="str">
        <f t="shared" si="37"/>
        <v/>
      </c>
      <c r="K360" s="44" t="str">
        <f t="shared" si="38"/>
        <v/>
      </c>
      <c r="L360" s="44" t="str">
        <f t="shared" si="39"/>
        <v/>
      </c>
    </row>
    <row r="361" spans="1:12">
      <c r="A361" s="1" t="str">
        <f t="shared" si="40"/>
        <v/>
      </c>
      <c r="F361" s="42" t="str">
        <f t="shared" si="35"/>
        <v/>
      </c>
      <c r="G361" s="42" t="str">
        <f t="shared" si="41"/>
        <v/>
      </c>
      <c r="H361" s="43" t="str">
        <f>IF(C361="","",GETPIVOTDATA("WinPips",ProfitRpt!$A$9,"Trade Month",C361,"Trade Year",B361))</f>
        <v/>
      </c>
      <c r="I361" s="42" t="str">
        <f t="shared" si="36"/>
        <v/>
      </c>
      <c r="J361" s="43" t="str">
        <f t="shared" si="37"/>
        <v/>
      </c>
      <c r="K361" s="44" t="str">
        <f t="shared" si="38"/>
        <v/>
      </c>
      <c r="L361" s="44" t="str">
        <f t="shared" si="39"/>
        <v/>
      </c>
    </row>
    <row r="362" spans="1:12">
      <c r="A362" s="1" t="str">
        <f t="shared" si="40"/>
        <v/>
      </c>
      <c r="F362" s="42" t="str">
        <f t="shared" si="35"/>
        <v/>
      </c>
      <c r="G362" s="42" t="str">
        <f t="shared" si="41"/>
        <v/>
      </c>
      <c r="H362" s="43" t="str">
        <f>IF(C362="","",GETPIVOTDATA("WinPips",ProfitRpt!$A$9,"Trade Month",C362,"Trade Year",B362))</f>
        <v/>
      </c>
      <c r="I362" s="42" t="str">
        <f t="shared" si="36"/>
        <v/>
      </c>
      <c r="J362" s="43" t="str">
        <f t="shared" si="37"/>
        <v/>
      </c>
      <c r="K362" s="44" t="str">
        <f t="shared" si="38"/>
        <v/>
      </c>
      <c r="L362" s="44" t="str">
        <f t="shared" si="39"/>
        <v/>
      </c>
    </row>
    <row r="363" spans="1:12">
      <c r="A363" s="1" t="str">
        <f t="shared" si="40"/>
        <v/>
      </c>
      <c r="F363" s="42" t="str">
        <f t="shared" si="35"/>
        <v/>
      </c>
      <c r="G363" s="42" t="str">
        <f t="shared" si="41"/>
        <v/>
      </c>
      <c r="H363" s="43" t="str">
        <f>IF(C363="","",GETPIVOTDATA("WinPips",ProfitRpt!$A$9,"Trade Month",C363,"Trade Year",B363))</f>
        <v/>
      </c>
      <c r="I363" s="42" t="str">
        <f t="shared" si="36"/>
        <v/>
      </c>
      <c r="J363" s="43" t="str">
        <f t="shared" si="37"/>
        <v/>
      </c>
      <c r="K363" s="44" t="str">
        <f t="shared" si="38"/>
        <v/>
      </c>
      <c r="L363" s="44" t="str">
        <f t="shared" si="39"/>
        <v/>
      </c>
    </row>
    <row r="364" spans="1:12">
      <c r="A364" s="1" t="str">
        <f t="shared" si="40"/>
        <v/>
      </c>
      <c r="F364" s="42" t="str">
        <f t="shared" si="35"/>
        <v/>
      </c>
      <c r="G364" s="42" t="str">
        <f t="shared" si="41"/>
        <v/>
      </c>
      <c r="H364" s="43" t="str">
        <f>IF(C364="","",GETPIVOTDATA("WinPips",ProfitRpt!$A$9,"Trade Month",C364,"Trade Year",B364))</f>
        <v/>
      </c>
      <c r="I364" s="42" t="str">
        <f t="shared" si="36"/>
        <v/>
      </c>
      <c r="J364" s="43" t="str">
        <f t="shared" si="37"/>
        <v/>
      </c>
      <c r="K364" s="44" t="str">
        <f t="shared" si="38"/>
        <v/>
      </c>
      <c r="L364" s="44" t="str">
        <f t="shared" si="39"/>
        <v/>
      </c>
    </row>
    <row r="365" spans="1:12">
      <c r="A365" s="1" t="str">
        <f t="shared" si="40"/>
        <v/>
      </c>
      <c r="F365" s="42" t="str">
        <f t="shared" si="35"/>
        <v/>
      </c>
      <c r="G365" s="42" t="str">
        <f t="shared" si="41"/>
        <v/>
      </c>
      <c r="H365" s="43" t="str">
        <f>IF(C365="","",GETPIVOTDATA("WinPips",ProfitRpt!$A$9,"Trade Month",C365,"Trade Year",B365))</f>
        <v/>
      </c>
      <c r="I365" s="42" t="str">
        <f t="shared" si="36"/>
        <v/>
      </c>
      <c r="J365" s="43" t="str">
        <f t="shared" si="37"/>
        <v/>
      </c>
      <c r="K365" s="44" t="str">
        <f t="shared" si="38"/>
        <v/>
      </c>
      <c r="L365" s="44" t="str">
        <f t="shared" si="39"/>
        <v/>
      </c>
    </row>
    <row r="366" spans="1:12">
      <c r="A366" s="1" t="str">
        <f t="shared" si="40"/>
        <v/>
      </c>
      <c r="F366" s="42" t="str">
        <f t="shared" si="35"/>
        <v/>
      </c>
      <c r="G366" s="42" t="str">
        <f t="shared" si="41"/>
        <v/>
      </c>
      <c r="H366" s="43" t="str">
        <f>IF(C366="","",GETPIVOTDATA("WinPips",ProfitRpt!$A$9,"Trade Month",C366,"Trade Year",B366))</f>
        <v/>
      </c>
      <c r="I366" s="42" t="str">
        <f t="shared" si="36"/>
        <v/>
      </c>
      <c r="J366" s="43" t="str">
        <f t="shared" si="37"/>
        <v/>
      </c>
      <c r="K366" s="44" t="str">
        <f t="shared" si="38"/>
        <v/>
      </c>
      <c r="L366" s="44" t="str">
        <f t="shared" si="39"/>
        <v/>
      </c>
    </row>
    <row r="367" spans="1:12">
      <c r="A367" s="1" t="str">
        <f t="shared" si="40"/>
        <v/>
      </c>
      <c r="F367" s="42" t="str">
        <f t="shared" si="35"/>
        <v/>
      </c>
      <c r="G367" s="42" t="str">
        <f t="shared" si="41"/>
        <v/>
      </c>
      <c r="H367" s="43" t="str">
        <f>IF(C367="","",GETPIVOTDATA("WinPips",ProfitRpt!$A$9,"Trade Month",C367,"Trade Year",B367))</f>
        <v/>
      </c>
      <c r="I367" s="42" t="str">
        <f t="shared" si="36"/>
        <v/>
      </c>
      <c r="J367" s="43" t="str">
        <f t="shared" si="37"/>
        <v/>
      </c>
      <c r="K367" s="44" t="str">
        <f t="shared" si="38"/>
        <v/>
      </c>
      <c r="L367" s="44" t="str">
        <f t="shared" si="39"/>
        <v/>
      </c>
    </row>
    <row r="368" spans="1:12">
      <c r="A368" s="1" t="str">
        <f t="shared" si="40"/>
        <v/>
      </c>
      <c r="F368" s="42" t="str">
        <f t="shared" si="35"/>
        <v/>
      </c>
      <c r="G368" s="42" t="str">
        <f t="shared" si="41"/>
        <v/>
      </c>
      <c r="H368" s="43" t="str">
        <f>IF(C368="","",GETPIVOTDATA("WinPips",ProfitRpt!$A$9,"Trade Month",C368,"Trade Year",B368))</f>
        <v/>
      </c>
      <c r="I368" s="42" t="str">
        <f t="shared" si="36"/>
        <v/>
      </c>
      <c r="J368" s="43" t="str">
        <f t="shared" si="37"/>
        <v/>
      </c>
      <c r="K368" s="44" t="str">
        <f t="shared" si="38"/>
        <v/>
      </c>
      <c r="L368" s="44" t="str">
        <f t="shared" si="39"/>
        <v/>
      </c>
    </row>
    <row r="369" spans="1:12">
      <c r="A369" s="1" t="str">
        <f t="shared" si="40"/>
        <v/>
      </c>
      <c r="F369" s="42" t="str">
        <f t="shared" si="35"/>
        <v/>
      </c>
      <c r="G369" s="42" t="str">
        <f t="shared" si="41"/>
        <v/>
      </c>
      <c r="H369" s="43" t="str">
        <f>IF(C369="","",GETPIVOTDATA("WinPips",ProfitRpt!$A$9,"Trade Month",C369,"Trade Year",B369))</f>
        <v/>
      </c>
      <c r="I369" s="42" t="str">
        <f t="shared" si="36"/>
        <v/>
      </c>
      <c r="J369" s="43" t="str">
        <f t="shared" si="37"/>
        <v/>
      </c>
      <c r="K369" s="44" t="str">
        <f t="shared" si="38"/>
        <v/>
      </c>
      <c r="L369" s="44" t="str">
        <f t="shared" si="39"/>
        <v/>
      </c>
    </row>
    <row r="370" spans="1:12">
      <c r="A370" s="1" t="str">
        <f t="shared" si="40"/>
        <v/>
      </c>
      <c r="F370" s="42" t="str">
        <f t="shared" si="35"/>
        <v/>
      </c>
      <c r="G370" s="42" t="str">
        <f t="shared" si="41"/>
        <v/>
      </c>
      <c r="H370" s="43" t="str">
        <f>IF(C370="","",GETPIVOTDATA("WinPips",ProfitRpt!$A$9,"Trade Month",C370,"Trade Year",B370))</f>
        <v/>
      </c>
      <c r="I370" s="42" t="str">
        <f t="shared" si="36"/>
        <v/>
      </c>
      <c r="J370" s="43" t="str">
        <f t="shared" si="37"/>
        <v/>
      </c>
      <c r="K370" s="44" t="str">
        <f t="shared" si="38"/>
        <v/>
      </c>
      <c r="L370" s="44" t="str">
        <f t="shared" si="39"/>
        <v/>
      </c>
    </row>
    <row r="371" spans="1:12">
      <c r="A371" s="1" t="str">
        <f t="shared" si="40"/>
        <v/>
      </c>
      <c r="F371" s="42" t="str">
        <f t="shared" si="35"/>
        <v/>
      </c>
      <c r="G371" s="42" t="str">
        <f t="shared" si="41"/>
        <v/>
      </c>
      <c r="H371" s="43" t="str">
        <f>IF(C371="","",GETPIVOTDATA("WinPips",ProfitRpt!$A$9,"Trade Month",C371,"Trade Year",B371))</f>
        <v/>
      </c>
      <c r="I371" s="42" t="str">
        <f t="shared" si="36"/>
        <v/>
      </c>
      <c r="J371" s="43" t="str">
        <f t="shared" si="37"/>
        <v/>
      </c>
      <c r="K371" s="44" t="str">
        <f t="shared" si="38"/>
        <v/>
      </c>
      <c r="L371" s="44" t="str">
        <f t="shared" si="39"/>
        <v/>
      </c>
    </row>
    <row r="372" spans="1:12">
      <c r="A372" s="1" t="str">
        <f t="shared" si="40"/>
        <v/>
      </c>
      <c r="F372" s="42" t="str">
        <f t="shared" si="35"/>
        <v/>
      </c>
      <c r="G372" s="42" t="str">
        <f t="shared" si="41"/>
        <v/>
      </c>
      <c r="H372" s="43" t="str">
        <f>IF(C372="","",GETPIVOTDATA("WinPips",ProfitRpt!$A$9,"Trade Month",C372,"Trade Year",B372))</f>
        <v/>
      </c>
      <c r="I372" s="42" t="str">
        <f t="shared" si="36"/>
        <v/>
      </c>
      <c r="J372" s="43" t="str">
        <f t="shared" si="37"/>
        <v/>
      </c>
      <c r="K372" s="44" t="str">
        <f t="shared" si="38"/>
        <v/>
      </c>
      <c r="L372" s="44" t="str">
        <f t="shared" si="39"/>
        <v/>
      </c>
    </row>
    <row r="373" spans="1:12">
      <c r="A373" s="1" t="str">
        <f t="shared" si="40"/>
        <v/>
      </c>
      <c r="F373" s="42" t="str">
        <f t="shared" si="35"/>
        <v/>
      </c>
      <c r="G373" s="42" t="str">
        <f t="shared" si="41"/>
        <v/>
      </c>
      <c r="H373" s="43" t="str">
        <f>IF(C373="","",GETPIVOTDATA("WinPips",ProfitRpt!$A$9,"Trade Month",C373,"Trade Year",B373))</f>
        <v/>
      </c>
      <c r="I373" s="42" t="str">
        <f t="shared" si="36"/>
        <v/>
      </c>
      <c r="J373" s="43" t="str">
        <f t="shared" si="37"/>
        <v/>
      </c>
      <c r="K373" s="44" t="str">
        <f t="shared" si="38"/>
        <v/>
      </c>
      <c r="L373" s="44" t="str">
        <f t="shared" si="39"/>
        <v/>
      </c>
    </row>
    <row r="374" spans="1:12">
      <c r="A374" s="1" t="str">
        <f t="shared" si="40"/>
        <v/>
      </c>
      <c r="F374" s="42" t="str">
        <f t="shared" si="35"/>
        <v/>
      </c>
      <c r="G374" s="42" t="str">
        <f t="shared" si="41"/>
        <v/>
      </c>
      <c r="H374" s="43" t="str">
        <f>IF(C374="","",GETPIVOTDATA("WinPips",ProfitRpt!$A$9,"Trade Month",C374,"Trade Year",B374))</f>
        <v/>
      </c>
      <c r="I374" s="42" t="str">
        <f t="shared" si="36"/>
        <v/>
      </c>
      <c r="J374" s="43" t="str">
        <f t="shared" si="37"/>
        <v/>
      </c>
      <c r="K374" s="44" t="str">
        <f t="shared" si="38"/>
        <v/>
      </c>
      <c r="L374" s="44" t="str">
        <f t="shared" si="39"/>
        <v/>
      </c>
    </row>
    <row r="375" spans="1:12">
      <c r="A375" s="1" t="str">
        <f t="shared" si="40"/>
        <v/>
      </c>
      <c r="F375" s="42" t="str">
        <f t="shared" si="35"/>
        <v/>
      </c>
      <c r="G375" s="42" t="str">
        <f t="shared" si="41"/>
        <v/>
      </c>
      <c r="H375" s="43" t="str">
        <f>IF(C375="","",GETPIVOTDATA("WinPips",ProfitRpt!$A$9,"Trade Month",C375,"Trade Year",B375))</f>
        <v/>
      </c>
      <c r="I375" s="42" t="str">
        <f t="shared" si="36"/>
        <v/>
      </c>
      <c r="J375" s="43" t="str">
        <f t="shared" si="37"/>
        <v/>
      </c>
      <c r="K375" s="44" t="str">
        <f t="shared" si="38"/>
        <v/>
      </c>
      <c r="L375" s="44" t="str">
        <f t="shared" si="39"/>
        <v/>
      </c>
    </row>
    <row r="376" spans="1:12">
      <c r="A376" s="1" t="str">
        <f t="shared" si="40"/>
        <v/>
      </c>
      <c r="F376" s="42" t="str">
        <f t="shared" si="35"/>
        <v/>
      </c>
      <c r="G376" s="42" t="str">
        <f t="shared" si="41"/>
        <v/>
      </c>
      <c r="H376" s="43" t="str">
        <f>IF(C376="","",GETPIVOTDATA("WinPips",ProfitRpt!$A$9,"Trade Month",C376,"Trade Year",B376))</f>
        <v/>
      </c>
      <c r="I376" s="42" t="str">
        <f t="shared" si="36"/>
        <v/>
      </c>
      <c r="J376" s="43" t="str">
        <f t="shared" si="37"/>
        <v/>
      </c>
      <c r="K376" s="44" t="str">
        <f t="shared" si="38"/>
        <v/>
      </c>
      <c r="L376" s="44" t="str">
        <f t="shared" si="39"/>
        <v/>
      </c>
    </row>
    <row r="377" spans="1:12">
      <c r="A377" s="1" t="str">
        <f t="shared" si="40"/>
        <v/>
      </c>
      <c r="F377" s="42" t="str">
        <f t="shared" si="35"/>
        <v/>
      </c>
      <c r="G377" s="42" t="str">
        <f t="shared" si="41"/>
        <v/>
      </c>
      <c r="H377" s="43" t="str">
        <f>IF(C377="","",GETPIVOTDATA("WinPips",ProfitRpt!$A$9,"Trade Month",C377,"Trade Year",B377))</f>
        <v/>
      </c>
      <c r="I377" s="42" t="str">
        <f t="shared" si="36"/>
        <v/>
      </c>
      <c r="J377" s="43" t="str">
        <f t="shared" si="37"/>
        <v/>
      </c>
      <c r="K377" s="44" t="str">
        <f t="shared" si="38"/>
        <v/>
      </c>
      <c r="L377" s="44" t="str">
        <f t="shared" si="39"/>
        <v/>
      </c>
    </row>
    <row r="378" spans="1:12">
      <c r="A378" s="1" t="str">
        <f t="shared" si="40"/>
        <v/>
      </c>
      <c r="F378" s="42" t="str">
        <f t="shared" si="35"/>
        <v/>
      </c>
      <c r="G378" s="42" t="str">
        <f t="shared" si="41"/>
        <v/>
      </c>
      <c r="H378" s="43" t="str">
        <f>IF(C378="","",GETPIVOTDATA("WinPips",ProfitRpt!$A$9,"Trade Month",C378,"Trade Year",B378))</f>
        <v/>
      </c>
      <c r="I378" s="42" t="str">
        <f t="shared" si="36"/>
        <v/>
      </c>
      <c r="J378" s="43" t="str">
        <f t="shared" si="37"/>
        <v/>
      </c>
      <c r="K378" s="44" t="str">
        <f t="shared" si="38"/>
        <v/>
      </c>
      <c r="L378" s="44" t="str">
        <f t="shared" si="39"/>
        <v/>
      </c>
    </row>
    <row r="379" spans="1:12">
      <c r="A379" s="1" t="str">
        <f t="shared" si="40"/>
        <v/>
      </c>
      <c r="F379" s="42" t="str">
        <f t="shared" si="35"/>
        <v/>
      </c>
      <c r="G379" s="42" t="str">
        <f t="shared" si="41"/>
        <v/>
      </c>
      <c r="H379" s="43" t="str">
        <f>IF(C379="","",GETPIVOTDATA("WinPips",ProfitRpt!$A$9,"Trade Month",C379,"Trade Year",B379))</f>
        <v/>
      </c>
      <c r="I379" s="42" t="str">
        <f t="shared" si="36"/>
        <v/>
      </c>
      <c r="J379" s="43" t="str">
        <f t="shared" si="37"/>
        <v/>
      </c>
      <c r="K379" s="44" t="str">
        <f t="shared" si="38"/>
        <v/>
      </c>
      <c r="L379" s="44" t="str">
        <f t="shared" si="39"/>
        <v/>
      </c>
    </row>
    <row r="380" spans="1:12">
      <c r="A380" s="1" t="str">
        <f t="shared" si="40"/>
        <v/>
      </c>
      <c r="F380" s="42" t="str">
        <f t="shared" si="35"/>
        <v/>
      </c>
      <c r="G380" s="42" t="str">
        <f t="shared" si="41"/>
        <v/>
      </c>
      <c r="H380" s="43" t="str">
        <f>IF(C380="","",GETPIVOTDATA("WinPips",ProfitRpt!$A$9,"Trade Month",C380,"Trade Year",B380))</f>
        <v/>
      </c>
      <c r="I380" s="42" t="str">
        <f t="shared" si="36"/>
        <v/>
      </c>
      <c r="J380" s="43" t="str">
        <f t="shared" si="37"/>
        <v/>
      </c>
      <c r="K380" s="44" t="str">
        <f t="shared" si="38"/>
        <v/>
      </c>
      <c r="L380" s="44" t="str">
        <f t="shared" si="39"/>
        <v/>
      </c>
    </row>
    <row r="381" spans="1:12">
      <c r="A381" s="1" t="str">
        <f t="shared" si="40"/>
        <v/>
      </c>
      <c r="F381" s="42" t="str">
        <f t="shared" si="35"/>
        <v/>
      </c>
      <c r="G381" s="42" t="str">
        <f t="shared" si="41"/>
        <v/>
      </c>
      <c r="H381" s="43" t="str">
        <f>IF(C381="","",GETPIVOTDATA("WinPips",ProfitRpt!$A$9,"Trade Month",C381,"Trade Year",B381))</f>
        <v/>
      </c>
      <c r="I381" s="42" t="str">
        <f t="shared" si="36"/>
        <v/>
      </c>
      <c r="J381" s="43" t="str">
        <f t="shared" si="37"/>
        <v/>
      </c>
      <c r="K381" s="44" t="str">
        <f t="shared" si="38"/>
        <v/>
      </c>
      <c r="L381" s="44" t="str">
        <f t="shared" si="39"/>
        <v/>
      </c>
    </row>
    <row r="382" spans="1:12">
      <c r="A382" s="1" t="str">
        <f t="shared" si="40"/>
        <v/>
      </c>
      <c r="F382" s="42" t="str">
        <f t="shared" si="35"/>
        <v/>
      </c>
      <c r="G382" s="42" t="str">
        <f t="shared" si="41"/>
        <v/>
      </c>
      <c r="H382" s="43" t="str">
        <f>IF(C382="","",GETPIVOTDATA("WinPips",ProfitRpt!$A$9,"Trade Month",C382,"Trade Year",B382))</f>
        <v/>
      </c>
      <c r="I382" s="42" t="str">
        <f t="shared" si="36"/>
        <v/>
      </c>
      <c r="J382" s="43" t="str">
        <f t="shared" si="37"/>
        <v/>
      </c>
      <c r="K382" s="44" t="str">
        <f t="shared" si="38"/>
        <v/>
      </c>
      <c r="L382" s="44" t="str">
        <f t="shared" si="39"/>
        <v/>
      </c>
    </row>
    <row r="383" spans="1:12">
      <c r="A383" s="1" t="str">
        <f t="shared" si="40"/>
        <v/>
      </c>
      <c r="F383" s="42" t="str">
        <f t="shared" si="35"/>
        <v/>
      </c>
      <c r="G383" s="42" t="str">
        <f t="shared" si="41"/>
        <v/>
      </c>
      <c r="H383" s="43" t="str">
        <f>IF(C383="","",GETPIVOTDATA("WinPips",ProfitRpt!$A$9,"Trade Month",C383,"Trade Year",B383))</f>
        <v/>
      </c>
      <c r="I383" s="42" t="str">
        <f t="shared" si="36"/>
        <v/>
      </c>
      <c r="J383" s="43" t="str">
        <f t="shared" si="37"/>
        <v/>
      </c>
      <c r="K383" s="44" t="str">
        <f t="shared" si="38"/>
        <v/>
      </c>
      <c r="L383" s="44" t="str">
        <f t="shared" si="39"/>
        <v/>
      </c>
    </row>
    <row r="384" spans="1:12">
      <c r="A384" s="1" t="str">
        <f t="shared" si="40"/>
        <v/>
      </c>
      <c r="F384" s="42" t="str">
        <f t="shared" si="35"/>
        <v/>
      </c>
      <c r="G384" s="42" t="str">
        <f t="shared" si="41"/>
        <v/>
      </c>
      <c r="H384" s="43" t="str">
        <f>IF(C384="","",GETPIVOTDATA("WinPips",ProfitRpt!$A$9,"Trade Month",C384,"Trade Year",B384))</f>
        <v/>
      </c>
      <c r="I384" s="42" t="str">
        <f t="shared" si="36"/>
        <v/>
      </c>
      <c r="J384" s="43" t="str">
        <f t="shared" si="37"/>
        <v/>
      </c>
      <c r="K384" s="44" t="str">
        <f t="shared" si="38"/>
        <v/>
      </c>
      <c r="L384" s="44" t="str">
        <f t="shared" si="39"/>
        <v/>
      </c>
    </row>
    <row r="385" spans="1:12">
      <c r="A385" s="1" t="str">
        <f t="shared" si="40"/>
        <v/>
      </c>
      <c r="F385" s="42" t="str">
        <f t="shared" si="35"/>
        <v/>
      </c>
      <c r="G385" s="42" t="str">
        <f t="shared" si="41"/>
        <v/>
      </c>
      <c r="H385" s="43" t="str">
        <f>IF(C385="","",GETPIVOTDATA("WinPips",ProfitRpt!$A$9,"Trade Month",C385,"Trade Year",B385))</f>
        <v/>
      </c>
      <c r="I385" s="42" t="str">
        <f t="shared" si="36"/>
        <v/>
      </c>
      <c r="J385" s="43" t="str">
        <f t="shared" si="37"/>
        <v/>
      </c>
      <c r="K385" s="44" t="str">
        <f t="shared" si="38"/>
        <v/>
      </c>
      <c r="L385" s="44" t="str">
        <f t="shared" si="39"/>
        <v/>
      </c>
    </row>
    <row r="386" spans="1:12">
      <c r="A386" s="1" t="str">
        <f t="shared" si="40"/>
        <v/>
      </c>
      <c r="F386" s="42" t="str">
        <f t="shared" si="35"/>
        <v/>
      </c>
      <c r="G386" s="42" t="str">
        <f t="shared" si="41"/>
        <v/>
      </c>
      <c r="H386" s="43" t="str">
        <f>IF(C386="","",GETPIVOTDATA("WinPips",ProfitRpt!$A$9,"Trade Month",C386,"Trade Year",B386))</f>
        <v/>
      </c>
      <c r="I386" s="42" t="str">
        <f t="shared" si="36"/>
        <v/>
      </c>
      <c r="J386" s="43" t="str">
        <f t="shared" si="37"/>
        <v/>
      </c>
      <c r="K386" s="44" t="str">
        <f t="shared" si="38"/>
        <v/>
      </c>
      <c r="L386" s="44" t="str">
        <f t="shared" si="39"/>
        <v/>
      </c>
    </row>
    <row r="387" spans="1:12">
      <c r="A387" s="1" t="str">
        <f t="shared" si="40"/>
        <v/>
      </c>
      <c r="F387" s="42" t="str">
        <f t="shared" si="35"/>
        <v/>
      </c>
      <c r="G387" s="42" t="str">
        <f t="shared" si="41"/>
        <v/>
      </c>
      <c r="H387" s="43" t="str">
        <f>IF(C387="","",GETPIVOTDATA("WinPips",ProfitRpt!$A$9,"Trade Month",C387,"Trade Year",B387))</f>
        <v/>
      </c>
      <c r="I387" s="42" t="str">
        <f t="shared" si="36"/>
        <v/>
      </c>
      <c r="J387" s="43" t="str">
        <f t="shared" si="37"/>
        <v/>
      </c>
      <c r="K387" s="44" t="str">
        <f t="shared" si="38"/>
        <v/>
      </c>
      <c r="L387" s="44" t="str">
        <f t="shared" si="39"/>
        <v/>
      </c>
    </row>
    <row r="388" spans="1:12">
      <c r="A388" s="1" t="str">
        <f t="shared" si="40"/>
        <v/>
      </c>
      <c r="F388" s="42" t="str">
        <f t="shared" si="35"/>
        <v/>
      </c>
      <c r="G388" s="42" t="str">
        <f t="shared" si="41"/>
        <v/>
      </c>
      <c r="H388" s="43" t="str">
        <f>IF(C388="","",GETPIVOTDATA("WinPips",ProfitRpt!$A$9,"Trade Month",C388,"Trade Year",B388))</f>
        <v/>
      </c>
      <c r="I388" s="42" t="str">
        <f t="shared" si="36"/>
        <v/>
      </c>
      <c r="J388" s="43" t="str">
        <f t="shared" si="37"/>
        <v/>
      </c>
      <c r="K388" s="44" t="str">
        <f t="shared" si="38"/>
        <v/>
      </c>
      <c r="L388" s="44" t="str">
        <f t="shared" si="39"/>
        <v/>
      </c>
    </row>
    <row r="389" spans="1:12">
      <c r="A389" s="1" t="str">
        <f t="shared" si="40"/>
        <v/>
      </c>
      <c r="F389" s="42" t="str">
        <f t="shared" si="35"/>
        <v/>
      </c>
      <c r="G389" s="42" t="str">
        <f t="shared" si="41"/>
        <v/>
      </c>
      <c r="H389" s="43" t="str">
        <f>IF(C389="","",GETPIVOTDATA("WinPips",ProfitRpt!$A$9,"Trade Month",C389,"Trade Year",B389))</f>
        <v/>
      </c>
      <c r="I389" s="42" t="str">
        <f t="shared" si="36"/>
        <v/>
      </c>
      <c r="J389" s="43" t="str">
        <f t="shared" si="37"/>
        <v/>
      </c>
      <c r="K389" s="44" t="str">
        <f t="shared" si="38"/>
        <v/>
      </c>
      <c r="L389" s="44" t="str">
        <f t="shared" si="39"/>
        <v/>
      </c>
    </row>
    <row r="390" spans="1:12">
      <c r="A390" s="1" t="str">
        <f t="shared" si="40"/>
        <v/>
      </c>
      <c r="F390" s="42" t="str">
        <f t="shared" si="35"/>
        <v/>
      </c>
      <c r="G390" s="42" t="str">
        <f t="shared" si="41"/>
        <v/>
      </c>
      <c r="H390" s="43" t="str">
        <f>IF(C390="","",GETPIVOTDATA("WinPips",ProfitRpt!$A$9,"Trade Month",C390,"Trade Year",B390))</f>
        <v/>
      </c>
      <c r="I390" s="42" t="str">
        <f t="shared" si="36"/>
        <v/>
      </c>
      <c r="J390" s="43" t="str">
        <f t="shared" si="37"/>
        <v/>
      </c>
      <c r="K390" s="44" t="str">
        <f t="shared" si="38"/>
        <v/>
      </c>
      <c r="L390" s="44" t="str">
        <f t="shared" si="39"/>
        <v/>
      </c>
    </row>
    <row r="391" spans="1:12">
      <c r="A391" s="1" t="str">
        <f t="shared" si="40"/>
        <v/>
      </c>
      <c r="F391" s="42" t="str">
        <f t="shared" ref="F391:F454" si="42">IF(G391="","",E391+G391)</f>
        <v/>
      </c>
      <c r="G391" s="42" t="str">
        <f t="shared" si="41"/>
        <v/>
      </c>
      <c r="H391" s="43" t="str">
        <f>IF(C391="","",GETPIVOTDATA("WinPips",ProfitRpt!$A$9,"Trade Month",C391,"Trade Year",B391))</f>
        <v/>
      </c>
      <c r="I391" s="42" t="str">
        <f t="shared" ref="I391:I454" si="43">IF(B391="","",IF(B391=B390,I390+G391,G391))</f>
        <v/>
      </c>
      <c r="J391" s="43" t="str">
        <f t="shared" ref="J391:J454" si="44">IF(B391="","",IF(B390=B391,J390+H391,H391))</f>
        <v/>
      </c>
      <c r="K391" s="44" t="str">
        <f t="shared" ref="K391:K454" si="45">IF(F391="","",IF(E391="","",(F391-E391)/E391))</f>
        <v/>
      </c>
      <c r="L391" s="44" t="str">
        <f t="shared" ref="L391:L454" si="46">IF(I391="","",IF(D391="","",I391/D391) )</f>
        <v/>
      </c>
    </row>
    <row r="392" spans="1:12">
      <c r="A392" s="1" t="str">
        <f t="shared" ref="A392:A455" si="47">IF(C392="","",A391+1)</f>
        <v/>
      </c>
      <c r="F392" s="42" t="str">
        <f t="shared" si="42"/>
        <v/>
      </c>
      <c r="G392" s="42" t="str">
        <f t="shared" ref="G392:G455" si="48">IF(C392="","",H392/10)</f>
        <v/>
      </c>
      <c r="H392" s="43" t="str">
        <f>IF(C392="","",GETPIVOTDATA("WinPips",ProfitRpt!$A$9,"Trade Month",C392,"Trade Year",B392))</f>
        <v/>
      </c>
      <c r="I392" s="42" t="str">
        <f t="shared" si="43"/>
        <v/>
      </c>
      <c r="J392" s="43" t="str">
        <f t="shared" si="44"/>
        <v/>
      </c>
      <c r="K392" s="44" t="str">
        <f t="shared" si="45"/>
        <v/>
      </c>
      <c r="L392" s="44" t="str">
        <f t="shared" si="46"/>
        <v/>
      </c>
    </row>
    <row r="393" spans="1:12">
      <c r="A393" s="1" t="str">
        <f t="shared" si="47"/>
        <v/>
      </c>
      <c r="F393" s="42" t="str">
        <f t="shared" si="42"/>
        <v/>
      </c>
      <c r="G393" s="42" t="str">
        <f t="shared" si="48"/>
        <v/>
      </c>
      <c r="H393" s="43" t="str">
        <f>IF(C393="","",GETPIVOTDATA("WinPips",ProfitRpt!$A$9,"Trade Month",C393,"Trade Year",B393))</f>
        <v/>
      </c>
      <c r="I393" s="42" t="str">
        <f t="shared" si="43"/>
        <v/>
      </c>
      <c r="J393" s="43" t="str">
        <f t="shared" si="44"/>
        <v/>
      </c>
      <c r="K393" s="44" t="str">
        <f t="shared" si="45"/>
        <v/>
      </c>
      <c r="L393" s="44" t="str">
        <f t="shared" si="46"/>
        <v/>
      </c>
    </row>
    <row r="394" spans="1:12">
      <c r="A394" s="1" t="str">
        <f t="shared" si="47"/>
        <v/>
      </c>
      <c r="F394" s="42" t="str">
        <f t="shared" si="42"/>
        <v/>
      </c>
      <c r="G394" s="42" t="str">
        <f t="shared" si="48"/>
        <v/>
      </c>
      <c r="H394" s="43" t="str">
        <f>IF(C394="","",GETPIVOTDATA("WinPips",ProfitRpt!$A$9,"Trade Month",C394,"Trade Year",B394))</f>
        <v/>
      </c>
      <c r="I394" s="42" t="str">
        <f t="shared" si="43"/>
        <v/>
      </c>
      <c r="J394" s="43" t="str">
        <f t="shared" si="44"/>
        <v/>
      </c>
      <c r="K394" s="44" t="str">
        <f t="shared" si="45"/>
        <v/>
      </c>
      <c r="L394" s="44" t="str">
        <f t="shared" si="46"/>
        <v/>
      </c>
    </row>
    <row r="395" spans="1:12">
      <c r="A395" s="1" t="str">
        <f t="shared" si="47"/>
        <v/>
      </c>
      <c r="F395" s="42" t="str">
        <f t="shared" si="42"/>
        <v/>
      </c>
      <c r="G395" s="42" t="str">
        <f t="shared" si="48"/>
        <v/>
      </c>
      <c r="H395" s="43" t="str">
        <f>IF(C395="","",GETPIVOTDATA("WinPips",ProfitRpt!$A$9,"Trade Month",C395,"Trade Year",B395))</f>
        <v/>
      </c>
      <c r="I395" s="42" t="str">
        <f t="shared" si="43"/>
        <v/>
      </c>
      <c r="J395" s="43" t="str">
        <f t="shared" si="44"/>
        <v/>
      </c>
      <c r="K395" s="44" t="str">
        <f t="shared" si="45"/>
        <v/>
      </c>
      <c r="L395" s="44" t="str">
        <f t="shared" si="46"/>
        <v/>
      </c>
    </row>
    <row r="396" spans="1:12">
      <c r="A396" s="1" t="str">
        <f t="shared" si="47"/>
        <v/>
      </c>
      <c r="F396" s="42" t="str">
        <f t="shared" si="42"/>
        <v/>
      </c>
      <c r="G396" s="42" t="str">
        <f t="shared" si="48"/>
        <v/>
      </c>
      <c r="H396" s="43" t="str">
        <f>IF(C396="","",GETPIVOTDATA("WinPips",ProfitRpt!$A$9,"Trade Month",C396,"Trade Year",B396))</f>
        <v/>
      </c>
      <c r="I396" s="42" t="str">
        <f t="shared" si="43"/>
        <v/>
      </c>
      <c r="J396" s="43" t="str">
        <f t="shared" si="44"/>
        <v/>
      </c>
      <c r="K396" s="44" t="str">
        <f t="shared" si="45"/>
        <v/>
      </c>
      <c r="L396" s="44" t="str">
        <f t="shared" si="46"/>
        <v/>
      </c>
    </row>
    <row r="397" spans="1:12">
      <c r="A397" s="1" t="str">
        <f t="shared" si="47"/>
        <v/>
      </c>
      <c r="F397" s="42" t="str">
        <f t="shared" si="42"/>
        <v/>
      </c>
      <c r="G397" s="42" t="str">
        <f t="shared" si="48"/>
        <v/>
      </c>
      <c r="H397" s="43" t="str">
        <f>IF(C397="","",GETPIVOTDATA("WinPips",ProfitRpt!$A$9,"Trade Month",C397,"Trade Year",B397))</f>
        <v/>
      </c>
      <c r="I397" s="42" t="str">
        <f t="shared" si="43"/>
        <v/>
      </c>
      <c r="J397" s="43" t="str">
        <f t="shared" si="44"/>
        <v/>
      </c>
      <c r="K397" s="44" t="str">
        <f t="shared" si="45"/>
        <v/>
      </c>
      <c r="L397" s="44" t="str">
        <f t="shared" si="46"/>
        <v/>
      </c>
    </row>
    <row r="398" spans="1:12">
      <c r="A398" s="1" t="str">
        <f t="shared" si="47"/>
        <v/>
      </c>
      <c r="F398" s="42" t="str">
        <f t="shared" si="42"/>
        <v/>
      </c>
      <c r="G398" s="42" t="str">
        <f t="shared" si="48"/>
        <v/>
      </c>
      <c r="H398" s="43" t="str">
        <f>IF(C398="","",GETPIVOTDATA("WinPips",ProfitRpt!$A$9,"Trade Month",C398,"Trade Year",B398))</f>
        <v/>
      </c>
      <c r="I398" s="42" t="str">
        <f t="shared" si="43"/>
        <v/>
      </c>
      <c r="J398" s="43" t="str">
        <f t="shared" si="44"/>
        <v/>
      </c>
      <c r="K398" s="44" t="str">
        <f t="shared" si="45"/>
        <v/>
      </c>
      <c r="L398" s="44" t="str">
        <f t="shared" si="46"/>
        <v/>
      </c>
    </row>
    <row r="399" spans="1:12">
      <c r="A399" s="1" t="str">
        <f t="shared" si="47"/>
        <v/>
      </c>
      <c r="F399" s="42" t="str">
        <f t="shared" si="42"/>
        <v/>
      </c>
      <c r="G399" s="42" t="str">
        <f t="shared" si="48"/>
        <v/>
      </c>
      <c r="H399" s="43" t="str">
        <f>IF(C399="","",GETPIVOTDATA("WinPips",ProfitRpt!$A$9,"Trade Month",C399,"Trade Year",B399))</f>
        <v/>
      </c>
      <c r="I399" s="42" t="str">
        <f t="shared" si="43"/>
        <v/>
      </c>
      <c r="J399" s="43" t="str">
        <f t="shared" si="44"/>
        <v/>
      </c>
      <c r="K399" s="44" t="str">
        <f t="shared" si="45"/>
        <v/>
      </c>
      <c r="L399" s="44" t="str">
        <f t="shared" si="46"/>
        <v/>
      </c>
    </row>
    <row r="400" spans="1:12">
      <c r="A400" s="1" t="str">
        <f t="shared" si="47"/>
        <v/>
      </c>
      <c r="F400" s="42" t="str">
        <f t="shared" si="42"/>
        <v/>
      </c>
      <c r="G400" s="42" t="str">
        <f t="shared" si="48"/>
        <v/>
      </c>
      <c r="H400" s="43" t="str">
        <f>IF(C400="","",GETPIVOTDATA("WinPips",ProfitRpt!$A$9,"Trade Month",C400,"Trade Year",B400))</f>
        <v/>
      </c>
      <c r="I400" s="42" t="str">
        <f t="shared" si="43"/>
        <v/>
      </c>
      <c r="J400" s="43" t="str">
        <f t="shared" si="44"/>
        <v/>
      </c>
      <c r="K400" s="44" t="str">
        <f t="shared" si="45"/>
        <v/>
      </c>
      <c r="L400" s="44" t="str">
        <f t="shared" si="46"/>
        <v/>
      </c>
    </row>
    <row r="401" spans="1:12">
      <c r="A401" s="1" t="str">
        <f t="shared" si="47"/>
        <v/>
      </c>
      <c r="F401" s="42" t="str">
        <f t="shared" si="42"/>
        <v/>
      </c>
      <c r="G401" s="42" t="str">
        <f t="shared" si="48"/>
        <v/>
      </c>
      <c r="H401" s="43" t="str">
        <f>IF(C401="","",GETPIVOTDATA("WinPips",ProfitRpt!$A$9,"Trade Month",C401,"Trade Year",B401))</f>
        <v/>
      </c>
      <c r="I401" s="42" t="str">
        <f t="shared" si="43"/>
        <v/>
      </c>
      <c r="J401" s="43" t="str">
        <f t="shared" si="44"/>
        <v/>
      </c>
      <c r="K401" s="44" t="str">
        <f t="shared" si="45"/>
        <v/>
      </c>
      <c r="L401" s="44" t="str">
        <f t="shared" si="46"/>
        <v/>
      </c>
    </row>
    <row r="402" spans="1:12">
      <c r="A402" s="1" t="str">
        <f t="shared" si="47"/>
        <v/>
      </c>
      <c r="F402" s="42" t="str">
        <f t="shared" si="42"/>
        <v/>
      </c>
      <c r="G402" s="42" t="str">
        <f t="shared" si="48"/>
        <v/>
      </c>
      <c r="H402" s="43" t="str">
        <f>IF(C402="","",GETPIVOTDATA("WinPips",ProfitRpt!$A$9,"Trade Month",C402,"Trade Year",B402))</f>
        <v/>
      </c>
      <c r="I402" s="42" t="str">
        <f t="shared" si="43"/>
        <v/>
      </c>
      <c r="J402" s="43" t="str">
        <f t="shared" si="44"/>
        <v/>
      </c>
      <c r="K402" s="44" t="str">
        <f t="shared" si="45"/>
        <v/>
      </c>
      <c r="L402" s="44" t="str">
        <f t="shared" si="46"/>
        <v/>
      </c>
    </row>
    <row r="403" spans="1:12">
      <c r="A403" s="1" t="str">
        <f t="shared" si="47"/>
        <v/>
      </c>
      <c r="F403" s="42" t="str">
        <f t="shared" si="42"/>
        <v/>
      </c>
      <c r="G403" s="42" t="str">
        <f t="shared" si="48"/>
        <v/>
      </c>
      <c r="H403" s="43" t="str">
        <f>IF(C403="","",GETPIVOTDATA("WinPips",ProfitRpt!$A$9,"Trade Month",C403,"Trade Year",B403))</f>
        <v/>
      </c>
      <c r="I403" s="42" t="str">
        <f t="shared" si="43"/>
        <v/>
      </c>
      <c r="J403" s="43" t="str">
        <f t="shared" si="44"/>
        <v/>
      </c>
      <c r="K403" s="44" t="str">
        <f t="shared" si="45"/>
        <v/>
      </c>
      <c r="L403" s="44" t="str">
        <f t="shared" si="46"/>
        <v/>
      </c>
    </row>
    <row r="404" spans="1:12">
      <c r="A404" s="1" t="str">
        <f t="shared" si="47"/>
        <v/>
      </c>
      <c r="F404" s="42" t="str">
        <f t="shared" si="42"/>
        <v/>
      </c>
      <c r="G404" s="42" t="str">
        <f t="shared" si="48"/>
        <v/>
      </c>
      <c r="H404" s="43" t="str">
        <f>IF(C404="","",GETPIVOTDATA("WinPips",ProfitRpt!$A$9,"Trade Month",C404,"Trade Year",B404))</f>
        <v/>
      </c>
      <c r="I404" s="42" t="str">
        <f t="shared" si="43"/>
        <v/>
      </c>
      <c r="J404" s="43" t="str">
        <f t="shared" si="44"/>
        <v/>
      </c>
      <c r="K404" s="44" t="str">
        <f t="shared" si="45"/>
        <v/>
      </c>
      <c r="L404" s="44" t="str">
        <f t="shared" si="46"/>
        <v/>
      </c>
    </row>
    <row r="405" spans="1:12">
      <c r="A405" s="1" t="str">
        <f t="shared" si="47"/>
        <v/>
      </c>
      <c r="F405" s="42" t="str">
        <f t="shared" si="42"/>
        <v/>
      </c>
      <c r="G405" s="42" t="str">
        <f t="shared" si="48"/>
        <v/>
      </c>
      <c r="H405" s="43" t="str">
        <f>IF(C405="","",GETPIVOTDATA("WinPips",ProfitRpt!$A$9,"Trade Month",C405,"Trade Year",B405))</f>
        <v/>
      </c>
      <c r="I405" s="42" t="str">
        <f t="shared" si="43"/>
        <v/>
      </c>
      <c r="J405" s="43" t="str">
        <f t="shared" si="44"/>
        <v/>
      </c>
      <c r="K405" s="44" t="str">
        <f t="shared" si="45"/>
        <v/>
      </c>
      <c r="L405" s="44" t="str">
        <f t="shared" si="46"/>
        <v/>
      </c>
    </row>
    <row r="406" spans="1:12">
      <c r="A406" s="1" t="str">
        <f t="shared" si="47"/>
        <v/>
      </c>
      <c r="F406" s="42" t="str">
        <f t="shared" si="42"/>
        <v/>
      </c>
      <c r="G406" s="42" t="str">
        <f t="shared" si="48"/>
        <v/>
      </c>
      <c r="H406" s="43" t="str">
        <f>IF(C406="","",GETPIVOTDATA("WinPips",ProfitRpt!$A$9,"Trade Month",C406,"Trade Year",B406))</f>
        <v/>
      </c>
      <c r="I406" s="42" t="str">
        <f t="shared" si="43"/>
        <v/>
      </c>
      <c r="J406" s="43" t="str">
        <f t="shared" si="44"/>
        <v/>
      </c>
      <c r="K406" s="44" t="str">
        <f t="shared" si="45"/>
        <v/>
      </c>
      <c r="L406" s="44" t="str">
        <f t="shared" si="46"/>
        <v/>
      </c>
    </row>
    <row r="407" spans="1:12">
      <c r="A407" s="1" t="str">
        <f t="shared" si="47"/>
        <v/>
      </c>
      <c r="F407" s="42" t="str">
        <f t="shared" si="42"/>
        <v/>
      </c>
      <c r="G407" s="42" t="str">
        <f t="shared" si="48"/>
        <v/>
      </c>
      <c r="H407" s="43" t="str">
        <f>IF(C407="","",GETPIVOTDATA("WinPips",ProfitRpt!$A$9,"Trade Month",C407,"Trade Year",B407))</f>
        <v/>
      </c>
      <c r="I407" s="42" t="str">
        <f t="shared" si="43"/>
        <v/>
      </c>
      <c r="J407" s="43" t="str">
        <f t="shared" si="44"/>
        <v/>
      </c>
      <c r="K407" s="44" t="str">
        <f t="shared" si="45"/>
        <v/>
      </c>
      <c r="L407" s="44" t="str">
        <f t="shared" si="46"/>
        <v/>
      </c>
    </row>
    <row r="408" spans="1:12">
      <c r="A408" s="1" t="str">
        <f t="shared" si="47"/>
        <v/>
      </c>
      <c r="F408" s="42" t="str">
        <f t="shared" si="42"/>
        <v/>
      </c>
      <c r="G408" s="42" t="str">
        <f t="shared" si="48"/>
        <v/>
      </c>
      <c r="H408" s="43" t="str">
        <f>IF(C408="","",GETPIVOTDATA("WinPips",ProfitRpt!$A$9,"Trade Month",C408,"Trade Year",B408))</f>
        <v/>
      </c>
      <c r="I408" s="42" t="str">
        <f t="shared" si="43"/>
        <v/>
      </c>
      <c r="J408" s="43" t="str">
        <f t="shared" si="44"/>
        <v/>
      </c>
      <c r="K408" s="44" t="str">
        <f t="shared" si="45"/>
        <v/>
      </c>
      <c r="L408" s="44" t="str">
        <f t="shared" si="46"/>
        <v/>
      </c>
    </row>
    <row r="409" spans="1:12">
      <c r="A409" s="1" t="str">
        <f t="shared" si="47"/>
        <v/>
      </c>
      <c r="F409" s="42" t="str">
        <f t="shared" si="42"/>
        <v/>
      </c>
      <c r="G409" s="42" t="str">
        <f t="shared" si="48"/>
        <v/>
      </c>
      <c r="H409" s="43" t="str">
        <f>IF(C409="","",GETPIVOTDATA("WinPips",ProfitRpt!$A$9,"Trade Month",C409,"Trade Year",B409))</f>
        <v/>
      </c>
      <c r="I409" s="42" t="str">
        <f t="shared" si="43"/>
        <v/>
      </c>
      <c r="J409" s="43" t="str">
        <f t="shared" si="44"/>
        <v/>
      </c>
      <c r="K409" s="44" t="str">
        <f t="shared" si="45"/>
        <v/>
      </c>
      <c r="L409" s="44" t="str">
        <f t="shared" si="46"/>
        <v/>
      </c>
    </row>
    <row r="410" spans="1:12">
      <c r="A410" s="1" t="str">
        <f t="shared" si="47"/>
        <v/>
      </c>
      <c r="F410" s="42" t="str">
        <f t="shared" si="42"/>
        <v/>
      </c>
      <c r="G410" s="42" t="str">
        <f t="shared" si="48"/>
        <v/>
      </c>
      <c r="H410" s="43" t="str">
        <f>IF(C410="","",GETPIVOTDATA("WinPips",ProfitRpt!$A$9,"Trade Month",C410,"Trade Year",B410))</f>
        <v/>
      </c>
      <c r="I410" s="42" t="str">
        <f t="shared" si="43"/>
        <v/>
      </c>
      <c r="J410" s="43" t="str">
        <f t="shared" si="44"/>
        <v/>
      </c>
      <c r="K410" s="44" t="str">
        <f t="shared" si="45"/>
        <v/>
      </c>
      <c r="L410" s="44" t="str">
        <f t="shared" si="46"/>
        <v/>
      </c>
    </row>
    <row r="411" spans="1:12">
      <c r="A411" s="1" t="str">
        <f t="shared" si="47"/>
        <v/>
      </c>
      <c r="F411" s="42" t="str">
        <f t="shared" si="42"/>
        <v/>
      </c>
      <c r="G411" s="42" t="str">
        <f t="shared" si="48"/>
        <v/>
      </c>
      <c r="H411" s="43" t="str">
        <f>IF(C411="","",GETPIVOTDATA("WinPips",ProfitRpt!$A$9,"Trade Month",C411,"Trade Year",B411))</f>
        <v/>
      </c>
      <c r="I411" s="42" t="str">
        <f t="shared" si="43"/>
        <v/>
      </c>
      <c r="J411" s="43" t="str">
        <f t="shared" si="44"/>
        <v/>
      </c>
      <c r="K411" s="44" t="str">
        <f t="shared" si="45"/>
        <v/>
      </c>
      <c r="L411" s="44" t="str">
        <f t="shared" si="46"/>
        <v/>
      </c>
    </row>
    <row r="412" spans="1:12">
      <c r="A412" s="1" t="str">
        <f t="shared" si="47"/>
        <v/>
      </c>
      <c r="F412" s="42" t="str">
        <f t="shared" si="42"/>
        <v/>
      </c>
      <c r="G412" s="42" t="str">
        <f t="shared" si="48"/>
        <v/>
      </c>
      <c r="H412" s="43" t="str">
        <f>IF(C412="","",GETPIVOTDATA("WinPips",ProfitRpt!$A$9,"Trade Month",C412,"Trade Year",B412))</f>
        <v/>
      </c>
      <c r="I412" s="42" t="str">
        <f t="shared" si="43"/>
        <v/>
      </c>
      <c r="J412" s="43" t="str">
        <f t="shared" si="44"/>
        <v/>
      </c>
      <c r="K412" s="44" t="str">
        <f t="shared" si="45"/>
        <v/>
      </c>
      <c r="L412" s="44" t="str">
        <f t="shared" si="46"/>
        <v/>
      </c>
    </row>
    <row r="413" spans="1:12">
      <c r="A413" s="1" t="str">
        <f t="shared" si="47"/>
        <v/>
      </c>
      <c r="F413" s="42" t="str">
        <f t="shared" si="42"/>
        <v/>
      </c>
      <c r="G413" s="42" t="str">
        <f t="shared" si="48"/>
        <v/>
      </c>
      <c r="H413" s="43" t="str">
        <f>IF(C413="","",GETPIVOTDATA("WinPips",ProfitRpt!$A$9,"Trade Month",C413,"Trade Year",B413))</f>
        <v/>
      </c>
      <c r="I413" s="42" t="str">
        <f t="shared" si="43"/>
        <v/>
      </c>
      <c r="J413" s="43" t="str">
        <f t="shared" si="44"/>
        <v/>
      </c>
      <c r="K413" s="44" t="str">
        <f t="shared" si="45"/>
        <v/>
      </c>
      <c r="L413" s="44" t="str">
        <f t="shared" si="46"/>
        <v/>
      </c>
    </row>
    <row r="414" spans="1:12">
      <c r="A414" s="1" t="str">
        <f t="shared" si="47"/>
        <v/>
      </c>
      <c r="F414" s="42" t="str">
        <f t="shared" si="42"/>
        <v/>
      </c>
      <c r="G414" s="42" t="str">
        <f t="shared" si="48"/>
        <v/>
      </c>
      <c r="H414" s="43" t="str">
        <f>IF(C414="","",GETPIVOTDATA("WinPips",ProfitRpt!$A$9,"Trade Month",C414,"Trade Year",B414))</f>
        <v/>
      </c>
      <c r="I414" s="42" t="str">
        <f t="shared" si="43"/>
        <v/>
      </c>
      <c r="J414" s="43" t="str">
        <f t="shared" si="44"/>
        <v/>
      </c>
      <c r="K414" s="44" t="str">
        <f t="shared" si="45"/>
        <v/>
      </c>
      <c r="L414" s="44" t="str">
        <f t="shared" si="46"/>
        <v/>
      </c>
    </row>
    <row r="415" spans="1:12">
      <c r="A415" s="1" t="str">
        <f t="shared" si="47"/>
        <v/>
      </c>
      <c r="F415" s="42" t="str">
        <f t="shared" si="42"/>
        <v/>
      </c>
      <c r="G415" s="42" t="str">
        <f t="shared" si="48"/>
        <v/>
      </c>
      <c r="H415" s="43" t="str">
        <f>IF(C415="","",GETPIVOTDATA("WinPips",ProfitRpt!$A$9,"Trade Month",C415,"Trade Year",B415))</f>
        <v/>
      </c>
      <c r="I415" s="42" t="str">
        <f t="shared" si="43"/>
        <v/>
      </c>
      <c r="J415" s="43" t="str">
        <f t="shared" si="44"/>
        <v/>
      </c>
      <c r="K415" s="44" t="str">
        <f t="shared" si="45"/>
        <v/>
      </c>
      <c r="L415" s="44" t="str">
        <f t="shared" si="46"/>
        <v/>
      </c>
    </row>
    <row r="416" spans="1:12">
      <c r="A416" s="1" t="str">
        <f t="shared" si="47"/>
        <v/>
      </c>
      <c r="F416" s="42" t="str">
        <f t="shared" si="42"/>
        <v/>
      </c>
      <c r="G416" s="42" t="str">
        <f t="shared" si="48"/>
        <v/>
      </c>
      <c r="H416" s="43" t="str">
        <f>IF(C416="","",GETPIVOTDATA("WinPips",ProfitRpt!$A$9,"Trade Month",C416,"Trade Year",B416))</f>
        <v/>
      </c>
      <c r="I416" s="42" t="str">
        <f t="shared" si="43"/>
        <v/>
      </c>
      <c r="J416" s="43" t="str">
        <f t="shared" si="44"/>
        <v/>
      </c>
      <c r="K416" s="44" t="str">
        <f t="shared" si="45"/>
        <v/>
      </c>
      <c r="L416" s="44" t="str">
        <f t="shared" si="46"/>
        <v/>
      </c>
    </row>
    <row r="417" spans="1:12">
      <c r="A417" s="1" t="str">
        <f t="shared" si="47"/>
        <v/>
      </c>
      <c r="F417" s="42" t="str">
        <f t="shared" si="42"/>
        <v/>
      </c>
      <c r="G417" s="42" t="str">
        <f t="shared" si="48"/>
        <v/>
      </c>
      <c r="H417" s="43" t="str">
        <f>IF(C417="","",GETPIVOTDATA("WinPips",ProfitRpt!$A$9,"Trade Month",C417,"Trade Year",B417))</f>
        <v/>
      </c>
      <c r="I417" s="42" t="str">
        <f t="shared" si="43"/>
        <v/>
      </c>
      <c r="J417" s="43" t="str">
        <f t="shared" si="44"/>
        <v/>
      </c>
      <c r="K417" s="44" t="str">
        <f t="shared" si="45"/>
        <v/>
      </c>
      <c r="L417" s="44" t="str">
        <f t="shared" si="46"/>
        <v/>
      </c>
    </row>
    <row r="418" spans="1:12">
      <c r="A418" s="1" t="str">
        <f t="shared" si="47"/>
        <v/>
      </c>
      <c r="F418" s="42" t="str">
        <f t="shared" si="42"/>
        <v/>
      </c>
      <c r="G418" s="42" t="str">
        <f t="shared" si="48"/>
        <v/>
      </c>
      <c r="H418" s="43" t="str">
        <f>IF(C418="","",GETPIVOTDATA("WinPips",ProfitRpt!$A$9,"Trade Month",C418,"Trade Year",B418))</f>
        <v/>
      </c>
      <c r="I418" s="42" t="str">
        <f t="shared" si="43"/>
        <v/>
      </c>
      <c r="J418" s="43" t="str">
        <f t="shared" si="44"/>
        <v/>
      </c>
      <c r="K418" s="44" t="str">
        <f t="shared" si="45"/>
        <v/>
      </c>
      <c r="L418" s="44" t="str">
        <f t="shared" si="46"/>
        <v/>
      </c>
    </row>
    <row r="419" spans="1:12">
      <c r="A419" s="1" t="str">
        <f t="shared" si="47"/>
        <v/>
      </c>
      <c r="F419" s="42" t="str">
        <f t="shared" si="42"/>
        <v/>
      </c>
      <c r="G419" s="42" t="str">
        <f t="shared" si="48"/>
        <v/>
      </c>
      <c r="H419" s="43" t="str">
        <f>IF(C419="","",GETPIVOTDATA("WinPips",ProfitRpt!$A$9,"Trade Month",C419,"Trade Year",B419))</f>
        <v/>
      </c>
      <c r="I419" s="42" t="str">
        <f t="shared" si="43"/>
        <v/>
      </c>
      <c r="J419" s="43" t="str">
        <f t="shared" si="44"/>
        <v/>
      </c>
      <c r="K419" s="44" t="str">
        <f t="shared" si="45"/>
        <v/>
      </c>
      <c r="L419" s="44" t="str">
        <f t="shared" si="46"/>
        <v/>
      </c>
    </row>
    <row r="420" spans="1:12">
      <c r="A420" s="1" t="str">
        <f t="shared" si="47"/>
        <v/>
      </c>
      <c r="F420" s="42" t="str">
        <f t="shared" si="42"/>
        <v/>
      </c>
      <c r="G420" s="42" t="str">
        <f t="shared" si="48"/>
        <v/>
      </c>
      <c r="H420" s="43" t="str">
        <f>IF(C420="","",GETPIVOTDATA("WinPips",ProfitRpt!$A$9,"Trade Month",C420,"Trade Year",B420))</f>
        <v/>
      </c>
      <c r="I420" s="42" t="str">
        <f t="shared" si="43"/>
        <v/>
      </c>
      <c r="J420" s="43" t="str">
        <f t="shared" si="44"/>
        <v/>
      </c>
      <c r="K420" s="44" t="str">
        <f t="shared" si="45"/>
        <v/>
      </c>
      <c r="L420" s="44" t="str">
        <f t="shared" si="46"/>
        <v/>
      </c>
    </row>
    <row r="421" spans="1:12">
      <c r="A421" s="1" t="str">
        <f t="shared" si="47"/>
        <v/>
      </c>
      <c r="F421" s="42" t="str">
        <f t="shared" si="42"/>
        <v/>
      </c>
      <c r="G421" s="42" t="str">
        <f t="shared" si="48"/>
        <v/>
      </c>
      <c r="H421" s="43" t="str">
        <f>IF(C421="","",GETPIVOTDATA("WinPips",ProfitRpt!$A$9,"Trade Month",C421,"Trade Year",B421))</f>
        <v/>
      </c>
      <c r="I421" s="42" t="str">
        <f t="shared" si="43"/>
        <v/>
      </c>
      <c r="J421" s="43" t="str">
        <f t="shared" si="44"/>
        <v/>
      </c>
      <c r="K421" s="44" t="str">
        <f t="shared" si="45"/>
        <v/>
      </c>
      <c r="L421" s="44" t="str">
        <f t="shared" si="46"/>
        <v/>
      </c>
    </row>
    <row r="422" spans="1:12">
      <c r="A422" s="1" t="str">
        <f t="shared" si="47"/>
        <v/>
      </c>
      <c r="F422" s="42" t="str">
        <f t="shared" si="42"/>
        <v/>
      </c>
      <c r="G422" s="42" t="str">
        <f t="shared" si="48"/>
        <v/>
      </c>
      <c r="H422" s="43" t="str">
        <f>IF(C422="","",GETPIVOTDATA("WinPips",ProfitRpt!$A$9,"Trade Month",C422,"Trade Year",B422))</f>
        <v/>
      </c>
      <c r="I422" s="42" t="str">
        <f t="shared" si="43"/>
        <v/>
      </c>
      <c r="J422" s="43" t="str">
        <f t="shared" si="44"/>
        <v/>
      </c>
      <c r="K422" s="44" t="str">
        <f t="shared" si="45"/>
        <v/>
      </c>
      <c r="L422" s="44" t="str">
        <f t="shared" si="46"/>
        <v/>
      </c>
    </row>
    <row r="423" spans="1:12">
      <c r="A423" s="1" t="str">
        <f t="shared" si="47"/>
        <v/>
      </c>
      <c r="F423" s="42" t="str">
        <f t="shared" si="42"/>
        <v/>
      </c>
      <c r="G423" s="42" t="str">
        <f t="shared" si="48"/>
        <v/>
      </c>
      <c r="H423" s="43" t="str">
        <f>IF(C423="","",GETPIVOTDATA("WinPips",ProfitRpt!$A$9,"Trade Month",C423,"Trade Year",B423))</f>
        <v/>
      </c>
      <c r="I423" s="42" t="str">
        <f t="shared" si="43"/>
        <v/>
      </c>
      <c r="J423" s="43" t="str">
        <f t="shared" si="44"/>
        <v/>
      </c>
      <c r="K423" s="44" t="str">
        <f t="shared" si="45"/>
        <v/>
      </c>
      <c r="L423" s="44" t="str">
        <f t="shared" si="46"/>
        <v/>
      </c>
    </row>
    <row r="424" spans="1:12">
      <c r="A424" s="1" t="str">
        <f t="shared" si="47"/>
        <v/>
      </c>
      <c r="F424" s="42" t="str">
        <f t="shared" si="42"/>
        <v/>
      </c>
      <c r="G424" s="42" t="str">
        <f t="shared" si="48"/>
        <v/>
      </c>
      <c r="H424" s="43" t="str">
        <f>IF(C424="","",GETPIVOTDATA("WinPips",ProfitRpt!$A$9,"Trade Month",C424,"Trade Year",B424))</f>
        <v/>
      </c>
      <c r="I424" s="42" t="str">
        <f t="shared" si="43"/>
        <v/>
      </c>
      <c r="J424" s="43" t="str">
        <f t="shared" si="44"/>
        <v/>
      </c>
      <c r="K424" s="44" t="str">
        <f t="shared" si="45"/>
        <v/>
      </c>
      <c r="L424" s="44" t="str">
        <f t="shared" si="46"/>
        <v/>
      </c>
    </row>
    <row r="425" spans="1:12">
      <c r="A425" s="1" t="str">
        <f t="shared" si="47"/>
        <v/>
      </c>
      <c r="F425" s="42" t="str">
        <f t="shared" si="42"/>
        <v/>
      </c>
      <c r="G425" s="42" t="str">
        <f t="shared" si="48"/>
        <v/>
      </c>
      <c r="H425" s="43" t="str">
        <f>IF(C425="","",GETPIVOTDATA("WinPips",ProfitRpt!$A$9,"Trade Month",C425,"Trade Year",B425))</f>
        <v/>
      </c>
      <c r="I425" s="42" t="str">
        <f t="shared" si="43"/>
        <v/>
      </c>
      <c r="J425" s="43" t="str">
        <f t="shared" si="44"/>
        <v/>
      </c>
      <c r="K425" s="44" t="str">
        <f t="shared" si="45"/>
        <v/>
      </c>
      <c r="L425" s="44" t="str">
        <f t="shared" si="46"/>
        <v/>
      </c>
    </row>
    <row r="426" spans="1:12">
      <c r="A426" s="1" t="str">
        <f t="shared" si="47"/>
        <v/>
      </c>
      <c r="F426" s="42" t="str">
        <f t="shared" si="42"/>
        <v/>
      </c>
      <c r="G426" s="42" t="str">
        <f t="shared" si="48"/>
        <v/>
      </c>
      <c r="H426" s="43" t="str">
        <f>IF(C426="","",GETPIVOTDATA("WinPips",ProfitRpt!$A$9,"Trade Month",C426,"Trade Year",B426))</f>
        <v/>
      </c>
      <c r="I426" s="42" t="str">
        <f t="shared" si="43"/>
        <v/>
      </c>
      <c r="J426" s="43" t="str">
        <f t="shared" si="44"/>
        <v/>
      </c>
      <c r="K426" s="44" t="str">
        <f t="shared" si="45"/>
        <v/>
      </c>
      <c r="L426" s="44" t="str">
        <f t="shared" si="46"/>
        <v/>
      </c>
    </row>
    <row r="427" spans="1:12">
      <c r="A427" s="1" t="str">
        <f t="shared" si="47"/>
        <v/>
      </c>
      <c r="F427" s="42" t="str">
        <f t="shared" si="42"/>
        <v/>
      </c>
      <c r="G427" s="42" t="str">
        <f t="shared" si="48"/>
        <v/>
      </c>
      <c r="H427" s="43" t="str">
        <f>IF(C427="","",GETPIVOTDATA("WinPips",ProfitRpt!$A$9,"Trade Month",C427,"Trade Year",B427))</f>
        <v/>
      </c>
      <c r="I427" s="42" t="str">
        <f t="shared" si="43"/>
        <v/>
      </c>
      <c r="J427" s="43" t="str">
        <f t="shared" si="44"/>
        <v/>
      </c>
      <c r="K427" s="44" t="str">
        <f t="shared" si="45"/>
        <v/>
      </c>
      <c r="L427" s="44" t="str">
        <f t="shared" si="46"/>
        <v/>
      </c>
    </row>
    <row r="428" spans="1:12">
      <c r="A428" s="1" t="str">
        <f t="shared" si="47"/>
        <v/>
      </c>
      <c r="F428" s="42" t="str">
        <f t="shared" si="42"/>
        <v/>
      </c>
      <c r="G428" s="42" t="str">
        <f t="shared" si="48"/>
        <v/>
      </c>
      <c r="H428" s="43" t="str">
        <f>IF(C428="","",GETPIVOTDATA("WinPips",ProfitRpt!$A$9,"Trade Month",C428,"Trade Year",B428))</f>
        <v/>
      </c>
      <c r="I428" s="42" t="str">
        <f t="shared" si="43"/>
        <v/>
      </c>
      <c r="J428" s="43" t="str">
        <f t="shared" si="44"/>
        <v/>
      </c>
      <c r="K428" s="44" t="str">
        <f t="shared" si="45"/>
        <v/>
      </c>
      <c r="L428" s="44" t="str">
        <f t="shared" si="46"/>
        <v/>
      </c>
    </row>
    <row r="429" spans="1:12">
      <c r="A429" s="1" t="str">
        <f t="shared" si="47"/>
        <v/>
      </c>
      <c r="F429" s="42" t="str">
        <f t="shared" si="42"/>
        <v/>
      </c>
      <c r="G429" s="42" t="str">
        <f t="shared" si="48"/>
        <v/>
      </c>
      <c r="H429" s="43" t="str">
        <f>IF(C429="","",GETPIVOTDATA("WinPips",ProfitRpt!$A$9,"Trade Month",C429,"Trade Year",B429))</f>
        <v/>
      </c>
      <c r="I429" s="42" t="str">
        <f t="shared" si="43"/>
        <v/>
      </c>
      <c r="J429" s="43" t="str">
        <f t="shared" si="44"/>
        <v/>
      </c>
      <c r="K429" s="44" t="str">
        <f t="shared" si="45"/>
        <v/>
      </c>
      <c r="L429" s="44" t="str">
        <f t="shared" si="46"/>
        <v/>
      </c>
    </row>
    <row r="430" spans="1:12">
      <c r="A430" s="1" t="str">
        <f t="shared" si="47"/>
        <v/>
      </c>
      <c r="F430" s="42" t="str">
        <f t="shared" si="42"/>
        <v/>
      </c>
      <c r="G430" s="42" t="str">
        <f t="shared" si="48"/>
        <v/>
      </c>
      <c r="H430" s="43" t="str">
        <f>IF(C430="","",GETPIVOTDATA("WinPips",ProfitRpt!$A$9,"Trade Month",C430,"Trade Year",B430))</f>
        <v/>
      </c>
      <c r="I430" s="42" t="str">
        <f t="shared" si="43"/>
        <v/>
      </c>
      <c r="J430" s="43" t="str">
        <f t="shared" si="44"/>
        <v/>
      </c>
      <c r="K430" s="44" t="str">
        <f t="shared" si="45"/>
        <v/>
      </c>
      <c r="L430" s="44" t="str">
        <f t="shared" si="46"/>
        <v/>
      </c>
    </row>
    <row r="431" spans="1:12">
      <c r="A431" s="1" t="str">
        <f t="shared" si="47"/>
        <v/>
      </c>
      <c r="F431" s="42" t="str">
        <f t="shared" si="42"/>
        <v/>
      </c>
      <c r="G431" s="42" t="str">
        <f t="shared" si="48"/>
        <v/>
      </c>
      <c r="H431" s="43" t="str">
        <f>IF(C431="","",GETPIVOTDATA("WinPips",ProfitRpt!$A$9,"Trade Month",C431,"Trade Year",B431))</f>
        <v/>
      </c>
      <c r="I431" s="42" t="str">
        <f t="shared" si="43"/>
        <v/>
      </c>
      <c r="J431" s="43" t="str">
        <f t="shared" si="44"/>
        <v/>
      </c>
      <c r="K431" s="44" t="str">
        <f t="shared" si="45"/>
        <v/>
      </c>
      <c r="L431" s="44" t="str">
        <f t="shared" si="46"/>
        <v/>
      </c>
    </row>
    <row r="432" spans="1:12">
      <c r="A432" s="1" t="str">
        <f t="shared" si="47"/>
        <v/>
      </c>
      <c r="F432" s="42" t="str">
        <f t="shared" si="42"/>
        <v/>
      </c>
      <c r="G432" s="42" t="str">
        <f t="shared" si="48"/>
        <v/>
      </c>
      <c r="H432" s="43" t="str">
        <f>IF(C432="","",GETPIVOTDATA("WinPips",ProfitRpt!$A$9,"Trade Month",C432,"Trade Year",B432))</f>
        <v/>
      </c>
      <c r="I432" s="42" t="str">
        <f t="shared" si="43"/>
        <v/>
      </c>
      <c r="J432" s="43" t="str">
        <f t="shared" si="44"/>
        <v/>
      </c>
      <c r="K432" s="44" t="str">
        <f t="shared" si="45"/>
        <v/>
      </c>
      <c r="L432" s="44" t="str">
        <f t="shared" si="46"/>
        <v/>
      </c>
    </row>
    <row r="433" spans="1:12">
      <c r="A433" s="1" t="str">
        <f t="shared" si="47"/>
        <v/>
      </c>
      <c r="F433" s="42" t="str">
        <f t="shared" si="42"/>
        <v/>
      </c>
      <c r="G433" s="42" t="str">
        <f t="shared" si="48"/>
        <v/>
      </c>
      <c r="H433" s="43" t="str">
        <f>IF(C433="","",GETPIVOTDATA("WinPips",ProfitRpt!$A$9,"Trade Month",C433,"Trade Year",B433))</f>
        <v/>
      </c>
      <c r="I433" s="42" t="str">
        <f t="shared" si="43"/>
        <v/>
      </c>
      <c r="J433" s="43" t="str">
        <f t="shared" si="44"/>
        <v/>
      </c>
      <c r="K433" s="44" t="str">
        <f t="shared" si="45"/>
        <v/>
      </c>
      <c r="L433" s="44" t="str">
        <f t="shared" si="46"/>
        <v/>
      </c>
    </row>
    <row r="434" spans="1:12">
      <c r="A434" s="1" t="str">
        <f t="shared" si="47"/>
        <v/>
      </c>
      <c r="F434" s="42" t="str">
        <f t="shared" si="42"/>
        <v/>
      </c>
      <c r="G434" s="42" t="str">
        <f t="shared" si="48"/>
        <v/>
      </c>
      <c r="H434" s="43" t="str">
        <f>IF(C434="","",GETPIVOTDATA("WinPips",ProfitRpt!$A$9,"Trade Month",C434,"Trade Year",B434))</f>
        <v/>
      </c>
      <c r="I434" s="42" t="str">
        <f t="shared" si="43"/>
        <v/>
      </c>
      <c r="J434" s="43" t="str">
        <f t="shared" si="44"/>
        <v/>
      </c>
      <c r="K434" s="44" t="str">
        <f t="shared" si="45"/>
        <v/>
      </c>
      <c r="L434" s="44" t="str">
        <f t="shared" si="46"/>
        <v/>
      </c>
    </row>
    <row r="435" spans="1:12">
      <c r="A435" s="1" t="str">
        <f t="shared" si="47"/>
        <v/>
      </c>
      <c r="F435" s="42" t="str">
        <f t="shared" si="42"/>
        <v/>
      </c>
      <c r="G435" s="42" t="str">
        <f t="shared" si="48"/>
        <v/>
      </c>
      <c r="H435" s="43" t="str">
        <f>IF(C435="","",GETPIVOTDATA("WinPips",ProfitRpt!$A$9,"Trade Month",C435,"Trade Year",B435))</f>
        <v/>
      </c>
      <c r="I435" s="42" t="str">
        <f t="shared" si="43"/>
        <v/>
      </c>
      <c r="J435" s="43" t="str">
        <f t="shared" si="44"/>
        <v/>
      </c>
      <c r="K435" s="44" t="str">
        <f t="shared" si="45"/>
        <v/>
      </c>
      <c r="L435" s="44" t="str">
        <f t="shared" si="46"/>
        <v/>
      </c>
    </row>
    <row r="436" spans="1:12">
      <c r="A436" s="1" t="str">
        <f t="shared" si="47"/>
        <v/>
      </c>
      <c r="F436" s="42" t="str">
        <f t="shared" si="42"/>
        <v/>
      </c>
      <c r="G436" s="42" t="str">
        <f t="shared" si="48"/>
        <v/>
      </c>
      <c r="H436" s="43" t="str">
        <f>IF(C436="","",GETPIVOTDATA("WinPips",ProfitRpt!$A$9,"Trade Month",C436,"Trade Year",B436))</f>
        <v/>
      </c>
      <c r="I436" s="42" t="str">
        <f t="shared" si="43"/>
        <v/>
      </c>
      <c r="J436" s="43" t="str">
        <f t="shared" si="44"/>
        <v/>
      </c>
      <c r="K436" s="44" t="str">
        <f t="shared" si="45"/>
        <v/>
      </c>
      <c r="L436" s="44" t="str">
        <f t="shared" si="46"/>
        <v/>
      </c>
    </row>
    <row r="437" spans="1:12">
      <c r="A437" s="1" t="str">
        <f t="shared" si="47"/>
        <v/>
      </c>
      <c r="F437" s="42" t="str">
        <f t="shared" si="42"/>
        <v/>
      </c>
      <c r="G437" s="42" t="str">
        <f t="shared" si="48"/>
        <v/>
      </c>
      <c r="H437" s="43" t="str">
        <f>IF(C437="","",GETPIVOTDATA("WinPips",ProfitRpt!$A$9,"Trade Month",C437,"Trade Year",B437))</f>
        <v/>
      </c>
      <c r="I437" s="42" t="str">
        <f t="shared" si="43"/>
        <v/>
      </c>
      <c r="J437" s="43" t="str">
        <f t="shared" si="44"/>
        <v/>
      </c>
      <c r="K437" s="44" t="str">
        <f t="shared" si="45"/>
        <v/>
      </c>
      <c r="L437" s="44" t="str">
        <f t="shared" si="46"/>
        <v/>
      </c>
    </row>
    <row r="438" spans="1:12">
      <c r="A438" s="1" t="str">
        <f t="shared" si="47"/>
        <v/>
      </c>
      <c r="F438" s="42" t="str">
        <f t="shared" si="42"/>
        <v/>
      </c>
      <c r="G438" s="42" t="str">
        <f t="shared" si="48"/>
        <v/>
      </c>
      <c r="H438" s="43" t="str">
        <f>IF(C438="","",GETPIVOTDATA("WinPips",ProfitRpt!$A$9,"Trade Month",C438,"Trade Year",B438))</f>
        <v/>
      </c>
      <c r="I438" s="42" t="str">
        <f t="shared" si="43"/>
        <v/>
      </c>
      <c r="J438" s="43" t="str">
        <f t="shared" si="44"/>
        <v/>
      </c>
      <c r="K438" s="44" t="str">
        <f t="shared" si="45"/>
        <v/>
      </c>
      <c r="L438" s="44" t="str">
        <f t="shared" si="46"/>
        <v/>
      </c>
    </row>
    <row r="439" spans="1:12">
      <c r="A439" s="1" t="str">
        <f t="shared" si="47"/>
        <v/>
      </c>
      <c r="F439" s="42" t="str">
        <f t="shared" si="42"/>
        <v/>
      </c>
      <c r="G439" s="42" t="str">
        <f t="shared" si="48"/>
        <v/>
      </c>
      <c r="H439" s="43" t="str">
        <f>IF(C439="","",GETPIVOTDATA("WinPips",ProfitRpt!$A$9,"Trade Month",C439,"Trade Year",B439))</f>
        <v/>
      </c>
      <c r="I439" s="42" t="str">
        <f t="shared" si="43"/>
        <v/>
      </c>
      <c r="J439" s="43" t="str">
        <f t="shared" si="44"/>
        <v/>
      </c>
      <c r="K439" s="44" t="str">
        <f t="shared" si="45"/>
        <v/>
      </c>
      <c r="L439" s="44" t="str">
        <f t="shared" si="46"/>
        <v/>
      </c>
    </row>
    <row r="440" spans="1:12">
      <c r="A440" s="1" t="str">
        <f t="shared" si="47"/>
        <v/>
      </c>
      <c r="F440" s="42" t="str">
        <f t="shared" si="42"/>
        <v/>
      </c>
      <c r="G440" s="42" t="str">
        <f t="shared" si="48"/>
        <v/>
      </c>
      <c r="H440" s="43" t="str">
        <f>IF(C440="","",GETPIVOTDATA("WinPips",ProfitRpt!$A$9,"Trade Month",C440,"Trade Year",B440))</f>
        <v/>
      </c>
      <c r="I440" s="42" t="str">
        <f t="shared" si="43"/>
        <v/>
      </c>
      <c r="J440" s="43" t="str">
        <f t="shared" si="44"/>
        <v/>
      </c>
      <c r="K440" s="44" t="str">
        <f t="shared" si="45"/>
        <v/>
      </c>
      <c r="L440" s="44" t="str">
        <f t="shared" si="46"/>
        <v/>
      </c>
    </row>
    <row r="441" spans="1:12">
      <c r="A441" s="1" t="str">
        <f t="shared" si="47"/>
        <v/>
      </c>
      <c r="F441" s="42" t="str">
        <f t="shared" si="42"/>
        <v/>
      </c>
      <c r="G441" s="42" t="str">
        <f t="shared" si="48"/>
        <v/>
      </c>
      <c r="H441" s="43" t="str">
        <f>IF(C441="","",GETPIVOTDATA("WinPips",ProfitRpt!$A$9,"Trade Month",C441,"Trade Year",B441))</f>
        <v/>
      </c>
      <c r="I441" s="42" t="str">
        <f t="shared" si="43"/>
        <v/>
      </c>
      <c r="J441" s="43" t="str">
        <f t="shared" si="44"/>
        <v/>
      </c>
      <c r="K441" s="44" t="str">
        <f t="shared" si="45"/>
        <v/>
      </c>
      <c r="L441" s="44" t="str">
        <f t="shared" si="46"/>
        <v/>
      </c>
    </row>
    <row r="442" spans="1:12">
      <c r="A442" s="1" t="str">
        <f t="shared" si="47"/>
        <v/>
      </c>
      <c r="F442" s="42" t="str">
        <f t="shared" si="42"/>
        <v/>
      </c>
      <c r="G442" s="42" t="str">
        <f t="shared" si="48"/>
        <v/>
      </c>
      <c r="H442" s="43" t="str">
        <f>IF(C442="","",GETPIVOTDATA("WinPips",ProfitRpt!$A$9,"Trade Month",C442,"Trade Year",B442))</f>
        <v/>
      </c>
      <c r="I442" s="42" t="str">
        <f t="shared" si="43"/>
        <v/>
      </c>
      <c r="J442" s="43" t="str">
        <f t="shared" si="44"/>
        <v/>
      </c>
      <c r="K442" s="44" t="str">
        <f t="shared" si="45"/>
        <v/>
      </c>
      <c r="L442" s="44" t="str">
        <f t="shared" si="46"/>
        <v/>
      </c>
    </row>
    <row r="443" spans="1:12">
      <c r="A443" s="1" t="str">
        <f t="shared" si="47"/>
        <v/>
      </c>
      <c r="F443" s="42" t="str">
        <f t="shared" si="42"/>
        <v/>
      </c>
      <c r="G443" s="42" t="str">
        <f t="shared" si="48"/>
        <v/>
      </c>
      <c r="H443" s="43" t="str">
        <f>IF(C443="","",GETPIVOTDATA("WinPips",ProfitRpt!$A$9,"Trade Month",C443,"Trade Year",B443))</f>
        <v/>
      </c>
      <c r="I443" s="42" t="str">
        <f t="shared" si="43"/>
        <v/>
      </c>
      <c r="J443" s="43" t="str">
        <f t="shared" si="44"/>
        <v/>
      </c>
      <c r="K443" s="44" t="str">
        <f t="shared" si="45"/>
        <v/>
      </c>
      <c r="L443" s="44" t="str">
        <f t="shared" si="46"/>
        <v/>
      </c>
    </row>
    <row r="444" spans="1:12">
      <c r="A444" s="1" t="str">
        <f t="shared" si="47"/>
        <v/>
      </c>
      <c r="F444" s="42" t="str">
        <f t="shared" si="42"/>
        <v/>
      </c>
      <c r="G444" s="42" t="str">
        <f t="shared" si="48"/>
        <v/>
      </c>
      <c r="H444" s="43" t="str">
        <f>IF(C444="","",GETPIVOTDATA("WinPips",ProfitRpt!$A$9,"Trade Month",C444,"Trade Year",B444))</f>
        <v/>
      </c>
      <c r="I444" s="42" t="str">
        <f t="shared" si="43"/>
        <v/>
      </c>
      <c r="J444" s="43" t="str">
        <f t="shared" si="44"/>
        <v/>
      </c>
      <c r="K444" s="44" t="str">
        <f t="shared" si="45"/>
        <v/>
      </c>
      <c r="L444" s="44" t="str">
        <f t="shared" si="46"/>
        <v/>
      </c>
    </row>
    <row r="445" spans="1:12">
      <c r="A445" s="1" t="str">
        <f t="shared" si="47"/>
        <v/>
      </c>
      <c r="F445" s="42" t="str">
        <f t="shared" si="42"/>
        <v/>
      </c>
      <c r="G445" s="42" t="str">
        <f t="shared" si="48"/>
        <v/>
      </c>
      <c r="H445" s="43" t="str">
        <f>IF(C445="","",GETPIVOTDATA("WinPips",ProfitRpt!$A$9,"Trade Month",C445,"Trade Year",B445))</f>
        <v/>
      </c>
      <c r="I445" s="42" t="str">
        <f t="shared" si="43"/>
        <v/>
      </c>
      <c r="J445" s="43" t="str">
        <f t="shared" si="44"/>
        <v/>
      </c>
      <c r="K445" s="44" t="str">
        <f t="shared" si="45"/>
        <v/>
      </c>
      <c r="L445" s="44" t="str">
        <f t="shared" si="46"/>
        <v/>
      </c>
    </row>
    <row r="446" spans="1:12">
      <c r="A446" s="1" t="str">
        <f t="shared" si="47"/>
        <v/>
      </c>
      <c r="F446" s="42" t="str">
        <f t="shared" si="42"/>
        <v/>
      </c>
      <c r="G446" s="42" t="str">
        <f t="shared" si="48"/>
        <v/>
      </c>
      <c r="H446" s="43" t="str">
        <f>IF(C446="","",GETPIVOTDATA("WinPips",ProfitRpt!$A$9,"Trade Month",C446,"Trade Year",B446))</f>
        <v/>
      </c>
      <c r="I446" s="42" t="str">
        <f t="shared" si="43"/>
        <v/>
      </c>
      <c r="J446" s="43" t="str">
        <f t="shared" si="44"/>
        <v/>
      </c>
      <c r="K446" s="44" t="str">
        <f t="shared" si="45"/>
        <v/>
      </c>
      <c r="L446" s="44" t="str">
        <f t="shared" si="46"/>
        <v/>
      </c>
    </row>
    <row r="447" spans="1:12">
      <c r="A447" s="1" t="str">
        <f t="shared" si="47"/>
        <v/>
      </c>
      <c r="F447" s="42" t="str">
        <f t="shared" si="42"/>
        <v/>
      </c>
      <c r="G447" s="42" t="str">
        <f t="shared" si="48"/>
        <v/>
      </c>
      <c r="H447" s="43" t="str">
        <f>IF(C447="","",GETPIVOTDATA("WinPips",ProfitRpt!$A$9,"Trade Month",C447,"Trade Year",B447))</f>
        <v/>
      </c>
      <c r="I447" s="42" t="str">
        <f t="shared" si="43"/>
        <v/>
      </c>
      <c r="J447" s="43" t="str">
        <f t="shared" si="44"/>
        <v/>
      </c>
      <c r="K447" s="44" t="str">
        <f t="shared" si="45"/>
        <v/>
      </c>
      <c r="L447" s="44" t="str">
        <f t="shared" si="46"/>
        <v/>
      </c>
    </row>
    <row r="448" spans="1:12">
      <c r="A448" s="1" t="str">
        <f t="shared" si="47"/>
        <v/>
      </c>
      <c r="F448" s="42" t="str">
        <f t="shared" si="42"/>
        <v/>
      </c>
      <c r="G448" s="42" t="str">
        <f t="shared" si="48"/>
        <v/>
      </c>
      <c r="H448" s="43" t="str">
        <f>IF(C448="","",GETPIVOTDATA("WinPips",ProfitRpt!$A$9,"Trade Month",C448,"Trade Year",B448))</f>
        <v/>
      </c>
      <c r="I448" s="42" t="str">
        <f t="shared" si="43"/>
        <v/>
      </c>
      <c r="J448" s="43" t="str">
        <f t="shared" si="44"/>
        <v/>
      </c>
      <c r="K448" s="44" t="str">
        <f t="shared" si="45"/>
        <v/>
      </c>
      <c r="L448" s="44" t="str">
        <f t="shared" si="46"/>
        <v/>
      </c>
    </row>
    <row r="449" spans="1:12">
      <c r="A449" s="1" t="str">
        <f t="shared" si="47"/>
        <v/>
      </c>
      <c r="F449" s="42" t="str">
        <f t="shared" si="42"/>
        <v/>
      </c>
      <c r="G449" s="42" t="str">
        <f t="shared" si="48"/>
        <v/>
      </c>
      <c r="H449" s="43" t="str">
        <f>IF(C449="","",GETPIVOTDATA("WinPips",ProfitRpt!$A$9,"Trade Month",C449,"Trade Year",B449))</f>
        <v/>
      </c>
      <c r="I449" s="42" t="str">
        <f t="shared" si="43"/>
        <v/>
      </c>
      <c r="J449" s="43" t="str">
        <f t="shared" si="44"/>
        <v/>
      </c>
      <c r="K449" s="44" t="str">
        <f t="shared" si="45"/>
        <v/>
      </c>
      <c r="L449" s="44" t="str">
        <f t="shared" si="46"/>
        <v/>
      </c>
    </row>
    <row r="450" spans="1:12">
      <c r="A450" s="1" t="str">
        <f t="shared" si="47"/>
        <v/>
      </c>
      <c r="F450" s="42" t="str">
        <f t="shared" si="42"/>
        <v/>
      </c>
      <c r="G450" s="42" t="str">
        <f t="shared" si="48"/>
        <v/>
      </c>
      <c r="H450" s="43" t="str">
        <f>IF(C450="","",GETPIVOTDATA("WinPips",ProfitRpt!$A$9,"Trade Month",C450,"Trade Year",B450))</f>
        <v/>
      </c>
      <c r="I450" s="42" t="str">
        <f t="shared" si="43"/>
        <v/>
      </c>
      <c r="J450" s="43" t="str">
        <f t="shared" si="44"/>
        <v/>
      </c>
      <c r="K450" s="44" t="str">
        <f t="shared" si="45"/>
        <v/>
      </c>
      <c r="L450" s="44" t="str">
        <f t="shared" si="46"/>
        <v/>
      </c>
    </row>
    <row r="451" spans="1:12">
      <c r="A451" s="1" t="str">
        <f t="shared" si="47"/>
        <v/>
      </c>
      <c r="F451" s="42" t="str">
        <f t="shared" si="42"/>
        <v/>
      </c>
      <c r="G451" s="42" t="str">
        <f t="shared" si="48"/>
        <v/>
      </c>
      <c r="H451" s="43" t="str">
        <f>IF(C451="","",GETPIVOTDATA("WinPips",ProfitRpt!$A$9,"Trade Month",C451,"Trade Year",B451))</f>
        <v/>
      </c>
      <c r="I451" s="42" t="str">
        <f t="shared" si="43"/>
        <v/>
      </c>
      <c r="J451" s="43" t="str">
        <f t="shared" si="44"/>
        <v/>
      </c>
      <c r="K451" s="44" t="str">
        <f t="shared" si="45"/>
        <v/>
      </c>
      <c r="L451" s="44" t="str">
        <f t="shared" si="46"/>
        <v/>
      </c>
    </row>
    <row r="452" spans="1:12">
      <c r="A452" s="1" t="str">
        <f t="shared" si="47"/>
        <v/>
      </c>
      <c r="F452" s="42" t="str">
        <f t="shared" si="42"/>
        <v/>
      </c>
      <c r="G452" s="42" t="str">
        <f t="shared" si="48"/>
        <v/>
      </c>
      <c r="H452" s="43" t="str">
        <f>IF(C452="","",GETPIVOTDATA("WinPips",ProfitRpt!$A$9,"Trade Month",C452,"Trade Year",B452))</f>
        <v/>
      </c>
      <c r="I452" s="42" t="str">
        <f t="shared" si="43"/>
        <v/>
      </c>
      <c r="J452" s="43" t="str">
        <f t="shared" si="44"/>
        <v/>
      </c>
      <c r="K452" s="44" t="str">
        <f t="shared" si="45"/>
        <v/>
      </c>
      <c r="L452" s="44" t="str">
        <f t="shared" si="46"/>
        <v/>
      </c>
    </row>
    <row r="453" spans="1:12">
      <c r="A453" s="1" t="str">
        <f t="shared" si="47"/>
        <v/>
      </c>
      <c r="F453" s="42" t="str">
        <f t="shared" si="42"/>
        <v/>
      </c>
      <c r="G453" s="42" t="str">
        <f t="shared" si="48"/>
        <v/>
      </c>
      <c r="H453" s="43" t="str">
        <f>IF(C453="","",GETPIVOTDATA("WinPips",ProfitRpt!$A$9,"Trade Month",C453,"Trade Year",B453))</f>
        <v/>
      </c>
      <c r="I453" s="42" t="str">
        <f t="shared" si="43"/>
        <v/>
      </c>
      <c r="J453" s="43" t="str">
        <f t="shared" si="44"/>
        <v/>
      </c>
      <c r="K453" s="44" t="str">
        <f t="shared" si="45"/>
        <v/>
      </c>
      <c r="L453" s="44" t="str">
        <f t="shared" si="46"/>
        <v/>
      </c>
    </row>
    <row r="454" spans="1:12">
      <c r="A454" s="1" t="str">
        <f t="shared" si="47"/>
        <v/>
      </c>
      <c r="F454" s="42" t="str">
        <f t="shared" si="42"/>
        <v/>
      </c>
      <c r="G454" s="42" t="str">
        <f t="shared" si="48"/>
        <v/>
      </c>
      <c r="H454" s="43" t="str">
        <f>IF(C454="","",GETPIVOTDATA("WinPips",ProfitRpt!$A$9,"Trade Month",C454,"Trade Year",B454))</f>
        <v/>
      </c>
      <c r="I454" s="42" t="str">
        <f t="shared" si="43"/>
        <v/>
      </c>
      <c r="J454" s="43" t="str">
        <f t="shared" si="44"/>
        <v/>
      </c>
      <c r="K454" s="44" t="str">
        <f t="shared" si="45"/>
        <v/>
      </c>
      <c r="L454" s="44" t="str">
        <f t="shared" si="46"/>
        <v/>
      </c>
    </row>
    <row r="455" spans="1:12">
      <c r="A455" s="1" t="str">
        <f t="shared" si="47"/>
        <v/>
      </c>
      <c r="F455" s="42" t="str">
        <f t="shared" ref="F455:F518" si="49">IF(G455="","",E455+G455)</f>
        <v/>
      </c>
      <c r="G455" s="42" t="str">
        <f t="shared" si="48"/>
        <v/>
      </c>
      <c r="H455" s="43" t="str">
        <f>IF(C455="","",GETPIVOTDATA("WinPips",ProfitRpt!$A$9,"Trade Month",C455,"Trade Year",B455))</f>
        <v/>
      </c>
      <c r="I455" s="42" t="str">
        <f t="shared" ref="I455:I518" si="50">IF(B455="","",IF(B455=B454,I454+G455,G455))</f>
        <v/>
      </c>
      <c r="J455" s="43" t="str">
        <f t="shared" ref="J455:J518" si="51">IF(B455="","",IF(B454=B455,J454+H455,H455))</f>
        <v/>
      </c>
      <c r="K455" s="44" t="str">
        <f t="shared" ref="K455:K518" si="52">IF(F455="","",IF(E455="","",(F455-E455)/E455))</f>
        <v/>
      </c>
      <c r="L455" s="44" t="str">
        <f t="shared" ref="L455:L518" si="53">IF(I455="","",IF(D455="","",I455/D455) )</f>
        <v/>
      </c>
    </row>
    <row r="456" spans="1:12">
      <c r="A456" s="1" t="str">
        <f t="shared" ref="A456:A519" si="54">IF(C456="","",A455+1)</f>
        <v/>
      </c>
      <c r="F456" s="42" t="str">
        <f t="shared" si="49"/>
        <v/>
      </c>
      <c r="G456" s="42" t="str">
        <f t="shared" ref="G456:G519" si="55">IF(C456="","",H456/10)</f>
        <v/>
      </c>
      <c r="H456" s="43" t="str">
        <f>IF(C456="","",GETPIVOTDATA("WinPips",ProfitRpt!$A$9,"Trade Month",C456,"Trade Year",B456))</f>
        <v/>
      </c>
      <c r="I456" s="42" t="str">
        <f t="shared" si="50"/>
        <v/>
      </c>
      <c r="J456" s="43" t="str">
        <f t="shared" si="51"/>
        <v/>
      </c>
      <c r="K456" s="44" t="str">
        <f t="shared" si="52"/>
        <v/>
      </c>
      <c r="L456" s="44" t="str">
        <f t="shared" si="53"/>
        <v/>
      </c>
    </row>
    <row r="457" spans="1:12">
      <c r="A457" s="1" t="str">
        <f t="shared" si="54"/>
        <v/>
      </c>
      <c r="F457" s="42" t="str">
        <f t="shared" si="49"/>
        <v/>
      </c>
      <c r="G457" s="42" t="str">
        <f t="shared" si="55"/>
        <v/>
      </c>
      <c r="H457" s="43" t="str">
        <f>IF(C457="","",GETPIVOTDATA("WinPips",ProfitRpt!$A$9,"Trade Month",C457,"Trade Year",B457))</f>
        <v/>
      </c>
      <c r="I457" s="42" t="str">
        <f t="shared" si="50"/>
        <v/>
      </c>
      <c r="J457" s="43" t="str">
        <f t="shared" si="51"/>
        <v/>
      </c>
      <c r="K457" s="44" t="str">
        <f t="shared" si="52"/>
        <v/>
      </c>
      <c r="L457" s="44" t="str">
        <f t="shared" si="53"/>
        <v/>
      </c>
    </row>
    <row r="458" spans="1:12">
      <c r="A458" s="1" t="str">
        <f t="shared" si="54"/>
        <v/>
      </c>
      <c r="F458" s="42" t="str">
        <f t="shared" si="49"/>
        <v/>
      </c>
      <c r="G458" s="42" t="str">
        <f t="shared" si="55"/>
        <v/>
      </c>
      <c r="H458" s="43" t="str">
        <f>IF(C458="","",GETPIVOTDATA("WinPips",ProfitRpt!$A$9,"Trade Month",C458,"Trade Year",B458))</f>
        <v/>
      </c>
      <c r="I458" s="42" t="str">
        <f t="shared" si="50"/>
        <v/>
      </c>
      <c r="J458" s="43" t="str">
        <f t="shared" si="51"/>
        <v/>
      </c>
      <c r="K458" s="44" t="str">
        <f t="shared" si="52"/>
        <v/>
      </c>
      <c r="L458" s="44" t="str">
        <f t="shared" si="53"/>
        <v/>
      </c>
    </row>
    <row r="459" spans="1:12">
      <c r="A459" s="1" t="str">
        <f t="shared" si="54"/>
        <v/>
      </c>
      <c r="F459" s="42" t="str">
        <f t="shared" si="49"/>
        <v/>
      </c>
      <c r="G459" s="42" t="str">
        <f t="shared" si="55"/>
        <v/>
      </c>
      <c r="H459" s="43" t="str">
        <f>IF(C459="","",GETPIVOTDATA("WinPips",ProfitRpt!$A$9,"Trade Month",C459,"Trade Year",B459))</f>
        <v/>
      </c>
      <c r="I459" s="42" t="str">
        <f t="shared" si="50"/>
        <v/>
      </c>
      <c r="J459" s="43" t="str">
        <f t="shared" si="51"/>
        <v/>
      </c>
      <c r="K459" s="44" t="str">
        <f t="shared" si="52"/>
        <v/>
      </c>
      <c r="L459" s="44" t="str">
        <f t="shared" si="53"/>
        <v/>
      </c>
    </row>
    <row r="460" spans="1:12">
      <c r="A460" s="1" t="str">
        <f t="shared" si="54"/>
        <v/>
      </c>
      <c r="F460" s="42" t="str">
        <f t="shared" si="49"/>
        <v/>
      </c>
      <c r="G460" s="42" t="str">
        <f t="shared" si="55"/>
        <v/>
      </c>
      <c r="H460" s="43" t="str">
        <f>IF(C460="","",GETPIVOTDATA("WinPips",ProfitRpt!$A$9,"Trade Month",C460,"Trade Year",B460))</f>
        <v/>
      </c>
      <c r="I460" s="42" t="str">
        <f t="shared" si="50"/>
        <v/>
      </c>
      <c r="J460" s="43" t="str">
        <f t="shared" si="51"/>
        <v/>
      </c>
      <c r="K460" s="44" t="str">
        <f t="shared" si="52"/>
        <v/>
      </c>
      <c r="L460" s="44" t="str">
        <f t="shared" si="53"/>
        <v/>
      </c>
    </row>
    <row r="461" spans="1:12">
      <c r="A461" s="1" t="str">
        <f t="shared" si="54"/>
        <v/>
      </c>
      <c r="F461" s="42" t="str">
        <f t="shared" si="49"/>
        <v/>
      </c>
      <c r="G461" s="42" t="str">
        <f t="shared" si="55"/>
        <v/>
      </c>
      <c r="H461" s="43" t="str">
        <f>IF(C461="","",GETPIVOTDATA("WinPips",ProfitRpt!$A$9,"Trade Month",C461,"Trade Year",B461))</f>
        <v/>
      </c>
      <c r="I461" s="42" t="str">
        <f t="shared" si="50"/>
        <v/>
      </c>
      <c r="J461" s="43" t="str">
        <f t="shared" si="51"/>
        <v/>
      </c>
      <c r="K461" s="44" t="str">
        <f t="shared" si="52"/>
        <v/>
      </c>
      <c r="L461" s="44" t="str">
        <f t="shared" si="53"/>
        <v/>
      </c>
    </row>
    <row r="462" spans="1:12">
      <c r="A462" s="1" t="str">
        <f t="shared" si="54"/>
        <v/>
      </c>
      <c r="F462" s="42" t="str">
        <f t="shared" si="49"/>
        <v/>
      </c>
      <c r="G462" s="42" t="str">
        <f t="shared" si="55"/>
        <v/>
      </c>
      <c r="H462" s="43" t="str">
        <f>IF(C462="","",GETPIVOTDATA("WinPips",ProfitRpt!$A$9,"Trade Month",C462,"Trade Year",B462))</f>
        <v/>
      </c>
      <c r="I462" s="42" t="str">
        <f t="shared" si="50"/>
        <v/>
      </c>
      <c r="J462" s="43" t="str">
        <f t="shared" si="51"/>
        <v/>
      </c>
      <c r="K462" s="44" t="str">
        <f t="shared" si="52"/>
        <v/>
      </c>
      <c r="L462" s="44" t="str">
        <f t="shared" si="53"/>
        <v/>
      </c>
    </row>
    <row r="463" spans="1:12">
      <c r="A463" s="1" t="str">
        <f t="shared" si="54"/>
        <v/>
      </c>
      <c r="F463" s="42" t="str">
        <f t="shared" si="49"/>
        <v/>
      </c>
      <c r="G463" s="42" t="str">
        <f t="shared" si="55"/>
        <v/>
      </c>
      <c r="H463" s="43" t="str">
        <f>IF(C463="","",GETPIVOTDATA("WinPips",ProfitRpt!$A$9,"Trade Month",C463,"Trade Year",B463))</f>
        <v/>
      </c>
      <c r="I463" s="42" t="str">
        <f t="shared" si="50"/>
        <v/>
      </c>
      <c r="J463" s="43" t="str">
        <f t="shared" si="51"/>
        <v/>
      </c>
      <c r="K463" s="44" t="str">
        <f t="shared" si="52"/>
        <v/>
      </c>
      <c r="L463" s="44" t="str">
        <f t="shared" si="53"/>
        <v/>
      </c>
    </row>
    <row r="464" spans="1:12">
      <c r="A464" s="1" t="str">
        <f t="shared" si="54"/>
        <v/>
      </c>
      <c r="F464" s="42" t="str">
        <f t="shared" si="49"/>
        <v/>
      </c>
      <c r="G464" s="42" t="str">
        <f t="shared" si="55"/>
        <v/>
      </c>
      <c r="H464" s="43" t="str">
        <f>IF(C464="","",GETPIVOTDATA("WinPips",ProfitRpt!$A$9,"Trade Month",C464,"Trade Year",B464))</f>
        <v/>
      </c>
      <c r="I464" s="42" t="str">
        <f t="shared" si="50"/>
        <v/>
      </c>
      <c r="J464" s="43" t="str">
        <f t="shared" si="51"/>
        <v/>
      </c>
      <c r="K464" s="44" t="str">
        <f t="shared" si="52"/>
        <v/>
      </c>
      <c r="L464" s="44" t="str">
        <f t="shared" si="53"/>
        <v/>
      </c>
    </row>
    <row r="465" spans="1:12">
      <c r="A465" s="1" t="str">
        <f t="shared" si="54"/>
        <v/>
      </c>
      <c r="F465" s="42" t="str">
        <f t="shared" si="49"/>
        <v/>
      </c>
      <c r="G465" s="42" t="str">
        <f t="shared" si="55"/>
        <v/>
      </c>
      <c r="H465" s="43" t="str">
        <f>IF(C465="","",GETPIVOTDATA("WinPips",ProfitRpt!$A$9,"Trade Month",C465,"Trade Year",B465))</f>
        <v/>
      </c>
      <c r="I465" s="42" t="str">
        <f t="shared" si="50"/>
        <v/>
      </c>
      <c r="J465" s="43" t="str">
        <f t="shared" si="51"/>
        <v/>
      </c>
      <c r="K465" s="44" t="str">
        <f t="shared" si="52"/>
        <v/>
      </c>
      <c r="L465" s="44" t="str">
        <f t="shared" si="53"/>
        <v/>
      </c>
    </row>
    <row r="466" spans="1:12">
      <c r="A466" s="1" t="str">
        <f t="shared" si="54"/>
        <v/>
      </c>
      <c r="F466" s="42" t="str">
        <f t="shared" si="49"/>
        <v/>
      </c>
      <c r="G466" s="42" t="str">
        <f t="shared" si="55"/>
        <v/>
      </c>
      <c r="H466" s="43" t="str">
        <f>IF(C466="","",GETPIVOTDATA("WinPips",ProfitRpt!$A$9,"Trade Month",C466,"Trade Year",B466))</f>
        <v/>
      </c>
      <c r="I466" s="42" t="str">
        <f t="shared" si="50"/>
        <v/>
      </c>
      <c r="J466" s="43" t="str">
        <f t="shared" si="51"/>
        <v/>
      </c>
      <c r="K466" s="44" t="str">
        <f t="shared" si="52"/>
        <v/>
      </c>
      <c r="L466" s="44" t="str">
        <f t="shared" si="53"/>
        <v/>
      </c>
    </row>
    <row r="467" spans="1:12">
      <c r="A467" s="1" t="str">
        <f t="shared" si="54"/>
        <v/>
      </c>
      <c r="F467" s="42" t="str">
        <f t="shared" si="49"/>
        <v/>
      </c>
      <c r="G467" s="42" t="str">
        <f t="shared" si="55"/>
        <v/>
      </c>
      <c r="H467" s="43" t="str">
        <f>IF(C467="","",GETPIVOTDATA("WinPips",ProfitRpt!$A$9,"Trade Month",C467,"Trade Year",B467))</f>
        <v/>
      </c>
      <c r="I467" s="42" t="str">
        <f t="shared" si="50"/>
        <v/>
      </c>
      <c r="J467" s="43" t="str">
        <f t="shared" si="51"/>
        <v/>
      </c>
      <c r="K467" s="44" t="str">
        <f t="shared" si="52"/>
        <v/>
      </c>
      <c r="L467" s="44" t="str">
        <f t="shared" si="53"/>
        <v/>
      </c>
    </row>
    <row r="468" spans="1:12">
      <c r="A468" s="1" t="str">
        <f t="shared" si="54"/>
        <v/>
      </c>
      <c r="F468" s="42" t="str">
        <f t="shared" si="49"/>
        <v/>
      </c>
      <c r="G468" s="42" t="str">
        <f t="shared" si="55"/>
        <v/>
      </c>
      <c r="H468" s="43" t="str">
        <f>IF(C468="","",GETPIVOTDATA("WinPips",ProfitRpt!$A$9,"Trade Month",C468,"Trade Year",B468))</f>
        <v/>
      </c>
      <c r="I468" s="42" t="str">
        <f t="shared" si="50"/>
        <v/>
      </c>
      <c r="J468" s="43" t="str">
        <f t="shared" si="51"/>
        <v/>
      </c>
      <c r="K468" s="44" t="str">
        <f t="shared" si="52"/>
        <v/>
      </c>
      <c r="L468" s="44" t="str">
        <f t="shared" si="53"/>
        <v/>
      </c>
    </row>
    <row r="469" spans="1:12">
      <c r="A469" s="1" t="str">
        <f t="shared" si="54"/>
        <v/>
      </c>
      <c r="F469" s="42" t="str">
        <f t="shared" si="49"/>
        <v/>
      </c>
      <c r="G469" s="42" t="str">
        <f t="shared" si="55"/>
        <v/>
      </c>
      <c r="H469" s="43" t="str">
        <f>IF(C469="","",GETPIVOTDATA("WinPips",ProfitRpt!$A$9,"Trade Month",C469,"Trade Year",B469))</f>
        <v/>
      </c>
      <c r="I469" s="42" t="str">
        <f t="shared" si="50"/>
        <v/>
      </c>
      <c r="J469" s="43" t="str">
        <f t="shared" si="51"/>
        <v/>
      </c>
      <c r="K469" s="44" t="str">
        <f t="shared" si="52"/>
        <v/>
      </c>
      <c r="L469" s="44" t="str">
        <f t="shared" si="53"/>
        <v/>
      </c>
    </row>
    <row r="470" spans="1:12">
      <c r="A470" s="1" t="str">
        <f t="shared" si="54"/>
        <v/>
      </c>
      <c r="F470" s="42" t="str">
        <f t="shared" si="49"/>
        <v/>
      </c>
      <c r="G470" s="42" t="str">
        <f t="shared" si="55"/>
        <v/>
      </c>
      <c r="H470" s="43" t="str">
        <f>IF(C470="","",GETPIVOTDATA("WinPips",ProfitRpt!$A$9,"Trade Month",C470,"Trade Year",B470))</f>
        <v/>
      </c>
      <c r="I470" s="42" t="str">
        <f t="shared" si="50"/>
        <v/>
      </c>
      <c r="J470" s="43" t="str">
        <f t="shared" si="51"/>
        <v/>
      </c>
      <c r="K470" s="44" t="str">
        <f t="shared" si="52"/>
        <v/>
      </c>
      <c r="L470" s="44" t="str">
        <f t="shared" si="53"/>
        <v/>
      </c>
    </row>
    <row r="471" spans="1:12">
      <c r="A471" s="1" t="str">
        <f t="shared" si="54"/>
        <v/>
      </c>
      <c r="F471" s="42" t="str">
        <f t="shared" si="49"/>
        <v/>
      </c>
      <c r="G471" s="42" t="str">
        <f t="shared" si="55"/>
        <v/>
      </c>
      <c r="H471" s="43" t="str">
        <f>IF(C471="","",GETPIVOTDATA("WinPips",ProfitRpt!$A$9,"Trade Month",C471,"Trade Year",B471))</f>
        <v/>
      </c>
      <c r="I471" s="42" t="str">
        <f t="shared" si="50"/>
        <v/>
      </c>
      <c r="J471" s="43" t="str">
        <f t="shared" si="51"/>
        <v/>
      </c>
      <c r="K471" s="44" t="str">
        <f t="shared" si="52"/>
        <v/>
      </c>
      <c r="L471" s="44" t="str">
        <f t="shared" si="53"/>
        <v/>
      </c>
    </row>
    <row r="472" spans="1:12">
      <c r="A472" s="1" t="str">
        <f t="shared" si="54"/>
        <v/>
      </c>
      <c r="F472" s="42" t="str">
        <f t="shared" si="49"/>
        <v/>
      </c>
      <c r="G472" s="42" t="str">
        <f t="shared" si="55"/>
        <v/>
      </c>
      <c r="H472" s="43" t="str">
        <f>IF(C472="","",GETPIVOTDATA("WinPips",ProfitRpt!$A$9,"Trade Month",C472,"Trade Year",B472))</f>
        <v/>
      </c>
      <c r="I472" s="42" t="str">
        <f t="shared" si="50"/>
        <v/>
      </c>
      <c r="J472" s="43" t="str">
        <f t="shared" si="51"/>
        <v/>
      </c>
      <c r="K472" s="44" t="str">
        <f t="shared" si="52"/>
        <v/>
      </c>
      <c r="L472" s="44" t="str">
        <f t="shared" si="53"/>
        <v/>
      </c>
    </row>
    <row r="473" spans="1:12">
      <c r="A473" s="1" t="str">
        <f t="shared" si="54"/>
        <v/>
      </c>
      <c r="F473" s="42" t="str">
        <f t="shared" si="49"/>
        <v/>
      </c>
      <c r="G473" s="42" t="str">
        <f t="shared" si="55"/>
        <v/>
      </c>
      <c r="H473" s="43" t="str">
        <f>IF(C473="","",GETPIVOTDATA("WinPips",ProfitRpt!$A$9,"Trade Month",C473,"Trade Year",B473))</f>
        <v/>
      </c>
      <c r="I473" s="42" t="str">
        <f t="shared" si="50"/>
        <v/>
      </c>
      <c r="J473" s="43" t="str">
        <f t="shared" si="51"/>
        <v/>
      </c>
      <c r="K473" s="44" t="str">
        <f t="shared" si="52"/>
        <v/>
      </c>
      <c r="L473" s="44" t="str">
        <f t="shared" si="53"/>
        <v/>
      </c>
    </row>
    <row r="474" spans="1:12">
      <c r="A474" s="1" t="str">
        <f t="shared" si="54"/>
        <v/>
      </c>
      <c r="F474" s="42" t="str">
        <f t="shared" si="49"/>
        <v/>
      </c>
      <c r="G474" s="42" t="str">
        <f t="shared" si="55"/>
        <v/>
      </c>
      <c r="H474" s="43" t="str">
        <f>IF(C474="","",GETPIVOTDATA("WinPips",ProfitRpt!$A$9,"Trade Month",C474,"Trade Year",B474))</f>
        <v/>
      </c>
      <c r="I474" s="42" t="str">
        <f t="shared" si="50"/>
        <v/>
      </c>
      <c r="J474" s="43" t="str">
        <f t="shared" si="51"/>
        <v/>
      </c>
      <c r="K474" s="44" t="str">
        <f t="shared" si="52"/>
        <v/>
      </c>
      <c r="L474" s="44" t="str">
        <f t="shared" si="53"/>
        <v/>
      </c>
    </row>
    <row r="475" spans="1:12">
      <c r="A475" s="1" t="str">
        <f t="shared" si="54"/>
        <v/>
      </c>
      <c r="F475" s="42" t="str">
        <f t="shared" si="49"/>
        <v/>
      </c>
      <c r="G475" s="42" t="str">
        <f t="shared" si="55"/>
        <v/>
      </c>
      <c r="H475" s="43" t="str">
        <f>IF(C475="","",GETPIVOTDATA("WinPips",ProfitRpt!$A$9,"Trade Month",C475,"Trade Year",B475))</f>
        <v/>
      </c>
      <c r="I475" s="42" t="str">
        <f t="shared" si="50"/>
        <v/>
      </c>
      <c r="J475" s="43" t="str">
        <f t="shared" si="51"/>
        <v/>
      </c>
      <c r="K475" s="44" t="str">
        <f t="shared" si="52"/>
        <v/>
      </c>
      <c r="L475" s="44" t="str">
        <f t="shared" si="53"/>
        <v/>
      </c>
    </row>
    <row r="476" spans="1:12">
      <c r="A476" s="1" t="str">
        <f t="shared" si="54"/>
        <v/>
      </c>
      <c r="F476" s="42" t="str">
        <f t="shared" si="49"/>
        <v/>
      </c>
      <c r="G476" s="42" t="str">
        <f t="shared" si="55"/>
        <v/>
      </c>
      <c r="H476" s="43" t="str">
        <f>IF(C476="","",GETPIVOTDATA("WinPips",ProfitRpt!$A$9,"Trade Month",C476,"Trade Year",B476))</f>
        <v/>
      </c>
      <c r="I476" s="42" t="str">
        <f t="shared" si="50"/>
        <v/>
      </c>
      <c r="J476" s="43" t="str">
        <f t="shared" si="51"/>
        <v/>
      </c>
      <c r="K476" s="44" t="str">
        <f t="shared" si="52"/>
        <v/>
      </c>
      <c r="L476" s="44" t="str">
        <f t="shared" si="53"/>
        <v/>
      </c>
    </row>
    <row r="477" spans="1:12">
      <c r="A477" s="1" t="str">
        <f t="shared" si="54"/>
        <v/>
      </c>
      <c r="F477" s="42" t="str">
        <f t="shared" si="49"/>
        <v/>
      </c>
      <c r="G477" s="42" t="str">
        <f t="shared" si="55"/>
        <v/>
      </c>
      <c r="H477" s="43" t="str">
        <f>IF(C477="","",GETPIVOTDATA("WinPips",ProfitRpt!$A$9,"Trade Month",C477,"Trade Year",B477))</f>
        <v/>
      </c>
      <c r="I477" s="42" t="str">
        <f t="shared" si="50"/>
        <v/>
      </c>
      <c r="J477" s="43" t="str">
        <f t="shared" si="51"/>
        <v/>
      </c>
      <c r="K477" s="44" t="str">
        <f t="shared" si="52"/>
        <v/>
      </c>
      <c r="L477" s="44" t="str">
        <f t="shared" si="53"/>
        <v/>
      </c>
    </row>
    <row r="478" spans="1:12">
      <c r="A478" s="1" t="str">
        <f t="shared" si="54"/>
        <v/>
      </c>
      <c r="F478" s="42" t="str">
        <f t="shared" si="49"/>
        <v/>
      </c>
      <c r="G478" s="42" t="str">
        <f t="shared" si="55"/>
        <v/>
      </c>
      <c r="H478" s="43" t="str">
        <f>IF(C478="","",GETPIVOTDATA("WinPips",ProfitRpt!$A$9,"Trade Month",C478,"Trade Year",B478))</f>
        <v/>
      </c>
      <c r="I478" s="42" t="str">
        <f t="shared" si="50"/>
        <v/>
      </c>
      <c r="J478" s="43" t="str">
        <f t="shared" si="51"/>
        <v/>
      </c>
      <c r="K478" s="44" t="str">
        <f t="shared" si="52"/>
        <v/>
      </c>
      <c r="L478" s="44" t="str">
        <f t="shared" si="53"/>
        <v/>
      </c>
    </row>
    <row r="479" spans="1:12">
      <c r="A479" s="1" t="str">
        <f t="shared" si="54"/>
        <v/>
      </c>
      <c r="F479" s="42" t="str">
        <f t="shared" si="49"/>
        <v/>
      </c>
      <c r="G479" s="42" t="str">
        <f t="shared" si="55"/>
        <v/>
      </c>
      <c r="H479" s="43" t="str">
        <f>IF(C479="","",GETPIVOTDATA("WinPips",ProfitRpt!$A$9,"Trade Month",C479,"Trade Year",B479))</f>
        <v/>
      </c>
      <c r="I479" s="42" t="str">
        <f t="shared" si="50"/>
        <v/>
      </c>
      <c r="J479" s="43" t="str">
        <f t="shared" si="51"/>
        <v/>
      </c>
      <c r="K479" s="44" t="str">
        <f t="shared" si="52"/>
        <v/>
      </c>
      <c r="L479" s="44" t="str">
        <f t="shared" si="53"/>
        <v/>
      </c>
    </row>
    <row r="480" spans="1:12">
      <c r="A480" s="1" t="str">
        <f t="shared" si="54"/>
        <v/>
      </c>
      <c r="F480" s="42" t="str">
        <f t="shared" si="49"/>
        <v/>
      </c>
      <c r="G480" s="42" t="str">
        <f t="shared" si="55"/>
        <v/>
      </c>
      <c r="H480" s="43" t="str">
        <f>IF(C480="","",GETPIVOTDATA("WinPips",ProfitRpt!$A$9,"Trade Month",C480,"Trade Year",B480))</f>
        <v/>
      </c>
      <c r="I480" s="42" t="str">
        <f t="shared" si="50"/>
        <v/>
      </c>
      <c r="J480" s="43" t="str">
        <f t="shared" si="51"/>
        <v/>
      </c>
      <c r="K480" s="44" t="str">
        <f t="shared" si="52"/>
        <v/>
      </c>
      <c r="L480" s="44" t="str">
        <f t="shared" si="53"/>
        <v/>
      </c>
    </row>
    <row r="481" spans="1:12">
      <c r="A481" s="1" t="str">
        <f t="shared" si="54"/>
        <v/>
      </c>
      <c r="F481" s="42" t="str">
        <f t="shared" si="49"/>
        <v/>
      </c>
      <c r="G481" s="42" t="str">
        <f t="shared" si="55"/>
        <v/>
      </c>
      <c r="H481" s="43" t="str">
        <f>IF(C481="","",GETPIVOTDATA("WinPips",ProfitRpt!$A$9,"Trade Month",C481,"Trade Year",B481))</f>
        <v/>
      </c>
      <c r="I481" s="42" t="str">
        <f t="shared" si="50"/>
        <v/>
      </c>
      <c r="J481" s="43" t="str">
        <f t="shared" si="51"/>
        <v/>
      </c>
      <c r="K481" s="44" t="str">
        <f t="shared" si="52"/>
        <v/>
      </c>
      <c r="L481" s="44" t="str">
        <f t="shared" si="53"/>
        <v/>
      </c>
    </row>
    <row r="482" spans="1:12">
      <c r="A482" s="1" t="str">
        <f t="shared" si="54"/>
        <v/>
      </c>
      <c r="F482" s="42" t="str">
        <f t="shared" si="49"/>
        <v/>
      </c>
      <c r="G482" s="42" t="str">
        <f t="shared" si="55"/>
        <v/>
      </c>
      <c r="H482" s="43" t="str">
        <f>IF(C482="","",GETPIVOTDATA("WinPips",ProfitRpt!$A$9,"Trade Month",C482,"Trade Year",B482))</f>
        <v/>
      </c>
      <c r="I482" s="42" t="str">
        <f t="shared" si="50"/>
        <v/>
      </c>
      <c r="J482" s="43" t="str">
        <f t="shared" si="51"/>
        <v/>
      </c>
      <c r="K482" s="44" t="str">
        <f t="shared" si="52"/>
        <v/>
      </c>
      <c r="L482" s="44" t="str">
        <f t="shared" si="53"/>
        <v/>
      </c>
    </row>
    <row r="483" spans="1:12">
      <c r="A483" s="1" t="str">
        <f t="shared" si="54"/>
        <v/>
      </c>
      <c r="F483" s="42" t="str">
        <f t="shared" si="49"/>
        <v/>
      </c>
      <c r="G483" s="42" t="str">
        <f t="shared" si="55"/>
        <v/>
      </c>
      <c r="H483" s="43" t="str">
        <f>IF(C483="","",GETPIVOTDATA("WinPips",ProfitRpt!$A$9,"Trade Month",C483,"Trade Year",B483))</f>
        <v/>
      </c>
      <c r="I483" s="42" t="str">
        <f t="shared" si="50"/>
        <v/>
      </c>
      <c r="J483" s="43" t="str">
        <f t="shared" si="51"/>
        <v/>
      </c>
      <c r="K483" s="44" t="str">
        <f t="shared" si="52"/>
        <v/>
      </c>
      <c r="L483" s="44" t="str">
        <f t="shared" si="53"/>
        <v/>
      </c>
    </row>
    <row r="484" spans="1:12">
      <c r="A484" s="1" t="str">
        <f t="shared" si="54"/>
        <v/>
      </c>
      <c r="F484" s="42" t="str">
        <f t="shared" si="49"/>
        <v/>
      </c>
      <c r="G484" s="42" t="str">
        <f t="shared" si="55"/>
        <v/>
      </c>
      <c r="H484" s="43" t="str">
        <f>IF(C484="","",GETPIVOTDATA("WinPips",ProfitRpt!$A$9,"Trade Month",C484,"Trade Year",B484))</f>
        <v/>
      </c>
      <c r="I484" s="42" t="str">
        <f t="shared" si="50"/>
        <v/>
      </c>
      <c r="J484" s="43" t="str">
        <f t="shared" si="51"/>
        <v/>
      </c>
      <c r="K484" s="44" t="str">
        <f t="shared" si="52"/>
        <v/>
      </c>
      <c r="L484" s="44" t="str">
        <f t="shared" si="53"/>
        <v/>
      </c>
    </row>
    <row r="485" spans="1:12">
      <c r="A485" s="1" t="str">
        <f t="shared" si="54"/>
        <v/>
      </c>
      <c r="F485" s="42" t="str">
        <f t="shared" si="49"/>
        <v/>
      </c>
      <c r="G485" s="42" t="str">
        <f t="shared" si="55"/>
        <v/>
      </c>
      <c r="H485" s="43" t="str">
        <f>IF(C485="","",GETPIVOTDATA("WinPips",ProfitRpt!$A$9,"Trade Month",C485,"Trade Year",B485))</f>
        <v/>
      </c>
      <c r="I485" s="42" t="str">
        <f t="shared" si="50"/>
        <v/>
      </c>
      <c r="J485" s="43" t="str">
        <f t="shared" si="51"/>
        <v/>
      </c>
      <c r="K485" s="44" t="str">
        <f t="shared" si="52"/>
        <v/>
      </c>
      <c r="L485" s="44" t="str">
        <f t="shared" si="53"/>
        <v/>
      </c>
    </row>
    <row r="486" spans="1:12">
      <c r="A486" s="1" t="str">
        <f t="shared" si="54"/>
        <v/>
      </c>
      <c r="F486" s="42" t="str">
        <f t="shared" si="49"/>
        <v/>
      </c>
      <c r="G486" s="42" t="str">
        <f t="shared" si="55"/>
        <v/>
      </c>
      <c r="H486" s="43" t="str">
        <f>IF(C486="","",GETPIVOTDATA("WinPips",ProfitRpt!$A$9,"Trade Month",C486,"Trade Year",B486))</f>
        <v/>
      </c>
      <c r="I486" s="42" t="str">
        <f t="shared" si="50"/>
        <v/>
      </c>
      <c r="J486" s="43" t="str">
        <f t="shared" si="51"/>
        <v/>
      </c>
      <c r="K486" s="44" t="str">
        <f t="shared" si="52"/>
        <v/>
      </c>
      <c r="L486" s="44" t="str">
        <f t="shared" si="53"/>
        <v/>
      </c>
    </row>
    <row r="487" spans="1:12">
      <c r="A487" s="1" t="str">
        <f t="shared" si="54"/>
        <v/>
      </c>
      <c r="F487" s="42" t="str">
        <f t="shared" si="49"/>
        <v/>
      </c>
      <c r="G487" s="42" t="str">
        <f t="shared" si="55"/>
        <v/>
      </c>
      <c r="H487" s="43" t="str">
        <f>IF(C487="","",GETPIVOTDATA("WinPips",ProfitRpt!$A$9,"Trade Month",C487,"Trade Year",B487))</f>
        <v/>
      </c>
      <c r="I487" s="42" t="str">
        <f t="shared" si="50"/>
        <v/>
      </c>
      <c r="J487" s="43" t="str">
        <f t="shared" si="51"/>
        <v/>
      </c>
      <c r="K487" s="44" t="str">
        <f t="shared" si="52"/>
        <v/>
      </c>
      <c r="L487" s="44" t="str">
        <f t="shared" si="53"/>
        <v/>
      </c>
    </row>
    <row r="488" spans="1:12">
      <c r="A488" s="1" t="str">
        <f t="shared" si="54"/>
        <v/>
      </c>
      <c r="F488" s="42" t="str">
        <f t="shared" si="49"/>
        <v/>
      </c>
      <c r="G488" s="42" t="str">
        <f t="shared" si="55"/>
        <v/>
      </c>
      <c r="H488" s="43" t="str">
        <f>IF(C488="","",GETPIVOTDATA("WinPips",ProfitRpt!$A$9,"Trade Month",C488,"Trade Year",B488))</f>
        <v/>
      </c>
      <c r="I488" s="42" t="str">
        <f t="shared" si="50"/>
        <v/>
      </c>
      <c r="J488" s="43" t="str">
        <f t="shared" si="51"/>
        <v/>
      </c>
      <c r="K488" s="44" t="str">
        <f t="shared" si="52"/>
        <v/>
      </c>
      <c r="L488" s="44" t="str">
        <f t="shared" si="53"/>
        <v/>
      </c>
    </row>
    <row r="489" spans="1:12">
      <c r="A489" s="1" t="str">
        <f t="shared" si="54"/>
        <v/>
      </c>
      <c r="F489" s="42" t="str">
        <f t="shared" si="49"/>
        <v/>
      </c>
      <c r="G489" s="42" t="str">
        <f t="shared" si="55"/>
        <v/>
      </c>
      <c r="H489" s="43" t="str">
        <f>IF(C489="","",GETPIVOTDATA("WinPips",ProfitRpt!$A$9,"Trade Month",C489,"Trade Year",B489))</f>
        <v/>
      </c>
      <c r="I489" s="42" t="str">
        <f t="shared" si="50"/>
        <v/>
      </c>
      <c r="J489" s="43" t="str">
        <f t="shared" si="51"/>
        <v/>
      </c>
      <c r="K489" s="44" t="str">
        <f t="shared" si="52"/>
        <v/>
      </c>
      <c r="L489" s="44" t="str">
        <f t="shared" si="53"/>
        <v/>
      </c>
    </row>
    <row r="490" spans="1:12">
      <c r="A490" s="1" t="str">
        <f t="shared" si="54"/>
        <v/>
      </c>
      <c r="F490" s="42" t="str">
        <f t="shared" si="49"/>
        <v/>
      </c>
      <c r="G490" s="42" t="str">
        <f t="shared" si="55"/>
        <v/>
      </c>
      <c r="H490" s="43" t="str">
        <f>IF(C490="","",GETPIVOTDATA("WinPips",ProfitRpt!$A$9,"Trade Month",C490,"Trade Year",B490))</f>
        <v/>
      </c>
      <c r="I490" s="42" t="str">
        <f t="shared" si="50"/>
        <v/>
      </c>
      <c r="J490" s="43" t="str">
        <f t="shared" si="51"/>
        <v/>
      </c>
      <c r="K490" s="44" t="str">
        <f t="shared" si="52"/>
        <v/>
      </c>
      <c r="L490" s="44" t="str">
        <f t="shared" si="53"/>
        <v/>
      </c>
    </row>
    <row r="491" spans="1:12">
      <c r="A491" s="1" t="str">
        <f t="shared" si="54"/>
        <v/>
      </c>
      <c r="F491" s="42" t="str">
        <f t="shared" si="49"/>
        <v/>
      </c>
      <c r="G491" s="42" t="str">
        <f t="shared" si="55"/>
        <v/>
      </c>
      <c r="H491" s="43" t="str">
        <f>IF(C491="","",GETPIVOTDATA("WinPips",ProfitRpt!$A$9,"Trade Month",C491,"Trade Year",B491))</f>
        <v/>
      </c>
      <c r="I491" s="42" t="str">
        <f t="shared" si="50"/>
        <v/>
      </c>
      <c r="J491" s="43" t="str">
        <f t="shared" si="51"/>
        <v/>
      </c>
      <c r="K491" s="44" t="str">
        <f t="shared" si="52"/>
        <v/>
      </c>
      <c r="L491" s="44" t="str">
        <f t="shared" si="53"/>
        <v/>
      </c>
    </row>
    <row r="492" spans="1:12">
      <c r="A492" s="1" t="str">
        <f t="shared" si="54"/>
        <v/>
      </c>
      <c r="F492" s="42" t="str">
        <f t="shared" si="49"/>
        <v/>
      </c>
      <c r="G492" s="42" t="str">
        <f t="shared" si="55"/>
        <v/>
      </c>
      <c r="H492" s="43" t="str">
        <f>IF(C492="","",GETPIVOTDATA("WinPips",ProfitRpt!$A$9,"Trade Month",C492,"Trade Year",B492))</f>
        <v/>
      </c>
      <c r="I492" s="42" t="str">
        <f t="shared" si="50"/>
        <v/>
      </c>
      <c r="J492" s="43" t="str">
        <f t="shared" si="51"/>
        <v/>
      </c>
      <c r="K492" s="44" t="str">
        <f t="shared" si="52"/>
        <v/>
      </c>
      <c r="L492" s="44" t="str">
        <f t="shared" si="53"/>
        <v/>
      </c>
    </row>
    <row r="493" spans="1:12">
      <c r="A493" s="1" t="str">
        <f t="shared" si="54"/>
        <v/>
      </c>
      <c r="F493" s="42" t="str">
        <f t="shared" si="49"/>
        <v/>
      </c>
      <c r="G493" s="42" t="str">
        <f t="shared" si="55"/>
        <v/>
      </c>
      <c r="H493" s="43" t="str">
        <f>IF(C493="","",GETPIVOTDATA("WinPips",ProfitRpt!$A$9,"Trade Month",C493,"Trade Year",B493))</f>
        <v/>
      </c>
      <c r="I493" s="42" t="str">
        <f t="shared" si="50"/>
        <v/>
      </c>
      <c r="J493" s="43" t="str">
        <f t="shared" si="51"/>
        <v/>
      </c>
      <c r="K493" s="44" t="str">
        <f t="shared" si="52"/>
        <v/>
      </c>
      <c r="L493" s="44" t="str">
        <f t="shared" si="53"/>
        <v/>
      </c>
    </row>
    <row r="494" spans="1:12">
      <c r="A494" s="1" t="str">
        <f t="shared" si="54"/>
        <v/>
      </c>
      <c r="F494" s="42" t="str">
        <f t="shared" si="49"/>
        <v/>
      </c>
      <c r="G494" s="42" t="str">
        <f t="shared" si="55"/>
        <v/>
      </c>
      <c r="H494" s="43" t="str">
        <f>IF(C494="","",GETPIVOTDATA("WinPips",ProfitRpt!$A$9,"Trade Month",C494,"Trade Year",B494))</f>
        <v/>
      </c>
      <c r="I494" s="42" t="str">
        <f t="shared" si="50"/>
        <v/>
      </c>
      <c r="J494" s="43" t="str">
        <f t="shared" si="51"/>
        <v/>
      </c>
      <c r="K494" s="44" t="str">
        <f t="shared" si="52"/>
        <v/>
      </c>
      <c r="L494" s="44" t="str">
        <f t="shared" si="53"/>
        <v/>
      </c>
    </row>
    <row r="495" spans="1:12">
      <c r="A495" s="1" t="str">
        <f t="shared" si="54"/>
        <v/>
      </c>
      <c r="F495" s="42" t="str">
        <f t="shared" si="49"/>
        <v/>
      </c>
      <c r="G495" s="42" t="str">
        <f t="shared" si="55"/>
        <v/>
      </c>
      <c r="H495" s="43" t="str">
        <f>IF(C495="","",GETPIVOTDATA("WinPips",ProfitRpt!$A$9,"Trade Month",C495,"Trade Year",B495))</f>
        <v/>
      </c>
      <c r="I495" s="42" t="str">
        <f t="shared" si="50"/>
        <v/>
      </c>
      <c r="J495" s="43" t="str">
        <f t="shared" si="51"/>
        <v/>
      </c>
      <c r="K495" s="44" t="str">
        <f t="shared" si="52"/>
        <v/>
      </c>
      <c r="L495" s="44" t="str">
        <f t="shared" si="53"/>
        <v/>
      </c>
    </row>
    <row r="496" spans="1:12">
      <c r="A496" s="1" t="str">
        <f t="shared" si="54"/>
        <v/>
      </c>
      <c r="F496" s="42" t="str">
        <f t="shared" si="49"/>
        <v/>
      </c>
      <c r="G496" s="42" t="str">
        <f t="shared" si="55"/>
        <v/>
      </c>
      <c r="H496" s="43" t="str">
        <f>IF(C496="","",GETPIVOTDATA("WinPips",ProfitRpt!$A$9,"Trade Month",C496,"Trade Year",B496))</f>
        <v/>
      </c>
      <c r="I496" s="42" t="str">
        <f t="shared" si="50"/>
        <v/>
      </c>
      <c r="J496" s="43" t="str">
        <f t="shared" si="51"/>
        <v/>
      </c>
      <c r="K496" s="44" t="str">
        <f t="shared" si="52"/>
        <v/>
      </c>
      <c r="L496" s="44" t="str">
        <f t="shared" si="53"/>
        <v/>
      </c>
    </row>
    <row r="497" spans="1:12">
      <c r="A497" s="1" t="str">
        <f t="shared" si="54"/>
        <v/>
      </c>
      <c r="F497" s="42" t="str">
        <f t="shared" si="49"/>
        <v/>
      </c>
      <c r="G497" s="42" t="str">
        <f t="shared" si="55"/>
        <v/>
      </c>
      <c r="H497" s="43" t="str">
        <f>IF(C497="","",GETPIVOTDATA("WinPips",ProfitRpt!$A$9,"Trade Month",C497,"Trade Year",B497))</f>
        <v/>
      </c>
      <c r="I497" s="42" t="str">
        <f t="shared" si="50"/>
        <v/>
      </c>
      <c r="J497" s="43" t="str">
        <f t="shared" si="51"/>
        <v/>
      </c>
      <c r="K497" s="44" t="str">
        <f t="shared" si="52"/>
        <v/>
      </c>
      <c r="L497" s="44" t="str">
        <f t="shared" si="53"/>
        <v/>
      </c>
    </row>
    <row r="498" spans="1:12">
      <c r="A498" s="1" t="str">
        <f t="shared" si="54"/>
        <v/>
      </c>
      <c r="F498" s="42" t="str">
        <f t="shared" si="49"/>
        <v/>
      </c>
      <c r="G498" s="42" t="str">
        <f t="shared" si="55"/>
        <v/>
      </c>
      <c r="H498" s="43" t="str">
        <f>IF(C498="","",GETPIVOTDATA("WinPips",ProfitRpt!$A$9,"Trade Month",C498,"Trade Year",B498))</f>
        <v/>
      </c>
      <c r="I498" s="42" t="str">
        <f t="shared" si="50"/>
        <v/>
      </c>
      <c r="J498" s="43" t="str">
        <f t="shared" si="51"/>
        <v/>
      </c>
      <c r="K498" s="44" t="str">
        <f t="shared" si="52"/>
        <v/>
      </c>
      <c r="L498" s="44" t="str">
        <f t="shared" si="53"/>
        <v/>
      </c>
    </row>
    <row r="499" spans="1:12">
      <c r="A499" s="1" t="str">
        <f t="shared" si="54"/>
        <v/>
      </c>
      <c r="F499" s="42" t="str">
        <f t="shared" si="49"/>
        <v/>
      </c>
      <c r="G499" s="42" t="str">
        <f t="shared" si="55"/>
        <v/>
      </c>
      <c r="H499" s="43" t="str">
        <f>IF(C499="","",GETPIVOTDATA("WinPips",ProfitRpt!$A$9,"Trade Month",C499,"Trade Year",B499))</f>
        <v/>
      </c>
      <c r="I499" s="42" t="str">
        <f t="shared" si="50"/>
        <v/>
      </c>
      <c r="J499" s="43" t="str">
        <f t="shared" si="51"/>
        <v/>
      </c>
      <c r="K499" s="44" t="str">
        <f t="shared" si="52"/>
        <v/>
      </c>
      <c r="L499" s="44" t="str">
        <f t="shared" si="53"/>
        <v/>
      </c>
    </row>
    <row r="500" spans="1:12">
      <c r="A500" s="1" t="str">
        <f t="shared" si="54"/>
        <v/>
      </c>
      <c r="F500" s="42" t="str">
        <f t="shared" si="49"/>
        <v/>
      </c>
      <c r="G500" s="42" t="str">
        <f t="shared" si="55"/>
        <v/>
      </c>
      <c r="H500" s="43" t="str">
        <f>IF(C500="","",GETPIVOTDATA("WinPips",ProfitRpt!$A$9,"Trade Month",C500,"Trade Year",B500))</f>
        <v/>
      </c>
      <c r="I500" s="42" t="str">
        <f t="shared" si="50"/>
        <v/>
      </c>
      <c r="J500" s="43" t="str">
        <f t="shared" si="51"/>
        <v/>
      </c>
      <c r="K500" s="44" t="str">
        <f t="shared" si="52"/>
        <v/>
      </c>
      <c r="L500" s="44" t="str">
        <f t="shared" si="53"/>
        <v/>
      </c>
    </row>
    <row r="501" spans="1:12">
      <c r="A501" s="1" t="str">
        <f t="shared" si="54"/>
        <v/>
      </c>
      <c r="F501" s="42" t="str">
        <f t="shared" si="49"/>
        <v/>
      </c>
      <c r="G501" s="42" t="str">
        <f t="shared" si="55"/>
        <v/>
      </c>
      <c r="H501" s="43" t="str">
        <f>IF(C501="","",GETPIVOTDATA("WinPips",ProfitRpt!$A$9,"Trade Month",C501,"Trade Year",B501))</f>
        <v/>
      </c>
      <c r="I501" s="42" t="str">
        <f t="shared" si="50"/>
        <v/>
      </c>
      <c r="J501" s="43" t="str">
        <f t="shared" si="51"/>
        <v/>
      </c>
      <c r="K501" s="44" t="str">
        <f t="shared" si="52"/>
        <v/>
      </c>
      <c r="L501" s="44" t="str">
        <f t="shared" si="53"/>
        <v/>
      </c>
    </row>
    <row r="502" spans="1:12">
      <c r="A502" s="1" t="str">
        <f t="shared" si="54"/>
        <v/>
      </c>
      <c r="F502" s="42" t="str">
        <f t="shared" si="49"/>
        <v/>
      </c>
      <c r="G502" s="42" t="str">
        <f t="shared" si="55"/>
        <v/>
      </c>
      <c r="H502" s="43" t="str">
        <f>IF(C502="","",GETPIVOTDATA("WinPips",ProfitRpt!$A$9,"Trade Month",C502,"Trade Year",B502))</f>
        <v/>
      </c>
      <c r="I502" s="42" t="str">
        <f t="shared" si="50"/>
        <v/>
      </c>
      <c r="J502" s="43" t="str">
        <f t="shared" si="51"/>
        <v/>
      </c>
      <c r="K502" s="44" t="str">
        <f t="shared" si="52"/>
        <v/>
      </c>
      <c r="L502" s="44" t="str">
        <f t="shared" si="53"/>
        <v/>
      </c>
    </row>
    <row r="503" spans="1:12">
      <c r="A503" s="1" t="str">
        <f t="shared" si="54"/>
        <v/>
      </c>
      <c r="F503" s="42" t="str">
        <f t="shared" si="49"/>
        <v/>
      </c>
      <c r="G503" s="42" t="str">
        <f t="shared" si="55"/>
        <v/>
      </c>
      <c r="H503" s="43" t="str">
        <f>IF(C503="","",GETPIVOTDATA("WinPips",ProfitRpt!$A$9,"Trade Month",C503,"Trade Year",B503))</f>
        <v/>
      </c>
      <c r="I503" s="42" t="str">
        <f t="shared" si="50"/>
        <v/>
      </c>
      <c r="J503" s="43" t="str">
        <f t="shared" si="51"/>
        <v/>
      </c>
      <c r="K503" s="44" t="str">
        <f t="shared" si="52"/>
        <v/>
      </c>
      <c r="L503" s="44" t="str">
        <f t="shared" si="53"/>
        <v/>
      </c>
    </row>
    <row r="504" spans="1:12">
      <c r="A504" s="1" t="str">
        <f t="shared" si="54"/>
        <v/>
      </c>
      <c r="F504" s="42" t="str">
        <f t="shared" si="49"/>
        <v/>
      </c>
      <c r="G504" s="42" t="str">
        <f t="shared" si="55"/>
        <v/>
      </c>
      <c r="H504" s="43" t="str">
        <f>IF(C504="","",GETPIVOTDATA("WinPips",ProfitRpt!$A$9,"Trade Month",C504,"Trade Year",B504))</f>
        <v/>
      </c>
      <c r="I504" s="42" t="str">
        <f t="shared" si="50"/>
        <v/>
      </c>
      <c r="J504" s="43" t="str">
        <f t="shared" si="51"/>
        <v/>
      </c>
      <c r="K504" s="44" t="str">
        <f t="shared" si="52"/>
        <v/>
      </c>
      <c r="L504" s="44" t="str">
        <f t="shared" si="53"/>
        <v/>
      </c>
    </row>
    <row r="505" spans="1:12">
      <c r="A505" s="1" t="str">
        <f t="shared" si="54"/>
        <v/>
      </c>
      <c r="F505" s="42" t="str">
        <f t="shared" si="49"/>
        <v/>
      </c>
      <c r="G505" s="42" t="str">
        <f t="shared" si="55"/>
        <v/>
      </c>
      <c r="H505" s="43" t="str">
        <f>IF(C505="","",GETPIVOTDATA("WinPips",ProfitRpt!$A$9,"Trade Month",C505,"Trade Year",B505))</f>
        <v/>
      </c>
      <c r="I505" s="42" t="str">
        <f t="shared" si="50"/>
        <v/>
      </c>
      <c r="J505" s="43" t="str">
        <f t="shared" si="51"/>
        <v/>
      </c>
      <c r="K505" s="44" t="str">
        <f t="shared" si="52"/>
        <v/>
      </c>
      <c r="L505" s="44" t="str">
        <f t="shared" si="53"/>
        <v/>
      </c>
    </row>
    <row r="506" spans="1:12">
      <c r="A506" s="1" t="str">
        <f t="shared" si="54"/>
        <v/>
      </c>
      <c r="F506" s="42" t="str">
        <f t="shared" si="49"/>
        <v/>
      </c>
      <c r="G506" s="42" t="str">
        <f t="shared" si="55"/>
        <v/>
      </c>
      <c r="H506" s="43" t="str">
        <f>IF(C506="","",GETPIVOTDATA("WinPips",ProfitRpt!$A$9,"Trade Month",C506,"Trade Year",B506))</f>
        <v/>
      </c>
      <c r="I506" s="42" t="str">
        <f t="shared" si="50"/>
        <v/>
      </c>
      <c r="J506" s="43" t="str">
        <f t="shared" si="51"/>
        <v/>
      </c>
      <c r="K506" s="44" t="str">
        <f t="shared" si="52"/>
        <v/>
      </c>
      <c r="L506" s="44" t="str">
        <f t="shared" si="53"/>
        <v/>
      </c>
    </row>
    <row r="507" spans="1:12">
      <c r="A507" s="1" t="str">
        <f t="shared" si="54"/>
        <v/>
      </c>
      <c r="F507" s="42" t="str">
        <f t="shared" si="49"/>
        <v/>
      </c>
      <c r="G507" s="42" t="str">
        <f t="shared" si="55"/>
        <v/>
      </c>
      <c r="H507" s="43" t="str">
        <f>IF(C507="","",GETPIVOTDATA("WinPips",ProfitRpt!$A$9,"Trade Month",C507,"Trade Year",B507))</f>
        <v/>
      </c>
      <c r="I507" s="42" t="str">
        <f t="shared" si="50"/>
        <v/>
      </c>
      <c r="J507" s="43" t="str">
        <f t="shared" si="51"/>
        <v/>
      </c>
      <c r="K507" s="44" t="str">
        <f t="shared" si="52"/>
        <v/>
      </c>
      <c r="L507" s="44" t="str">
        <f t="shared" si="53"/>
        <v/>
      </c>
    </row>
    <row r="508" spans="1:12">
      <c r="A508" s="1" t="str">
        <f t="shared" si="54"/>
        <v/>
      </c>
      <c r="F508" s="42" t="str">
        <f t="shared" si="49"/>
        <v/>
      </c>
      <c r="G508" s="42" t="str">
        <f t="shared" si="55"/>
        <v/>
      </c>
      <c r="H508" s="43" t="str">
        <f>IF(C508="","",GETPIVOTDATA("WinPips",ProfitRpt!$A$9,"Trade Month",C508,"Trade Year",B508))</f>
        <v/>
      </c>
      <c r="I508" s="42" t="str">
        <f t="shared" si="50"/>
        <v/>
      </c>
      <c r="J508" s="43" t="str">
        <f t="shared" si="51"/>
        <v/>
      </c>
      <c r="K508" s="44" t="str">
        <f t="shared" si="52"/>
        <v/>
      </c>
      <c r="L508" s="44" t="str">
        <f t="shared" si="53"/>
        <v/>
      </c>
    </row>
    <row r="509" spans="1:12">
      <c r="A509" s="1" t="str">
        <f t="shared" si="54"/>
        <v/>
      </c>
      <c r="F509" s="42" t="str">
        <f t="shared" si="49"/>
        <v/>
      </c>
      <c r="G509" s="42" t="str">
        <f t="shared" si="55"/>
        <v/>
      </c>
      <c r="H509" s="43" t="str">
        <f>IF(C509="","",GETPIVOTDATA("WinPips",ProfitRpt!$A$9,"Trade Month",C509,"Trade Year",B509))</f>
        <v/>
      </c>
      <c r="I509" s="42" t="str">
        <f t="shared" si="50"/>
        <v/>
      </c>
      <c r="J509" s="43" t="str">
        <f t="shared" si="51"/>
        <v/>
      </c>
      <c r="K509" s="44" t="str">
        <f t="shared" si="52"/>
        <v/>
      </c>
      <c r="L509" s="44" t="str">
        <f t="shared" si="53"/>
        <v/>
      </c>
    </row>
    <row r="510" spans="1:12">
      <c r="A510" s="1" t="str">
        <f t="shared" si="54"/>
        <v/>
      </c>
      <c r="F510" s="42" t="str">
        <f t="shared" si="49"/>
        <v/>
      </c>
      <c r="G510" s="42" t="str">
        <f t="shared" si="55"/>
        <v/>
      </c>
      <c r="H510" s="43" t="str">
        <f>IF(C510="","",GETPIVOTDATA("WinPips",ProfitRpt!$A$9,"Trade Month",C510,"Trade Year",B510))</f>
        <v/>
      </c>
      <c r="I510" s="42" t="str">
        <f t="shared" si="50"/>
        <v/>
      </c>
      <c r="J510" s="43" t="str">
        <f t="shared" si="51"/>
        <v/>
      </c>
      <c r="K510" s="44" t="str">
        <f t="shared" si="52"/>
        <v/>
      </c>
      <c r="L510" s="44" t="str">
        <f t="shared" si="53"/>
        <v/>
      </c>
    </row>
    <row r="511" spans="1:12">
      <c r="A511" s="1" t="str">
        <f t="shared" si="54"/>
        <v/>
      </c>
      <c r="F511" s="42" t="str">
        <f t="shared" si="49"/>
        <v/>
      </c>
      <c r="G511" s="42" t="str">
        <f t="shared" si="55"/>
        <v/>
      </c>
      <c r="H511" s="43" t="str">
        <f>IF(C511="","",GETPIVOTDATA("WinPips",ProfitRpt!$A$9,"Trade Month",C511,"Trade Year",B511))</f>
        <v/>
      </c>
      <c r="I511" s="42" t="str">
        <f t="shared" si="50"/>
        <v/>
      </c>
      <c r="J511" s="43" t="str">
        <f t="shared" si="51"/>
        <v/>
      </c>
      <c r="K511" s="44" t="str">
        <f t="shared" si="52"/>
        <v/>
      </c>
      <c r="L511" s="44" t="str">
        <f t="shared" si="53"/>
        <v/>
      </c>
    </row>
    <row r="512" spans="1:12">
      <c r="A512" s="1" t="str">
        <f t="shared" si="54"/>
        <v/>
      </c>
      <c r="F512" s="42" t="str">
        <f t="shared" si="49"/>
        <v/>
      </c>
      <c r="G512" s="42" t="str">
        <f t="shared" si="55"/>
        <v/>
      </c>
      <c r="H512" s="43" t="str">
        <f>IF(C512="","",GETPIVOTDATA("WinPips",ProfitRpt!$A$9,"Trade Month",C512,"Trade Year",B512))</f>
        <v/>
      </c>
      <c r="I512" s="42" t="str">
        <f t="shared" si="50"/>
        <v/>
      </c>
      <c r="J512" s="43" t="str">
        <f t="shared" si="51"/>
        <v/>
      </c>
      <c r="K512" s="44" t="str">
        <f t="shared" si="52"/>
        <v/>
      </c>
      <c r="L512" s="44" t="str">
        <f t="shared" si="53"/>
        <v/>
      </c>
    </row>
    <row r="513" spans="1:12">
      <c r="A513" s="1" t="str">
        <f t="shared" si="54"/>
        <v/>
      </c>
      <c r="F513" s="42" t="str">
        <f t="shared" si="49"/>
        <v/>
      </c>
      <c r="G513" s="42" t="str">
        <f t="shared" si="55"/>
        <v/>
      </c>
      <c r="H513" s="43" t="str">
        <f>IF(C513="","",GETPIVOTDATA("WinPips",ProfitRpt!$A$9,"Trade Month",C513,"Trade Year",B513))</f>
        <v/>
      </c>
      <c r="I513" s="42" t="str">
        <f t="shared" si="50"/>
        <v/>
      </c>
      <c r="J513" s="43" t="str">
        <f t="shared" si="51"/>
        <v/>
      </c>
      <c r="K513" s="44" t="str">
        <f t="shared" si="52"/>
        <v/>
      </c>
      <c r="L513" s="44" t="str">
        <f t="shared" si="53"/>
        <v/>
      </c>
    </row>
    <row r="514" spans="1:12">
      <c r="A514" s="1" t="str">
        <f t="shared" si="54"/>
        <v/>
      </c>
      <c r="F514" s="42" t="str">
        <f t="shared" si="49"/>
        <v/>
      </c>
      <c r="G514" s="42" t="str">
        <f t="shared" si="55"/>
        <v/>
      </c>
      <c r="H514" s="43" t="str">
        <f>IF(C514="","",GETPIVOTDATA("WinPips",ProfitRpt!$A$9,"Trade Month",C514,"Trade Year",B514))</f>
        <v/>
      </c>
      <c r="I514" s="42" t="str">
        <f t="shared" si="50"/>
        <v/>
      </c>
      <c r="J514" s="43" t="str">
        <f t="shared" si="51"/>
        <v/>
      </c>
      <c r="K514" s="44" t="str">
        <f t="shared" si="52"/>
        <v/>
      </c>
      <c r="L514" s="44" t="str">
        <f t="shared" si="53"/>
        <v/>
      </c>
    </row>
    <row r="515" spans="1:12">
      <c r="A515" s="1" t="str">
        <f t="shared" si="54"/>
        <v/>
      </c>
      <c r="F515" s="42" t="str">
        <f t="shared" si="49"/>
        <v/>
      </c>
      <c r="G515" s="42" t="str">
        <f t="shared" si="55"/>
        <v/>
      </c>
      <c r="H515" s="43" t="str">
        <f>IF(C515="","",GETPIVOTDATA("WinPips",ProfitRpt!$A$9,"Trade Month",C515,"Trade Year",B515))</f>
        <v/>
      </c>
      <c r="I515" s="42" t="str">
        <f t="shared" si="50"/>
        <v/>
      </c>
      <c r="J515" s="43" t="str">
        <f t="shared" si="51"/>
        <v/>
      </c>
      <c r="K515" s="44" t="str">
        <f t="shared" si="52"/>
        <v/>
      </c>
      <c r="L515" s="44" t="str">
        <f t="shared" si="53"/>
        <v/>
      </c>
    </row>
    <row r="516" spans="1:12">
      <c r="A516" s="1" t="str">
        <f t="shared" si="54"/>
        <v/>
      </c>
      <c r="F516" s="42" t="str">
        <f t="shared" si="49"/>
        <v/>
      </c>
      <c r="G516" s="42" t="str">
        <f t="shared" si="55"/>
        <v/>
      </c>
      <c r="H516" s="43" t="str">
        <f>IF(C516="","",GETPIVOTDATA("WinPips",ProfitRpt!$A$9,"Trade Month",C516,"Trade Year",B516))</f>
        <v/>
      </c>
      <c r="I516" s="42" t="str">
        <f t="shared" si="50"/>
        <v/>
      </c>
      <c r="J516" s="43" t="str">
        <f t="shared" si="51"/>
        <v/>
      </c>
      <c r="K516" s="44" t="str">
        <f t="shared" si="52"/>
        <v/>
      </c>
      <c r="L516" s="44" t="str">
        <f t="shared" si="53"/>
        <v/>
      </c>
    </row>
    <row r="517" spans="1:12">
      <c r="A517" s="1" t="str">
        <f t="shared" si="54"/>
        <v/>
      </c>
      <c r="F517" s="42" t="str">
        <f t="shared" si="49"/>
        <v/>
      </c>
      <c r="G517" s="42" t="str">
        <f t="shared" si="55"/>
        <v/>
      </c>
      <c r="H517" s="43" t="str">
        <f>IF(C517="","",GETPIVOTDATA("WinPips",ProfitRpt!$A$9,"Trade Month",C517,"Trade Year",B517))</f>
        <v/>
      </c>
      <c r="I517" s="42" t="str">
        <f t="shared" si="50"/>
        <v/>
      </c>
      <c r="J517" s="43" t="str">
        <f t="shared" si="51"/>
        <v/>
      </c>
      <c r="K517" s="44" t="str">
        <f t="shared" si="52"/>
        <v/>
      </c>
      <c r="L517" s="44" t="str">
        <f t="shared" si="53"/>
        <v/>
      </c>
    </row>
    <row r="518" spans="1:12">
      <c r="A518" s="1" t="str">
        <f t="shared" si="54"/>
        <v/>
      </c>
      <c r="F518" s="42" t="str">
        <f t="shared" si="49"/>
        <v/>
      </c>
      <c r="G518" s="42" t="str">
        <f t="shared" si="55"/>
        <v/>
      </c>
      <c r="H518" s="43" t="str">
        <f>IF(C518="","",GETPIVOTDATA("WinPips",ProfitRpt!$A$9,"Trade Month",C518,"Trade Year",B518))</f>
        <v/>
      </c>
      <c r="I518" s="42" t="str">
        <f t="shared" si="50"/>
        <v/>
      </c>
      <c r="J518" s="43" t="str">
        <f t="shared" si="51"/>
        <v/>
      </c>
      <c r="K518" s="44" t="str">
        <f t="shared" si="52"/>
        <v/>
      </c>
      <c r="L518" s="44" t="str">
        <f t="shared" si="53"/>
        <v/>
      </c>
    </row>
    <row r="519" spans="1:12">
      <c r="A519" s="1" t="str">
        <f t="shared" si="54"/>
        <v/>
      </c>
      <c r="F519" s="42" t="str">
        <f t="shared" ref="F519:F582" si="56">IF(G519="","",E519+G519)</f>
        <v/>
      </c>
      <c r="G519" s="42" t="str">
        <f t="shared" si="55"/>
        <v/>
      </c>
      <c r="H519" s="43" t="str">
        <f>IF(C519="","",GETPIVOTDATA("WinPips",ProfitRpt!$A$9,"Trade Month",C519,"Trade Year",B519))</f>
        <v/>
      </c>
      <c r="I519" s="42" t="str">
        <f t="shared" ref="I519:I582" si="57">IF(B519="","",IF(B519=B518,I518+G519,G519))</f>
        <v/>
      </c>
      <c r="J519" s="43" t="str">
        <f t="shared" ref="J519:J582" si="58">IF(B519="","",IF(B518=B519,J518+H519,H519))</f>
        <v/>
      </c>
      <c r="K519" s="44" t="str">
        <f t="shared" ref="K519:K582" si="59">IF(F519="","",IF(E519="","",(F519-E519)/E519))</f>
        <v/>
      </c>
      <c r="L519" s="44" t="str">
        <f t="shared" ref="L519:L582" si="60">IF(I519="","",IF(D519="","",I519/D519) )</f>
        <v/>
      </c>
    </row>
    <row r="520" spans="1:12">
      <c r="A520" s="1" t="str">
        <f t="shared" ref="A520:A583" si="61">IF(C520="","",A519+1)</f>
        <v/>
      </c>
      <c r="F520" s="42" t="str">
        <f t="shared" si="56"/>
        <v/>
      </c>
      <c r="G520" s="42" t="str">
        <f t="shared" ref="G520:G583" si="62">IF(C520="","",H520/10)</f>
        <v/>
      </c>
      <c r="H520" s="43" t="str">
        <f>IF(C520="","",GETPIVOTDATA("WinPips",ProfitRpt!$A$9,"Trade Month",C520,"Trade Year",B520))</f>
        <v/>
      </c>
      <c r="I520" s="42" t="str">
        <f t="shared" si="57"/>
        <v/>
      </c>
      <c r="J520" s="43" t="str">
        <f t="shared" si="58"/>
        <v/>
      </c>
      <c r="K520" s="44" t="str">
        <f t="shared" si="59"/>
        <v/>
      </c>
      <c r="L520" s="44" t="str">
        <f t="shared" si="60"/>
        <v/>
      </c>
    </row>
    <row r="521" spans="1:12">
      <c r="A521" s="1" t="str">
        <f t="shared" si="61"/>
        <v/>
      </c>
      <c r="F521" s="42" t="str">
        <f t="shared" si="56"/>
        <v/>
      </c>
      <c r="G521" s="42" t="str">
        <f t="shared" si="62"/>
        <v/>
      </c>
      <c r="H521" s="43" t="str">
        <f>IF(C521="","",GETPIVOTDATA("WinPips",ProfitRpt!$A$9,"Trade Month",C521,"Trade Year",B521))</f>
        <v/>
      </c>
      <c r="I521" s="42" t="str">
        <f t="shared" si="57"/>
        <v/>
      </c>
      <c r="J521" s="43" t="str">
        <f t="shared" si="58"/>
        <v/>
      </c>
      <c r="K521" s="44" t="str">
        <f t="shared" si="59"/>
        <v/>
      </c>
      <c r="L521" s="44" t="str">
        <f t="shared" si="60"/>
        <v/>
      </c>
    </row>
    <row r="522" spans="1:12">
      <c r="A522" s="1" t="str">
        <f t="shared" si="61"/>
        <v/>
      </c>
      <c r="F522" s="42" t="str">
        <f t="shared" si="56"/>
        <v/>
      </c>
      <c r="G522" s="42" t="str">
        <f t="shared" si="62"/>
        <v/>
      </c>
      <c r="H522" s="43" t="str">
        <f>IF(C522="","",GETPIVOTDATA("WinPips",ProfitRpt!$A$9,"Trade Month",C522,"Trade Year",B522))</f>
        <v/>
      </c>
      <c r="I522" s="42" t="str">
        <f t="shared" si="57"/>
        <v/>
      </c>
      <c r="J522" s="43" t="str">
        <f t="shared" si="58"/>
        <v/>
      </c>
      <c r="K522" s="44" t="str">
        <f t="shared" si="59"/>
        <v/>
      </c>
      <c r="L522" s="44" t="str">
        <f t="shared" si="60"/>
        <v/>
      </c>
    </row>
    <row r="523" spans="1:12">
      <c r="A523" s="1" t="str">
        <f t="shared" si="61"/>
        <v/>
      </c>
      <c r="F523" s="42" t="str">
        <f t="shared" si="56"/>
        <v/>
      </c>
      <c r="G523" s="42" t="str">
        <f t="shared" si="62"/>
        <v/>
      </c>
      <c r="H523" s="43" t="str">
        <f>IF(C523="","",GETPIVOTDATA("WinPips",ProfitRpt!$A$9,"Trade Month",C523,"Trade Year",B523))</f>
        <v/>
      </c>
      <c r="I523" s="42" t="str">
        <f t="shared" si="57"/>
        <v/>
      </c>
      <c r="J523" s="43" t="str">
        <f t="shared" si="58"/>
        <v/>
      </c>
      <c r="K523" s="44" t="str">
        <f t="shared" si="59"/>
        <v/>
      </c>
      <c r="L523" s="44" t="str">
        <f t="shared" si="60"/>
        <v/>
      </c>
    </row>
    <row r="524" spans="1:12">
      <c r="A524" s="1" t="str">
        <f t="shared" si="61"/>
        <v/>
      </c>
      <c r="F524" s="42" t="str">
        <f t="shared" si="56"/>
        <v/>
      </c>
      <c r="G524" s="42" t="str">
        <f t="shared" si="62"/>
        <v/>
      </c>
      <c r="H524" s="43" t="str">
        <f>IF(C524="","",GETPIVOTDATA("WinPips",ProfitRpt!$A$9,"Trade Month",C524,"Trade Year",B524))</f>
        <v/>
      </c>
      <c r="I524" s="42" t="str">
        <f t="shared" si="57"/>
        <v/>
      </c>
      <c r="J524" s="43" t="str">
        <f t="shared" si="58"/>
        <v/>
      </c>
      <c r="K524" s="44" t="str">
        <f t="shared" si="59"/>
        <v/>
      </c>
      <c r="L524" s="44" t="str">
        <f t="shared" si="60"/>
        <v/>
      </c>
    </row>
    <row r="525" spans="1:12">
      <c r="A525" s="1" t="str">
        <f t="shared" si="61"/>
        <v/>
      </c>
      <c r="F525" s="42" t="str">
        <f t="shared" si="56"/>
        <v/>
      </c>
      <c r="G525" s="42" t="str">
        <f t="shared" si="62"/>
        <v/>
      </c>
      <c r="H525" s="43" t="str">
        <f>IF(C525="","",GETPIVOTDATA("WinPips",ProfitRpt!$A$9,"Trade Month",C525,"Trade Year",B525))</f>
        <v/>
      </c>
      <c r="I525" s="42" t="str">
        <f t="shared" si="57"/>
        <v/>
      </c>
      <c r="J525" s="43" t="str">
        <f t="shared" si="58"/>
        <v/>
      </c>
      <c r="K525" s="44" t="str">
        <f t="shared" si="59"/>
        <v/>
      </c>
      <c r="L525" s="44" t="str">
        <f t="shared" si="60"/>
        <v/>
      </c>
    </row>
    <row r="526" spans="1:12">
      <c r="A526" s="1" t="str">
        <f t="shared" si="61"/>
        <v/>
      </c>
      <c r="F526" s="42" t="str">
        <f t="shared" si="56"/>
        <v/>
      </c>
      <c r="G526" s="42" t="str">
        <f t="shared" si="62"/>
        <v/>
      </c>
      <c r="H526" s="43" t="str">
        <f>IF(C526="","",GETPIVOTDATA("WinPips",ProfitRpt!$A$9,"Trade Month",C526,"Trade Year",B526))</f>
        <v/>
      </c>
      <c r="I526" s="42" t="str">
        <f t="shared" si="57"/>
        <v/>
      </c>
      <c r="J526" s="43" t="str">
        <f t="shared" si="58"/>
        <v/>
      </c>
      <c r="K526" s="44" t="str">
        <f t="shared" si="59"/>
        <v/>
      </c>
      <c r="L526" s="44" t="str">
        <f t="shared" si="60"/>
        <v/>
      </c>
    </row>
    <row r="527" spans="1:12">
      <c r="A527" s="1" t="str">
        <f t="shared" si="61"/>
        <v/>
      </c>
      <c r="F527" s="42" t="str">
        <f t="shared" si="56"/>
        <v/>
      </c>
      <c r="G527" s="42" t="str">
        <f t="shared" si="62"/>
        <v/>
      </c>
      <c r="H527" s="43" t="str">
        <f>IF(C527="","",GETPIVOTDATA("WinPips",ProfitRpt!$A$9,"Trade Month",C527,"Trade Year",B527))</f>
        <v/>
      </c>
      <c r="I527" s="42" t="str">
        <f t="shared" si="57"/>
        <v/>
      </c>
      <c r="J527" s="43" t="str">
        <f t="shared" si="58"/>
        <v/>
      </c>
      <c r="K527" s="44" t="str">
        <f t="shared" si="59"/>
        <v/>
      </c>
      <c r="L527" s="44" t="str">
        <f t="shared" si="60"/>
        <v/>
      </c>
    </row>
    <row r="528" spans="1:12">
      <c r="A528" s="1" t="str">
        <f t="shared" si="61"/>
        <v/>
      </c>
      <c r="F528" s="42" t="str">
        <f t="shared" si="56"/>
        <v/>
      </c>
      <c r="G528" s="42" t="str">
        <f t="shared" si="62"/>
        <v/>
      </c>
      <c r="H528" s="43" t="str">
        <f>IF(C528="","",GETPIVOTDATA("WinPips",ProfitRpt!$A$9,"Trade Month",C528,"Trade Year",B528))</f>
        <v/>
      </c>
      <c r="I528" s="42" t="str">
        <f t="shared" si="57"/>
        <v/>
      </c>
      <c r="J528" s="43" t="str">
        <f t="shared" si="58"/>
        <v/>
      </c>
      <c r="K528" s="44" t="str">
        <f t="shared" si="59"/>
        <v/>
      </c>
      <c r="L528" s="44" t="str">
        <f t="shared" si="60"/>
        <v/>
      </c>
    </row>
    <row r="529" spans="1:12">
      <c r="A529" s="1" t="str">
        <f t="shared" si="61"/>
        <v/>
      </c>
      <c r="F529" s="42" t="str">
        <f t="shared" si="56"/>
        <v/>
      </c>
      <c r="G529" s="42" t="str">
        <f t="shared" si="62"/>
        <v/>
      </c>
      <c r="H529" s="43" t="str">
        <f>IF(C529="","",GETPIVOTDATA("WinPips",ProfitRpt!$A$9,"Trade Month",C529,"Trade Year",B529))</f>
        <v/>
      </c>
      <c r="I529" s="42" t="str">
        <f t="shared" si="57"/>
        <v/>
      </c>
      <c r="J529" s="43" t="str">
        <f t="shared" si="58"/>
        <v/>
      </c>
      <c r="K529" s="44" t="str">
        <f t="shared" si="59"/>
        <v/>
      </c>
      <c r="L529" s="44" t="str">
        <f t="shared" si="60"/>
        <v/>
      </c>
    </row>
    <row r="530" spans="1:12">
      <c r="A530" s="1" t="str">
        <f t="shared" si="61"/>
        <v/>
      </c>
      <c r="F530" s="42" t="str">
        <f t="shared" si="56"/>
        <v/>
      </c>
      <c r="G530" s="42" t="str">
        <f t="shared" si="62"/>
        <v/>
      </c>
      <c r="H530" s="43" t="str">
        <f>IF(C530="","",GETPIVOTDATA("WinPips",ProfitRpt!$A$9,"Trade Month",C530,"Trade Year",B530))</f>
        <v/>
      </c>
      <c r="I530" s="42" t="str">
        <f t="shared" si="57"/>
        <v/>
      </c>
      <c r="J530" s="43" t="str">
        <f t="shared" si="58"/>
        <v/>
      </c>
      <c r="K530" s="44" t="str">
        <f t="shared" si="59"/>
        <v/>
      </c>
      <c r="L530" s="44" t="str">
        <f t="shared" si="60"/>
        <v/>
      </c>
    </row>
    <row r="531" spans="1:12">
      <c r="A531" s="1" t="str">
        <f t="shared" si="61"/>
        <v/>
      </c>
      <c r="F531" s="42" t="str">
        <f t="shared" si="56"/>
        <v/>
      </c>
      <c r="G531" s="42" t="str">
        <f t="shared" si="62"/>
        <v/>
      </c>
      <c r="H531" s="43" t="str">
        <f>IF(C531="","",GETPIVOTDATA("WinPips",ProfitRpt!$A$9,"Trade Month",C531,"Trade Year",B531))</f>
        <v/>
      </c>
      <c r="I531" s="42" t="str">
        <f t="shared" si="57"/>
        <v/>
      </c>
      <c r="J531" s="43" t="str">
        <f t="shared" si="58"/>
        <v/>
      </c>
      <c r="K531" s="44" t="str">
        <f t="shared" si="59"/>
        <v/>
      </c>
      <c r="L531" s="44" t="str">
        <f t="shared" si="60"/>
        <v/>
      </c>
    </row>
    <row r="532" spans="1:12">
      <c r="A532" s="1" t="str">
        <f t="shared" si="61"/>
        <v/>
      </c>
      <c r="F532" s="42" t="str">
        <f t="shared" si="56"/>
        <v/>
      </c>
      <c r="G532" s="42" t="str">
        <f t="shared" si="62"/>
        <v/>
      </c>
      <c r="H532" s="43" t="str">
        <f>IF(C532="","",GETPIVOTDATA("WinPips",ProfitRpt!$A$9,"Trade Month",C532,"Trade Year",B532))</f>
        <v/>
      </c>
      <c r="I532" s="42" t="str">
        <f t="shared" si="57"/>
        <v/>
      </c>
      <c r="J532" s="43" t="str">
        <f t="shared" si="58"/>
        <v/>
      </c>
      <c r="K532" s="44" t="str">
        <f t="shared" si="59"/>
        <v/>
      </c>
      <c r="L532" s="44" t="str">
        <f t="shared" si="60"/>
        <v/>
      </c>
    </row>
    <row r="533" spans="1:12">
      <c r="A533" s="1" t="str">
        <f t="shared" si="61"/>
        <v/>
      </c>
      <c r="F533" s="42" t="str">
        <f t="shared" si="56"/>
        <v/>
      </c>
      <c r="G533" s="42" t="str">
        <f t="shared" si="62"/>
        <v/>
      </c>
      <c r="H533" s="43" t="str">
        <f>IF(C533="","",GETPIVOTDATA("WinPips",ProfitRpt!$A$9,"Trade Month",C533,"Trade Year",B533))</f>
        <v/>
      </c>
      <c r="I533" s="42" t="str">
        <f t="shared" si="57"/>
        <v/>
      </c>
      <c r="J533" s="43" t="str">
        <f t="shared" si="58"/>
        <v/>
      </c>
      <c r="K533" s="44" t="str">
        <f t="shared" si="59"/>
        <v/>
      </c>
      <c r="L533" s="44" t="str">
        <f t="shared" si="60"/>
        <v/>
      </c>
    </row>
    <row r="534" spans="1:12">
      <c r="A534" s="1" t="str">
        <f t="shared" si="61"/>
        <v/>
      </c>
      <c r="F534" s="42" t="str">
        <f t="shared" si="56"/>
        <v/>
      </c>
      <c r="G534" s="42" t="str">
        <f t="shared" si="62"/>
        <v/>
      </c>
      <c r="H534" s="43" t="str">
        <f>IF(C534="","",GETPIVOTDATA("WinPips",ProfitRpt!$A$9,"Trade Month",C534,"Trade Year",B534))</f>
        <v/>
      </c>
      <c r="I534" s="42" t="str">
        <f t="shared" si="57"/>
        <v/>
      </c>
      <c r="J534" s="43" t="str">
        <f t="shared" si="58"/>
        <v/>
      </c>
      <c r="K534" s="44" t="str">
        <f t="shared" si="59"/>
        <v/>
      </c>
      <c r="L534" s="44" t="str">
        <f t="shared" si="60"/>
        <v/>
      </c>
    </row>
    <row r="535" spans="1:12">
      <c r="A535" s="1" t="str">
        <f t="shared" si="61"/>
        <v/>
      </c>
      <c r="F535" s="42" t="str">
        <f t="shared" si="56"/>
        <v/>
      </c>
      <c r="G535" s="42" t="str">
        <f t="shared" si="62"/>
        <v/>
      </c>
      <c r="H535" s="43" t="str">
        <f>IF(C535="","",GETPIVOTDATA("WinPips",ProfitRpt!$A$9,"Trade Month",C535,"Trade Year",B535))</f>
        <v/>
      </c>
      <c r="I535" s="42" t="str">
        <f t="shared" si="57"/>
        <v/>
      </c>
      <c r="J535" s="43" t="str">
        <f t="shared" si="58"/>
        <v/>
      </c>
      <c r="K535" s="44" t="str">
        <f t="shared" si="59"/>
        <v/>
      </c>
      <c r="L535" s="44" t="str">
        <f t="shared" si="60"/>
        <v/>
      </c>
    </row>
    <row r="536" spans="1:12">
      <c r="A536" s="1" t="str">
        <f t="shared" si="61"/>
        <v/>
      </c>
      <c r="F536" s="42" t="str">
        <f t="shared" si="56"/>
        <v/>
      </c>
      <c r="G536" s="42" t="str">
        <f t="shared" si="62"/>
        <v/>
      </c>
      <c r="H536" s="43" t="str">
        <f>IF(C536="","",GETPIVOTDATA("WinPips",ProfitRpt!$A$9,"Trade Month",C536,"Trade Year",B536))</f>
        <v/>
      </c>
      <c r="I536" s="42" t="str">
        <f t="shared" si="57"/>
        <v/>
      </c>
      <c r="J536" s="43" t="str">
        <f t="shared" si="58"/>
        <v/>
      </c>
      <c r="K536" s="44" t="str">
        <f t="shared" si="59"/>
        <v/>
      </c>
      <c r="L536" s="44" t="str">
        <f t="shared" si="60"/>
        <v/>
      </c>
    </row>
    <row r="537" spans="1:12">
      <c r="A537" s="1" t="str">
        <f t="shared" si="61"/>
        <v/>
      </c>
      <c r="F537" s="42" t="str">
        <f t="shared" si="56"/>
        <v/>
      </c>
      <c r="G537" s="42" t="str">
        <f t="shared" si="62"/>
        <v/>
      </c>
      <c r="H537" s="43" t="str">
        <f>IF(C537="","",GETPIVOTDATA("WinPips",ProfitRpt!$A$9,"Trade Month",C537,"Trade Year",B537))</f>
        <v/>
      </c>
      <c r="I537" s="42" t="str">
        <f t="shared" si="57"/>
        <v/>
      </c>
      <c r="J537" s="43" t="str">
        <f t="shared" si="58"/>
        <v/>
      </c>
      <c r="K537" s="44" t="str">
        <f t="shared" si="59"/>
        <v/>
      </c>
      <c r="L537" s="44" t="str">
        <f t="shared" si="60"/>
        <v/>
      </c>
    </row>
    <row r="538" spans="1:12">
      <c r="A538" s="1" t="str">
        <f t="shared" si="61"/>
        <v/>
      </c>
      <c r="F538" s="42" t="str">
        <f t="shared" si="56"/>
        <v/>
      </c>
      <c r="G538" s="42" t="str">
        <f t="shared" si="62"/>
        <v/>
      </c>
      <c r="H538" s="43" t="str">
        <f>IF(C538="","",GETPIVOTDATA("WinPips",ProfitRpt!$A$9,"Trade Month",C538,"Trade Year",B538))</f>
        <v/>
      </c>
      <c r="I538" s="42" t="str">
        <f t="shared" si="57"/>
        <v/>
      </c>
      <c r="J538" s="43" t="str">
        <f t="shared" si="58"/>
        <v/>
      </c>
      <c r="K538" s="44" t="str">
        <f t="shared" si="59"/>
        <v/>
      </c>
      <c r="L538" s="44" t="str">
        <f t="shared" si="60"/>
        <v/>
      </c>
    </row>
    <row r="539" spans="1:12">
      <c r="A539" s="1" t="str">
        <f t="shared" si="61"/>
        <v/>
      </c>
      <c r="F539" s="42" t="str">
        <f t="shared" si="56"/>
        <v/>
      </c>
      <c r="G539" s="42" t="str">
        <f t="shared" si="62"/>
        <v/>
      </c>
      <c r="H539" s="43" t="str">
        <f>IF(C539="","",GETPIVOTDATA("WinPips",ProfitRpt!$A$9,"Trade Month",C539,"Trade Year",B539))</f>
        <v/>
      </c>
      <c r="I539" s="42" t="str">
        <f t="shared" si="57"/>
        <v/>
      </c>
      <c r="J539" s="43" t="str">
        <f t="shared" si="58"/>
        <v/>
      </c>
      <c r="K539" s="44" t="str">
        <f t="shared" si="59"/>
        <v/>
      </c>
      <c r="L539" s="44" t="str">
        <f t="shared" si="60"/>
        <v/>
      </c>
    </row>
    <row r="540" spans="1:12">
      <c r="A540" s="1" t="str">
        <f t="shared" si="61"/>
        <v/>
      </c>
      <c r="F540" s="42" t="str">
        <f t="shared" si="56"/>
        <v/>
      </c>
      <c r="G540" s="42" t="str">
        <f t="shared" si="62"/>
        <v/>
      </c>
      <c r="H540" s="43" t="str">
        <f>IF(C540="","",GETPIVOTDATA("WinPips",ProfitRpt!$A$9,"Trade Month",C540,"Trade Year",B540))</f>
        <v/>
      </c>
      <c r="I540" s="42" t="str">
        <f t="shared" si="57"/>
        <v/>
      </c>
      <c r="J540" s="43" t="str">
        <f t="shared" si="58"/>
        <v/>
      </c>
      <c r="K540" s="44" t="str">
        <f t="shared" si="59"/>
        <v/>
      </c>
      <c r="L540" s="44" t="str">
        <f t="shared" si="60"/>
        <v/>
      </c>
    </row>
    <row r="541" spans="1:12">
      <c r="A541" s="1" t="str">
        <f t="shared" si="61"/>
        <v/>
      </c>
      <c r="F541" s="42" t="str">
        <f t="shared" si="56"/>
        <v/>
      </c>
      <c r="G541" s="42" t="str">
        <f t="shared" si="62"/>
        <v/>
      </c>
      <c r="H541" s="43" t="str">
        <f>IF(C541="","",GETPIVOTDATA("WinPips",ProfitRpt!$A$9,"Trade Month",C541,"Trade Year",B541))</f>
        <v/>
      </c>
      <c r="I541" s="42" t="str">
        <f t="shared" si="57"/>
        <v/>
      </c>
      <c r="J541" s="43" t="str">
        <f t="shared" si="58"/>
        <v/>
      </c>
      <c r="K541" s="44" t="str">
        <f t="shared" si="59"/>
        <v/>
      </c>
      <c r="L541" s="44" t="str">
        <f t="shared" si="60"/>
        <v/>
      </c>
    </row>
    <row r="542" spans="1:12">
      <c r="A542" s="1" t="str">
        <f t="shared" si="61"/>
        <v/>
      </c>
      <c r="F542" s="42" t="str">
        <f t="shared" si="56"/>
        <v/>
      </c>
      <c r="G542" s="42" t="str">
        <f t="shared" si="62"/>
        <v/>
      </c>
      <c r="H542" s="43" t="str">
        <f>IF(C542="","",GETPIVOTDATA("WinPips",ProfitRpt!$A$9,"Trade Month",C542,"Trade Year",B542))</f>
        <v/>
      </c>
      <c r="I542" s="42" t="str">
        <f t="shared" si="57"/>
        <v/>
      </c>
      <c r="J542" s="43" t="str">
        <f t="shared" si="58"/>
        <v/>
      </c>
      <c r="K542" s="44" t="str">
        <f t="shared" si="59"/>
        <v/>
      </c>
      <c r="L542" s="44" t="str">
        <f t="shared" si="60"/>
        <v/>
      </c>
    </row>
    <row r="543" spans="1:12">
      <c r="A543" s="1" t="str">
        <f t="shared" si="61"/>
        <v/>
      </c>
      <c r="F543" s="42" t="str">
        <f t="shared" si="56"/>
        <v/>
      </c>
      <c r="G543" s="42" t="str">
        <f t="shared" si="62"/>
        <v/>
      </c>
      <c r="H543" s="43" t="str">
        <f>IF(C543="","",GETPIVOTDATA("WinPips",ProfitRpt!$A$9,"Trade Month",C543,"Trade Year",B543))</f>
        <v/>
      </c>
      <c r="I543" s="42" t="str">
        <f t="shared" si="57"/>
        <v/>
      </c>
      <c r="J543" s="43" t="str">
        <f t="shared" si="58"/>
        <v/>
      </c>
      <c r="K543" s="44" t="str">
        <f t="shared" si="59"/>
        <v/>
      </c>
      <c r="L543" s="44" t="str">
        <f t="shared" si="60"/>
        <v/>
      </c>
    </row>
    <row r="544" spans="1:12">
      <c r="A544" s="1" t="str">
        <f t="shared" si="61"/>
        <v/>
      </c>
      <c r="F544" s="42" t="str">
        <f t="shared" si="56"/>
        <v/>
      </c>
      <c r="G544" s="42" t="str">
        <f t="shared" si="62"/>
        <v/>
      </c>
      <c r="H544" s="43" t="str">
        <f>IF(C544="","",GETPIVOTDATA("WinPips",ProfitRpt!$A$9,"Trade Month",C544,"Trade Year",B544))</f>
        <v/>
      </c>
      <c r="I544" s="42" t="str">
        <f t="shared" si="57"/>
        <v/>
      </c>
      <c r="J544" s="43" t="str">
        <f t="shared" si="58"/>
        <v/>
      </c>
      <c r="K544" s="44" t="str">
        <f t="shared" si="59"/>
        <v/>
      </c>
      <c r="L544" s="44" t="str">
        <f t="shared" si="60"/>
        <v/>
      </c>
    </row>
    <row r="545" spans="1:12">
      <c r="A545" s="1" t="str">
        <f t="shared" si="61"/>
        <v/>
      </c>
      <c r="F545" s="42" t="str">
        <f t="shared" si="56"/>
        <v/>
      </c>
      <c r="G545" s="42" t="str">
        <f t="shared" si="62"/>
        <v/>
      </c>
      <c r="H545" s="43" t="str">
        <f>IF(C545="","",GETPIVOTDATA("WinPips",ProfitRpt!$A$9,"Trade Month",C545,"Trade Year",B545))</f>
        <v/>
      </c>
      <c r="I545" s="42" t="str">
        <f t="shared" si="57"/>
        <v/>
      </c>
      <c r="J545" s="43" t="str">
        <f t="shared" si="58"/>
        <v/>
      </c>
      <c r="K545" s="44" t="str">
        <f t="shared" si="59"/>
        <v/>
      </c>
      <c r="L545" s="44" t="str">
        <f t="shared" si="60"/>
        <v/>
      </c>
    </row>
    <row r="546" spans="1:12">
      <c r="A546" s="1" t="str">
        <f t="shared" si="61"/>
        <v/>
      </c>
      <c r="F546" s="42" t="str">
        <f t="shared" si="56"/>
        <v/>
      </c>
      <c r="G546" s="42" t="str">
        <f t="shared" si="62"/>
        <v/>
      </c>
      <c r="H546" s="43" t="str">
        <f>IF(C546="","",GETPIVOTDATA("WinPips",ProfitRpt!$A$9,"Trade Month",C546,"Trade Year",B546))</f>
        <v/>
      </c>
      <c r="I546" s="42" t="str">
        <f t="shared" si="57"/>
        <v/>
      </c>
      <c r="J546" s="43" t="str">
        <f t="shared" si="58"/>
        <v/>
      </c>
      <c r="K546" s="44" t="str">
        <f t="shared" si="59"/>
        <v/>
      </c>
      <c r="L546" s="44" t="str">
        <f t="shared" si="60"/>
        <v/>
      </c>
    </row>
    <row r="547" spans="1:12">
      <c r="A547" s="1" t="str">
        <f t="shared" si="61"/>
        <v/>
      </c>
      <c r="F547" s="42" t="str">
        <f t="shared" si="56"/>
        <v/>
      </c>
      <c r="G547" s="42" t="str">
        <f t="shared" si="62"/>
        <v/>
      </c>
      <c r="H547" s="43" t="str">
        <f>IF(C547="","",GETPIVOTDATA("WinPips",ProfitRpt!$A$9,"Trade Month",C547,"Trade Year",B547))</f>
        <v/>
      </c>
      <c r="I547" s="42" t="str">
        <f t="shared" si="57"/>
        <v/>
      </c>
      <c r="J547" s="43" t="str">
        <f t="shared" si="58"/>
        <v/>
      </c>
      <c r="K547" s="44" t="str">
        <f t="shared" si="59"/>
        <v/>
      </c>
      <c r="L547" s="44" t="str">
        <f t="shared" si="60"/>
        <v/>
      </c>
    </row>
    <row r="548" spans="1:12">
      <c r="A548" s="1" t="str">
        <f t="shared" si="61"/>
        <v/>
      </c>
      <c r="F548" s="42" t="str">
        <f t="shared" si="56"/>
        <v/>
      </c>
      <c r="G548" s="42" t="str">
        <f t="shared" si="62"/>
        <v/>
      </c>
      <c r="H548" s="43" t="str">
        <f>IF(C548="","",GETPIVOTDATA("WinPips",ProfitRpt!$A$9,"Trade Month",C548,"Trade Year",B548))</f>
        <v/>
      </c>
      <c r="I548" s="42" t="str">
        <f t="shared" si="57"/>
        <v/>
      </c>
      <c r="J548" s="43" t="str">
        <f t="shared" si="58"/>
        <v/>
      </c>
      <c r="K548" s="44" t="str">
        <f t="shared" si="59"/>
        <v/>
      </c>
      <c r="L548" s="44" t="str">
        <f t="shared" si="60"/>
        <v/>
      </c>
    </row>
    <row r="549" spans="1:12">
      <c r="A549" s="1" t="str">
        <f t="shared" si="61"/>
        <v/>
      </c>
      <c r="F549" s="42" t="str">
        <f t="shared" si="56"/>
        <v/>
      </c>
      <c r="G549" s="42" t="str">
        <f t="shared" si="62"/>
        <v/>
      </c>
      <c r="H549" s="43" t="str">
        <f>IF(C549="","",GETPIVOTDATA("WinPips",ProfitRpt!$A$9,"Trade Month",C549,"Trade Year",B549))</f>
        <v/>
      </c>
      <c r="I549" s="42" t="str">
        <f t="shared" si="57"/>
        <v/>
      </c>
      <c r="J549" s="43" t="str">
        <f t="shared" si="58"/>
        <v/>
      </c>
      <c r="K549" s="44" t="str">
        <f t="shared" si="59"/>
        <v/>
      </c>
      <c r="L549" s="44" t="str">
        <f t="shared" si="60"/>
        <v/>
      </c>
    </row>
    <row r="550" spans="1:12">
      <c r="A550" s="1" t="str">
        <f t="shared" si="61"/>
        <v/>
      </c>
      <c r="F550" s="42" t="str">
        <f t="shared" si="56"/>
        <v/>
      </c>
      <c r="G550" s="42" t="str">
        <f t="shared" si="62"/>
        <v/>
      </c>
      <c r="H550" s="43" t="str">
        <f>IF(C550="","",GETPIVOTDATA("WinPips",ProfitRpt!$A$9,"Trade Month",C550,"Trade Year",B550))</f>
        <v/>
      </c>
      <c r="I550" s="42" t="str">
        <f t="shared" si="57"/>
        <v/>
      </c>
      <c r="J550" s="43" t="str">
        <f t="shared" si="58"/>
        <v/>
      </c>
      <c r="K550" s="44" t="str">
        <f t="shared" si="59"/>
        <v/>
      </c>
      <c r="L550" s="44" t="str">
        <f t="shared" si="60"/>
        <v/>
      </c>
    </row>
    <row r="551" spans="1:12">
      <c r="A551" s="1" t="str">
        <f t="shared" si="61"/>
        <v/>
      </c>
      <c r="F551" s="42" t="str">
        <f t="shared" si="56"/>
        <v/>
      </c>
      <c r="G551" s="42" t="str">
        <f t="shared" si="62"/>
        <v/>
      </c>
      <c r="H551" s="43" t="str">
        <f>IF(C551="","",GETPIVOTDATA("WinPips",ProfitRpt!$A$9,"Trade Month",C551,"Trade Year",B551))</f>
        <v/>
      </c>
      <c r="I551" s="42" t="str">
        <f t="shared" si="57"/>
        <v/>
      </c>
      <c r="J551" s="43" t="str">
        <f t="shared" si="58"/>
        <v/>
      </c>
      <c r="K551" s="44" t="str">
        <f t="shared" si="59"/>
        <v/>
      </c>
      <c r="L551" s="44" t="str">
        <f t="shared" si="60"/>
        <v/>
      </c>
    </row>
    <row r="552" spans="1:12">
      <c r="A552" s="1" t="str">
        <f t="shared" si="61"/>
        <v/>
      </c>
      <c r="F552" s="42" t="str">
        <f t="shared" si="56"/>
        <v/>
      </c>
      <c r="G552" s="42" t="str">
        <f t="shared" si="62"/>
        <v/>
      </c>
      <c r="H552" s="43" t="str">
        <f>IF(C552="","",GETPIVOTDATA("WinPips",ProfitRpt!$A$9,"Trade Month",C552,"Trade Year",B552))</f>
        <v/>
      </c>
      <c r="I552" s="42" t="str">
        <f t="shared" si="57"/>
        <v/>
      </c>
      <c r="J552" s="43" t="str">
        <f t="shared" si="58"/>
        <v/>
      </c>
      <c r="K552" s="44" t="str">
        <f t="shared" si="59"/>
        <v/>
      </c>
      <c r="L552" s="44" t="str">
        <f t="shared" si="60"/>
        <v/>
      </c>
    </row>
    <row r="553" spans="1:12">
      <c r="A553" s="1" t="str">
        <f t="shared" si="61"/>
        <v/>
      </c>
      <c r="F553" s="42" t="str">
        <f t="shared" si="56"/>
        <v/>
      </c>
      <c r="G553" s="42" t="str">
        <f t="shared" si="62"/>
        <v/>
      </c>
      <c r="H553" s="43" t="str">
        <f>IF(C553="","",GETPIVOTDATA("WinPips",ProfitRpt!$A$9,"Trade Month",C553,"Trade Year",B553))</f>
        <v/>
      </c>
      <c r="I553" s="42" t="str">
        <f t="shared" si="57"/>
        <v/>
      </c>
      <c r="J553" s="43" t="str">
        <f t="shared" si="58"/>
        <v/>
      </c>
      <c r="K553" s="44" t="str">
        <f t="shared" si="59"/>
        <v/>
      </c>
      <c r="L553" s="44" t="str">
        <f t="shared" si="60"/>
        <v/>
      </c>
    </row>
    <row r="554" spans="1:12">
      <c r="A554" s="1" t="str">
        <f t="shared" si="61"/>
        <v/>
      </c>
      <c r="F554" s="42" t="str">
        <f t="shared" si="56"/>
        <v/>
      </c>
      <c r="G554" s="42" t="str">
        <f t="shared" si="62"/>
        <v/>
      </c>
      <c r="H554" s="43" t="str">
        <f>IF(C554="","",GETPIVOTDATA("WinPips",ProfitRpt!$A$9,"Trade Month",C554,"Trade Year",B554))</f>
        <v/>
      </c>
      <c r="I554" s="42" t="str">
        <f t="shared" si="57"/>
        <v/>
      </c>
      <c r="J554" s="43" t="str">
        <f t="shared" si="58"/>
        <v/>
      </c>
      <c r="K554" s="44" t="str">
        <f t="shared" si="59"/>
        <v/>
      </c>
      <c r="L554" s="44" t="str">
        <f t="shared" si="60"/>
        <v/>
      </c>
    </row>
    <row r="555" spans="1:12">
      <c r="A555" s="1" t="str">
        <f t="shared" si="61"/>
        <v/>
      </c>
      <c r="F555" s="42" t="str">
        <f t="shared" si="56"/>
        <v/>
      </c>
      <c r="G555" s="42" t="str">
        <f t="shared" si="62"/>
        <v/>
      </c>
      <c r="H555" s="43" t="str">
        <f>IF(C555="","",GETPIVOTDATA("WinPips",ProfitRpt!$A$9,"Trade Month",C555,"Trade Year",B555))</f>
        <v/>
      </c>
      <c r="I555" s="42" t="str">
        <f t="shared" si="57"/>
        <v/>
      </c>
      <c r="J555" s="43" t="str">
        <f t="shared" si="58"/>
        <v/>
      </c>
      <c r="K555" s="44" t="str">
        <f t="shared" si="59"/>
        <v/>
      </c>
      <c r="L555" s="44" t="str">
        <f t="shared" si="60"/>
        <v/>
      </c>
    </row>
    <row r="556" spans="1:12">
      <c r="A556" s="1" t="str">
        <f t="shared" si="61"/>
        <v/>
      </c>
      <c r="F556" s="42" t="str">
        <f t="shared" si="56"/>
        <v/>
      </c>
      <c r="G556" s="42" t="str">
        <f t="shared" si="62"/>
        <v/>
      </c>
      <c r="H556" s="43" t="str">
        <f>IF(C556="","",GETPIVOTDATA("WinPips",ProfitRpt!$A$9,"Trade Month",C556,"Trade Year",B556))</f>
        <v/>
      </c>
      <c r="I556" s="42" t="str">
        <f t="shared" si="57"/>
        <v/>
      </c>
      <c r="J556" s="43" t="str">
        <f t="shared" si="58"/>
        <v/>
      </c>
      <c r="K556" s="44" t="str">
        <f t="shared" si="59"/>
        <v/>
      </c>
      <c r="L556" s="44" t="str">
        <f t="shared" si="60"/>
        <v/>
      </c>
    </row>
    <row r="557" spans="1:12">
      <c r="A557" s="1" t="str">
        <f t="shared" si="61"/>
        <v/>
      </c>
      <c r="F557" s="42" t="str">
        <f t="shared" si="56"/>
        <v/>
      </c>
      <c r="G557" s="42" t="str">
        <f t="shared" si="62"/>
        <v/>
      </c>
      <c r="H557" s="43" t="str">
        <f>IF(C557="","",GETPIVOTDATA("WinPips",ProfitRpt!$A$9,"Trade Month",C557,"Trade Year",B557))</f>
        <v/>
      </c>
      <c r="I557" s="42" t="str">
        <f t="shared" si="57"/>
        <v/>
      </c>
      <c r="J557" s="43" t="str">
        <f t="shared" si="58"/>
        <v/>
      </c>
      <c r="K557" s="44" t="str">
        <f t="shared" si="59"/>
        <v/>
      </c>
      <c r="L557" s="44" t="str">
        <f t="shared" si="60"/>
        <v/>
      </c>
    </row>
    <row r="558" spans="1:12">
      <c r="A558" s="1" t="str">
        <f t="shared" si="61"/>
        <v/>
      </c>
      <c r="F558" s="42" t="str">
        <f t="shared" si="56"/>
        <v/>
      </c>
      <c r="G558" s="42" t="str">
        <f t="shared" si="62"/>
        <v/>
      </c>
      <c r="H558" s="43" t="str">
        <f>IF(C558="","",GETPIVOTDATA("WinPips",ProfitRpt!$A$9,"Trade Month",C558,"Trade Year",B558))</f>
        <v/>
      </c>
      <c r="I558" s="42" t="str">
        <f t="shared" si="57"/>
        <v/>
      </c>
      <c r="J558" s="43" t="str">
        <f t="shared" si="58"/>
        <v/>
      </c>
      <c r="K558" s="44" t="str">
        <f t="shared" si="59"/>
        <v/>
      </c>
      <c r="L558" s="44" t="str">
        <f t="shared" si="60"/>
        <v/>
      </c>
    </row>
    <row r="559" spans="1:12">
      <c r="A559" s="1" t="str">
        <f t="shared" si="61"/>
        <v/>
      </c>
      <c r="F559" s="42" t="str">
        <f t="shared" si="56"/>
        <v/>
      </c>
      <c r="G559" s="42" t="str">
        <f t="shared" si="62"/>
        <v/>
      </c>
      <c r="H559" s="43" t="str">
        <f>IF(C559="","",GETPIVOTDATA("WinPips",ProfitRpt!$A$9,"Trade Month",C559,"Trade Year",B559))</f>
        <v/>
      </c>
      <c r="I559" s="42" t="str">
        <f t="shared" si="57"/>
        <v/>
      </c>
      <c r="J559" s="43" t="str">
        <f t="shared" si="58"/>
        <v/>
      </c>
      <c r="K559" s="44" t="str">
        <f t="shared" si="59"/>
        <v/>
      </c>
      <c r="L559" s="44" t="str">
        <f t="shared" si="60"/>
        <v/>
      </c>
    </row>
    <row r="560" spans="1:12">
      <c r="A560" s="1" t="str">
        <f t="shared" si="61"/>
        <v/>
      </c>
      <c r="F560" s="42" t="str">
        <f t="shared" si="56"/>
        <v/>
      </c>
      <c r="G560" s="42" t="str">
        <f t="shared" si="62"/>
        <v/>
      </c>
      <c r="H560" s="43" t="str">
        <f>IF(C560="","",GETPIVOTDATA("WinPips",ProfitRpt!$A$9,"Trade Month",C560,"Trade Year",B560))</f>
        <v/>
      </c>
      <c r="I560" s="42" t="str">
        <f t="shared" si="57"/>
        <v/>
      </c>
      <c r="J560" s="43" t="str">
        <f t="shared" si="58"/>
        <v/>
      </c>
      <c r="K560" s="44" t="str">
        <f t="shared" si="59"/>
        <v/>
      </c>
      <c r="L560" s="44" t="str">
        <f t="shared" si="60"/>
        <v/>
      </c>
    </row>
    <row r="561" spans="1:12">
      <c r="A561" s="1" t="str">
        <f t="shared" si="61"/>
        <v/>
      </c>
      <c r="F561" s="42" t="str">
        <f t="shared" si="56"/>
        <v/>
      </c>
      <c r="G561" s="42" t="str">
        <f t="shared" si="62"/>
        <v/>
      </c>
      <c r="H561" s="43" t="str">
        <f>IF(C561="","",GETPIVOTDATA("WinPips",ProfitRpt!$A$9,"Trade Month",C561,"Trade Year",B561))</f>
        <v/>
      </c>
      <c r="I561" s="42" t="str">
        <f t="shared" si="57"/>
        <v/>
      </c>
      <c r="J561" s="43" t="str">
        <f t="shared" si="58"/>
        <v/>
      </c>
      <c r="K561" s="44" t="str">
        <f t="shared" si="59"/>
        <v/>
      </c>
      <c r="L561" s="44" t="str">
        <f t="shared" si="60"/>
        <v/>
      </c>
    </row>
    <row r="562" spans="1:12">
      <c r="A562" s="1" t="str">
        <f t="shared" si="61"/>
        <v/>
      </c>
      <c r="F562" s="42" t="str">
        <f t="shared" si="56"/>
        <v/>
      </c>
      <c r="G562" s="42" t="str">
        <f t="shared" si="62"/>
        <v/>
      </c>
      <c r="H562" s="43" t="str">
        <f>IF(C562="","",GETPIVOTDATA("WinPips",ProfitRpt!$A$9,"Trade Month",C562,"Trade Year",B562))</f>
        <v/>
      </c>
      <c r="I562" s="42" t="str">
        <f t="shared" si="57"/>
        <v/>
      </c>
      <c r="J562" s="43" t="str">
        <f t="shared" si="58"/>
        <v/>
      </c>
      <c r="K562" s="44" t="str">
        <f t="shared" si="59"/>
        <v/>
      </c>
      <c r="L562" s="44" t="str">
        <f t="shared" si="60"/>
        <v/>
      </c>
    </row>
    <row r="563" spans="1:12">
      <c r="A563" s="1" t="str">
        <f t="shared" si="61"/>
        <v/>
      </c>
      <c r="F563" s="42" t="str">
        <f t="shared" si="56"/>
        <v/>
      </c>
      <c r="G563" s="42" t="str">
        <f t="shared" si="62"/>
        <v/>
      </c>
      <c r="H563" s="43" t="str">
        <f>IF(C563="","",GETPIVOTDATA("WinPips",ProfitRpt!$A$9,"Trade Month",C563,"Trade Year",B563))</f>
        <v/>
      </c>
      <c r="I563" s="42" t="str">
        <f t="shared" si="57"/>
        <v/>
      </c>
      <c r="J563" s="43" t="str">
        <f t="shared" si="58"/>
        <v/>
      </c>
      <c r="K563" s="44" t="str">
        <f t="shared" si="59"/>
        <v/>
      </c>
      <c r="L563" s="44" t="str">
        <f t="shared" si="60"/>
        <v/>
      </c>
    </row>
    <row r="564" spans="1:12">
      <c r="A564" s="1" t="str">
        <f t="shared" si="61"/>
        <v/>
      </c>
      <c r="F564" s="42" t="str">
        <f t="shared" si="56"/>
        <v/>
      </c>
      <c r="G564" s="42" t="str">
        <f t="shared" si="62"/>
        <v/>
      </c>
      <c r="H564" s="43" t="str">
        <f>IF(C564="","",GETPIVOTDATA("WinPips",ProfitRpt!$A$9,"Trade Month",C564,"Trade Year",B564))</f>
        <v/>
      </c>
      <c r="I564" s="42" t="str">
        <f t="shared" si="57"/>
        <v/>
      </c>
      <c r="J564" s="43" t="str">
        <f t="shared" si="58"/>
        <v/>
      </c>
      <c r="K564" s="44" t="str">
        <f t="shared" si="59"/>
        <v/>
      </c>
      <c r="L564" s="44" t="str">
        <f t="shared" si="60"/>
        <v/>
      </c>
    </row>
    <row r="565" spans="1:12">
      <c r="A565" s="1" t="str">
        <f t="shared" si="61"/>
        <v/>
      </c>
      <c r="F565" s="42" t="str">
        <f t="shared" si="56"/>
        <v/>
      </c>
      <c r="G565" s="42" t="str">
        <f t="shared" si="62"/>
        <v/>
      </c>
      <c r="H565" s="43" t="str">
        <f>IF(C565="","",GETPIVOTDATA("WinPips",ProfitRpt!$A$9,"Trade Month",C565,"Trade Year",B565))</f>
        <v/>
      </c>
      <c r="I565" s="42" t="str">
        <f t="shared" si="57"/>
        <v/>
      </c>
      <c r="J565" s="43" t="str">
        <f t="shared" si="58"/>
        <v/>
      </c>
      <c r="K565" s="44" t="str">
        <f t="shared" si="59"/>
        <v/>
      </c>
      <c r="L565" s="44" t="str">
        <f t="shared" si="60"/>
        <v/>
      </c>
    </row>
    <row r="566" spans="1:12">
      <c r="A566" s="1" t="str">
        <f t="shared" si="61"/>
        <v/>
      </c>
      <c r="F566" s="42" t="str">
        <f t="shared" si="56"/>
        <v/>
      </c>
      <c r="G566" s="42" t="str">
        <f t="shared" si="62"/>
        <v/>
      </c>
      <c r="H566" s="43" t="str">
        <f>IF(C566="","",GETPIVOTDATA("WinPips",ProfitRpt!$A$9,"Trade Month",C566,"Trade Year",B566))</f>
        <v/>
      </c>
      <c r="I566" s="42" t="str">
        <f t="shared" si="57"/>
        <v/>
      </c>
      <c r="J566" s="43" t="str">
        <f t="shared" si="58"/>
        <v/>
      </c>
      <c r="K566" s="44" t="str">
        <f t="shared" si="59"/>
        <v/>
      </c>
      <c r="L566" s="44" t="str">
        <f t="shared" si="60"/>
        <v/>
      </c>
    </row>
    <row r="567" spans="1:12">
      <c r="A567" s="1" t="str">
        <f t="shared" si="61"/>
        <v/>
      </c>
      <c r="F567" s="42" t="str">
        <f t="shared" si="56"/>
        <v/>
      </c>
      <c r="G567" s="42" t="str">
        <f t="shared" si="62"/>
        <v/>
      </c>
      <c r="H567" s="43" t="str">
        <f>IF(C567="","",GETPIVOTDATA("WinPips",ProfitRpt!$A$9,"Trade Month",C567,"Trade Year",B567))</f>
        <v/>
      </c>
      <c r="I567" s="42" t="str">
        <f t="shared" si="57"/>
        <v/>
      </c>
      <c r="J567" s="43" t="str">
        <f t="shared" si="58"/>
        <v/>
      </c>
      <c r="K567" s="44" t="str">
        <f t="shared" si="59"/>
        <v/>
      </c>
      <c r="L567" s="44" t="str">
        <f t="shared" si="60"/>
        <v/>
      </c>
    </row>
    <row r="568" spans="1:12">
      <c r="A568" s="1" t="str">
        <f t="shared" si="61"/>
        <v/>
      </c>
      <c r="F568" s="42" t="str">
        <f t="shared" si="56"/>
        <v/>
      </c>
      <c r="G568" s="42" t="str">
        <f t="shared" si="62"/>
        <v/>
      </c>
      <c r="H568" s="43" t="str">
        <f>IF(C568="","",GETPIVOTDATA("WinPips",ProfitRpt!$A$9,"Trade Month",C568,"Trade Year",B568))</f>
        <v/>
      </c>
      <c r="I568" s="42" t="str">
        <f t="shared" si="57"/>
        <v/>
      </c>
      <c r="J568" s="43" t="str">
        <f t="shared" si="58"/>
        <v/>
      </c>
      <c r="K568" s="44" t="str">
        <f t="shared" si="59"/>
        <v/>
      </c>
      <c r="L568" s="44" t="str">
        <f t="shared" si="60"/>
        <v/>
      </c>
    </row>
    <row r="569" spans="1:12">
      <c r="A569" s="1" t="str">
        <f t="shared" si="61"/>
        <v/>
      </c>
      <c r="F569" s="42" t="str">
        <f t="shared" si="56"/>
        <v/>
      </c>
      <c r="G569" s="42" t="str">
        <f t="shared" si="62"/>
        <v/>
      </c>
      <c r="H569" s="43" t="str">
        <f>IF(C569="","",GETPIVOTDATA("WinPips",ProfitRpt!$A$9,"Trade Month",C569,"Trade Year",B569))</f>
        <v/>
      </c>
      <c r="I569" s="42" t="str">
        <f t="shared" si="57"/>
        <v/>
      </c>
      <c r="J569" s="43" t="str">
        <f t="shared" si="58"/>
        <v/>
      </c>
      <c r="K569" s="44" t="str">
        <f t="shared" si="59"/>
        <v/>
      </c>
      <c r="L569" s="44" t="str">
        <f t="shared" si="60"/>
        <v/>
      </c>
    </row>
    <row r="570" spans="1:12">
      <c r="A570" s="1" t="str">
        <f t="shared" si="61"/>
        <v/>
      </c>
      <c r="F570" s="42" t="str">
        <f t="shared" si="56"/>
        <v/>
      </c>
      <c r="G570" s="42" t="str">
        <f t="shared" si="62"/>
        <v/>
      </c>
      <c r="H570" s="43" t="str">
        <f>IF(C570="","",GETPIVOTDATA("WinPips",ProfitRpt!$A$9,"Trade Month",C570,"Trade Year",B570))</f>
        <v/>
      </c>
      <c r="I570" s="42" t="str">
        <f t="shared" si="57"/>
        <v/>
      </c>
      <c r="J570" s="43" t="str">
        <f t="shared" si="58"/>
        <v/>
      </c>
      <c r="K570" s="44" t="str">
        <f t="shared" si="59"/>
        <v/>
      </c>
      <c r="L570" s="44" t="str">
        <f t="shared" si="60"/>
        <v/>
      </c>
    </row>
    <row r="571" spans="1:12">
      <c r="A571" s="1" t="str">
        <f t="shared" si="61"/>
        <v/>
      </c>
      <c r="F571" s="42" t="str">
        <f t="shared" si="56"/>
        <v/>
      </c>
      <c r="G571" s="42" t="str">
        <f t="shared" si="62"/>
        <v/>
      </c>
      <c r="H571" s="43" t="str">
        <f>IF(C571="","",GETPIVOTDATA("WinPips",ProfitRpt!$A$9,"Trade Month",C571,"Trade Year",B571))</f>
        <v/>
      </c>
      <c r="I571" s="42" t="str">
        <f t="shared" si="57"/>
        <v/>
      </c>
      <c r="J571" s="43" t="str">
        <f t="shared" si="58"/>
        <v/>
      </c>
      <c r="K571" s="44" t="str">
        <f t="shared" si="59"/>
        <v/>
      </c>
      <c r="L571" s="44" t="str">
        <f t="shared" si="60"/>
        <v/>
      </c>
    </row>
    <row r="572" spans="1:12">
      <c r="A572" s="1" t="str">
        <f t="shared" si="61"/>
        <v/>
      </c>
      <c r="F572" s="42" t="str">
        <f t="shared" si="56"/>
        <v/>
      </c>
      <c r="G572" s="42" t="str">
        <f t="shared" si="62"/>
        <v/>
      </c>
      <c r="H572" s="43" t="str">
        <f>IF(C572="","",GETPIVOTDATA("WinPips",ProfitRpt!$A$9,"Trade Month",C572,"Trade Year",B572))</f>
        <v/>
      </c>
      <c r="I572" s="42" t="str">
        <f t="shared" si="57"/>
        <v/>
      </c>
      <c r="J572" s="43" t="str">
        <f t="shared" si="58"/>
        <v/>
      </c>
      <c r="K572" s="44" t="str">
        <f t="shared" si="59"/>
        <v/>
      </c>
      <c r="L572" s="44" t="str">
        <f t="shared" si="60"/>
        <v/>
      </c>
    </row>
    <row r="573" spans="1:12">
      <c r="A573" s="1" t="str">
        <f t="shared" si="61"/>
        <v/>
      </c>
      <c r="F573" s="42" t="str">
        <f t="shared" si="56"/>
        <v/>
      </c>
      <c r="G573" s="42" t="str">
        <f t="shared" si="62"/>
        <v/>
      </c>
      <c r="H573" s="43" t="str">
        <f>IF(C573="","",GETPIVOTDATA("WinPips",ProfitRpt!$A$9,"Trade Month",C573,"Trade Year",B573))</f>
        <v/>
      </c>
      <c r="I573" s="42" t="str">
        <f t="shared" si="57"/>
        <v/>
      </c>
      <c r="J573" s="43" t="str">
        <f t="shared" si="58"/>
        <v/>
      </c>
      <c r="K573" s="44" t="str">
        <f t="shared" si="59"/>
        <v/>
      </c>
      <c r="L573" s="44" t="str">
        <f t="shared" si="60"/>
        <v/>
      </c>
    </row>
    <row r="574" spans="1:12">
      <c r="A574" s="1" t="str">
        <f t="shared" si="61"/>
        <v/>
      </c>
      <c r="F574" s="42" t="str">
        <f t="shared" si="56"/>
        <v/>
      </c>
      <c r="G574" s="42" t="str">
        <f t="shared" si="62"/>
        <v/>
      </c>
      <c r="H574" s="43" t="str">
        <f>IF(C574="","",GETPIVOTDATA("WinPips",ProfitRpt!$A$9,"Trade Month",C574,"Trade Year",B574))</f>
        <v/>
      </c>
      <c r="I574" s="42" t="str">
        <f t="shared" si="57"/>
        <v/>
      </c>
      <c r="J574" s="43" t="str">
        <f t="shared" si="58"/>
        <v/>
      </c>
      <c r="K574" s="44" t="str">
        <f t="shared" si="59"/>
        <v/>
      </c>
      <c r="L574" s="44" t="str">
        <f t="shared" si="60"/>
        <v/>
      </c>
    </row>
    <row r="575" spans="1:12">
      <c r="A575" s="1" t="str">
        <f t="shared" si="61"/>
        <v/>
      </c>
      <c r="F575" s="42" t="str">
        <f t="shared" si="56"/>
        <v/>
      </c>
      <c r="G575" s="42" t="str">
        <f t="shared" si="62"/>
        <v/>
      </c>
      <c r="H575" s="43" t="str">
        <f>IF(C575="","",GETPIVOTDATA("WinPips",ProfitRpt!$A$9,"Trade Month",C575,"Trade Year",B575))</f>
        <v/>
      </c>
      <c r="I575" s="42" t="str">
        <f t="shared" si="57"/>
        <v/>
      </c>
      <c r="J575" s="43" t="str">
        <f t="shared" si="58"/>
        <v/>
      </c>
      <c r="K575" s="44" t="str">
        <f t="shared" si="59"/>
        <v/>
      </c>
      <c r="L575" s="44" t="str">
        <f t="shared" si="60"/>
        <v/>
      </c>
    </row>
    <row r="576" spans="1:12">
      <c r="A576" s="1" t="str">
        <f t="shared" si="61"/>
        <v/>
      </c>
      <c r="F576" s="42" t="str">
        <f t="shared" si="56"/>
        <v/>
      </c>
      <c r="G576" s="42" t="str">
        <f t="shared" si="62"/>
        <v/>
      </c>
      <c r="H576" s="43" t="str">
        <f>IF(C576="","",GETPIVOTDATA("WinPips",ProfitRpt!$A$9,"Trade Month",C576,"Trade Year",B576))</f>
        <v/>
      </c>
      <c r="I576" s="42" t="str">
        <f t="shared" si="57"/>
        <v/>
      </c>
      <c r="J576" s="43" t="str">
        <f t="shared" si="58"/>
        <v/>
      </c>
      <c r="K576" s="44" t="str">
        <f t="shared" si="59"/>
        <v/>
      </c>
      <c r="L576" s="44" t="str">
        <f t="shared" si="60"/>
        <v/>
      </c>
    </row>
    <row r="577" spans="1:12">
      <c r="A577" s="1" t="str">
        <f t="shared" si="61"/>
        <v/>
      </c>
      <c r="F577" s="42" t="str">
        <f t="shared" si="56"/>
        <v/>
      </c>
      <c r="G577" s="42" t="str">
        <f t="shared" si="62"/>
        <v/>
      </c>
      <c r="H577" s="43" t="str">
        <f>IF(C577="","",GETPIVOTDATA("WinPips",ProfitRpt!$A$9,"Trade Month",C577,"Trade Year",B577))</f>
        <v/>
      </c>
      <c r="I577" s="42" t="str">
        <f t="shared" si="57"/>
        <v/>
      </c>
      <c r="J577" s="43" t="str">
        <f t="shared" si="58"/>
        <v/>
      </c>
      <c r="K577" s="44" t="str">
        <f t="shared" si="59"/>
        <v/>
      </c>
      <c r="L577" s="44" t="str">
        <f t="shared" si="60"/>
        <v/>
      </c>
    </row>
    <row r="578" spans="1:12">
      <c r="A578" s="1" t="str">
        <f t="shared" si="61"/>
        <v/>
      </c>
      <c r="F578" s="42" t="str">
        <f t="shared" si="56"/>
        <v/>
      </c>
      <c r="G578" s="42" t="str">
        <f t="shared" si="62"/>
        <v/>
      </c>
      <c r="H578" s="43" t="str">
        <f>IF(C578="","",GETPIVOTDATA("WinPips",ProfitRpt!$A$9,"Trade Month",C578,"Trade Year",B578))</f>
        <v/>
      </c>
      <c r="I578" s="42" t="str">
        <f t="shared" si="57"/>
        <v/>
      </c>
      <c r="J578" s="43" t="str">
        <f t="shared" si="58"/>
        <v/>
      </c>
      <c r="K578" s="44" t="str">
        <f t="shared" si="59"/>
        <v/>
      </c>
      <c r="L578" s="44" t="str">
        <f t="shared" si="60"/>
        <v/>
      </c>
    </row>
    <row r="579" spans="1:12">
      <c r="A579" s="1" t="str">
        <f t="shared" si="61"/>
        <v/>
      </c>
      <c r="F579" s="42" t="str">
        <f t="shared" si="56"/>
        <v/>
      </c>
      <c r="G579" s="42" t="str">
        <f t="shared" si="62"/>
        <v/>
      </c>
      <c r="H579" s="43" t="str">
        <f>IF(C579="","",GETPIVOTDATA("WinPips",ProfitRpt!$A$9,"Trade Month",C579,"Trade Year",B579))</f>
        <v/>
      </c>
      <c r="I579" s="42" t="str">
        <f t="shared" si="57"/>
        <v/>
      </c>
      <c r="J579" s="43" t="str">
        <f t="shared" si="58"/>
        <v/>
      </c>
      <c r="K579" s="44" t="str">
        <f t="shared" si="59"/>
        <v/>
      </c>
      <c r="L579" s="44" t="str">
        <f t="shared" si="60"/>
        <v/>
      </c>
    </row>
    <row r="580" spans="1:12">
      <c r="A580" s="1" t="str">
        <f t="shared" si="61"/>
        <v/>
      </c>
      <c r="F580" s="42" t="str">
        <f t="shared" si="56"/>
        <v/>
      </c>
      <c r="G580" s="42" t="str">
        <f t="shared" si="62"/>
        <v/>
      </c>
      <c r="H580" s="43" t="str">
        <f>IF(C580="","",GETPIVOTDATA("WinPips",ProfitRpt!$A$9,"Trade Month",C580,"Trade Year",B580))</f>
        <v/>
      </c>
      <c r="I580" s="42" t="str">
        <f t="shared" si="57"/>
        <v/>
      </c>
      <c r="J580" s="43" t="str">
        <f t="shared" si="58"/>
        <v/>
      </c>
      <c r="K580" s="44" t="str">
        <f t="shared" si="59"/>
        <v/>
      </c>
      <c r="L580" s="44" t="str">
        <f t="shared" si="60"/>
        <v/>
      </c>
    </row>
    <row r="581" spans="1:12">
      <c r="A581" s="1" t="str">
        <f t="shared" si="61"/>
        <v/>
      </c>
      <c r="F581" s="42" t="str">
        <f t="shared" si="56"/>
        <v/>
      </c>
      <c r="G581" s="42" t="str">
        <f t="shared" si="62"/>
        <v/>
      </c>
      <c r="H581" s="43" t="str">
        <f>IF(C581="","",GETPIVOTDATA("WinPips",ProfitRpt!$A$9,"Trade Month",C581,"Trade Year",B581))</f>
        <v/>
      </c>
      <c r="I581" s="42" t="str">
        <f t="shared" si="57"/>
        <v/>
      </c>
      <c r="J581" s="43" t="str">
        <f t="shared" si="58"/>
        <v/>
      </c>
      <c r="K581" s="44" t="str">
        <f t="shared" si="59"/>
        <v/>
      </c>
      <c r="L581" s="44" t="str">
        <f t="shared" si="60"/>
        <v/>
      </c>
    </row>
    <row r="582" spans="1:12">
      <c r="A582" s="1" t="str">
        <f t="shared" si="61"/>
        <v/>
      </c>
      <c r="F582" s="42" t="str">
        <f t="shared" si="56"/>
        <v/>
      </c>
      <c r="G582" s="42" t="str">
        <f t="shared" si="62"/>
        <v/>
      </c>
      <c r="H582" s="43" t="str">
        <f>IF(C582="","",GETPIVOTDATA("WinPips",ProfitRpt!$A$9,"Trade Month",C582,"Trade Year",B582))</f>
        <v/>
      </c>
      <c r="I582" s="42" t="str">
        <f t="shared" si="57"/>
        <v/>
      </c>
      <c r="J582" s="43" t="str">
        <f t="shared" si="58"/>
        <v/>
      </c>
      <c r="K582" s="44" t="str">
        <f t="shared" si="59"/>
        <v/>
      </c>
      <c r="L582" s="44" t="str">
        <f t="shared" si="60"/>
        <v/>
      </c>
    </row>
    <row r="583" spans="1:12">
      <c r="A583" s="1" t="str">
        <f t="shared" si="61"/>
        <v/>
      </c>
      <c r="F583" s="42" t="str">
        <f t="shared" ref="F583:F646" si="63">IF(G583="","",E583+G583)</f>
        <v/>
      </c>
      <c r="G583" s="42" t="str">
        <f t="shared" si="62"/>
        <v/>
      </c>
      <c r="H583" s="43" t="str">
        <f>IF(C583="","",GETPIVOTDATA("WinPips",ProfitRpt!$A$9,"Trade Month",C583,"Trade Year",B583))</f>
        <v/>
      </c>
      <c r="I583" s="42" t="str">
        <f t="shared" ref="I583:I646" si="64">IF(B583="","",IF(B583=B582,I582+G583,G583))</f>
        <v/>
      </c>
      <c r="J583" s="43" t="str">
        <f t="shared" ref="J583:J646" si="65">IF(B583="","",IF(B582=B583,J582+H583,H583))</f>
        <v/>
      </c>
      <c r="K583" s="44" t="str">
        <f t="shared" ref="K583:K646" si="66">IF(F583="","",IF(E583="","",(F583-E583)/E583))</f>
        <v/>
      </c>
      <c r="L583" s="44" t="str">
        <f t="shared" ref="L583:L646" si="67">IF(I583="","",IF(D583="","",I583/D583) )</f>
        <v/>
      </c>
    </row>
    <row r="584" spans="1:12">
      <c r="A584" s="1" t="str">
        <f t="shared" ref="A584:A647" si="68">IF(C584="","",A583+1)</f>
        <v/>
      </c>
      <c r="F584" s="42" t="str">
        <f t="shared" si="63"/>
        <v/>
      </c>
      <c r="G584" s="42" t="str">
        <f t="shared" ref="G584:G647" si="69">IF(C584="","",H584/10)</f>
        <v/>
      </c>
      <c r="H584" s="43" t="str">
        <f>IF(C584="","",GETPIVOTDATA("WinPips",ProfitRpt!$A$9,"Trade Month",C584,"Trade Year",B584))</f>
        <v/>
      </c>
      <c r="I584" s="42" t="str">
        <f t="shared" si="64"/>
        <v/>
      </c>
      <c r="J584" s="43" t="str">
        <f t="shared" si="65"/>
        <v/>
      </c>
      <c r="K584" s="44" t="str">
        <f t="shared" si="66"/>
        <v/>
      </c>
      <c r="L584" s="44" t="str">
        <f t="shared" si="67"/>
        <v/>
      </c>
    </row>
    <row r="585" spans="1:12">
      <c r="A585" s="1" t="str">
        <f t="shared" si="68"/>
        <v/>
      </c>
      <c r="F585" s="42" t="str">
        <f t="shared" si="63"/>
        <v/>
      </c>
      <c r="G585" s="42" t="str">
        <f t="shared" si="69"/>
        <v/>
      </c>
      <c r="H585" s="43" t="str">
        <f>IF(C585="","",GETPIVOTDATA("WinPips",ProfitRpt!$A$9,"Trade Month",C585,"Trade Year",B585))</f>
        <v/>
      </c>
      <c r="I585" s="42" t="str">
        <f t="shared" si="64"/>
        <v/>
      </c>
      <c r="J585" s="43" t="str">
        <f t="shared" si="65"/>
        <v/>
      </c>
      <c r="K585" s="44" t="str">
        <f t="shared" si="66"/>
        <v/>
      </c>
      <c r="L585" s="44" t="str">
        <f t="shared" si="67"/>
        <v/>
      </c>
    </row>
    <row r="586" spans="1:12">
      <c r="A586" s="1" t="str">
        <f t="shared" si="68"/>
        <v/>
      </c>
      <c r="F586" s="42" t="str">
        <f t="shared" si="63"/>
        <v/>
      </c>
      <c r="G586" s="42" t="str">
        <f t="shared" si="69"/>
        <v/>
      </c>
      <c r="H586" s="43" t="str">
        <f>IF(C586="","",GETPIVOTDATA("WinPips",ProfitRpt!$A$9,"Trade Month",C586,"Trade Year",B586))</f>
        <v/>
      </c>
      <c r="I586" s="42" t="str">
        <f t="shared" si="64"/>
        <v/>
      </c>
      <c r="J586" s="43" t="str">
        <f t="shared" si="65"/>
        <v/>
      </c>
      <c r="K586" s="44" t="str">
        <f t="shared" si="66"/>
        <v/>
      </c>
      <c r="L586" s="44" t="str">
        <f t="shared" si="67"/>
        <v/>
      </c>
    </row>
    <row r="587" spans="1:12">
      <c r="A587" s="1" t="str">
        <f t="shared" si="68"/>
        <v/>
      </c>
      <c r="F587" s="42" t="str">
        <f t="shared" si="63"/>
        <v/>
      </c>
      <c r="G587" s="42" t="str">
        <f t="shared" si="69"/>
        <v/>
      </c>
      <c r="H587" s="43" t="str">
        <f>IF(C587="","",GETPIVOTDATA("WinPips",ProfitRpt!$A$9,"Trade Month",C587,"Trade Year",B587))</f>
        <v/>
      </c>
      <c r="I587" s="42" t="str">
        <f t="shared" si="64"/>
        <v/>
      </c>
      <c r="J587" s="43" t="str">
        <f t="shared" si="65"/>
        <v/>
      </c>
      <c r="K587" s="44" t="str">
        <f t="shared" si="66"/>
        <v/>
      </c>
      <c r="L587" s="44" t="str">
        <f t="shared" si="67"/>
        <v/>
      </c>
    </row>
    <row r="588" spans="1:12">
      <c r="A588" s="1" t="str">
        <f t="shared" si="68"/>
        <v/>
      </c>
      <c r="F588" s="42" t="str">
        <f t="shared" si="63"/>
        <v/>
      </c>
      <c r="G588" s="42" t="str">
        <f t="shared" si="69"/>
        <v/>
      </c>
      <c r="H588" s="43" t="str">
        <f>IF(C588="","",GETPIVOTDATA("WinPips",ProfitRpt!$A$9,"Trade Month",C588,"Trade Year",B588))</f>
        <v/>
      </c>
      <c r="I588" s="42" t="str">
        <f t="shared" si="64"/>
        <v/>
      </c>
      <c r="J588" s="43" t="str">
        <f t="shared" si="65"/>
        <v/>
      </c>
      <c r="K588" s="44" t="str">
        <f t="shared" si="66"/>
        <v/>
      </c>
      <c r="L588" s="44" t="str">
        <f t="shared" si="67"/>
        <v/>
      </c>
    </row>
    <row r="589" spans="1:12">
      <c r="A589" s="1" t="str">
        <f t="shared" si="68"/>
        <v/>
      </c>
      <c r="F589" s="42" t="str">
        <f t="shared" si="63"/>
        <v/>
      </c>
      <c r="G589" s="42" t="str">
        <f t="shared" si="69"/>
        <v/>
      </c>
      <c r="H589" s="43" t="str">
        <f>IF(C589="","",GETPIVOTDATA("WinPips",ProfitRpt!$A$9,"Trade Month",C589,"Trade Year",B589))</f>
        <v/>
      </c>
      <c r="I589" s="42" t="str">
        <f t="shared" si="64"/>
        <v/>
      </c>
      <c r="J589" s="43" t="str">
        <f t="shared" si="65"/>
        <v/>
      </c>
      <c r="K589" s="44" t="str">
        <f t="shared" si="66"/>
        <v/>
      </c>
      <c r="L589" s="44" t="str">
        <f t="shared" si="67"/>
        <v/>
      </c>
    </row>
    <row r="590" spans="1:12">
      <c r="A590" s="1" t="str">
        <f t="shared" si="68"/>
        <v/>
      </c>
      <c r="F590" s="42" t="str">
        <f t="shared" si="63"/>
        <v/>
      </c>
      <c r="G590" s="42" t="str">
        <f t="shared" si="69"/>
        <v/>
      </c>
      <c r="H590" s="43" t="str">
        <f>IF(C590="","",GETPIVOTDATA("WinPips",ProfitRpt!$A$9,"Trade Month",C590,"Trade Year",B590))</f>
        <v/>
      </c>
      <c r="I590" s="42" t="str">
        <f t="shared" si="64"/>
        <v/>
      </c>
      <c r="J590" s="43" t="str">
        <f t="shared" si="65"/>
        <v/>
      </c>
      <c r="K590" s="44" t="str">
        <f t="shared" si="66"/>
        <v/>
      </c>
      <c r="L590" s="44" t="str">
        <f t="shared" si="67"/>
        <v/>
      </c>
    </row>
    <row r="591" spans="1:12">
      <c r="A591" s="1" t="str">
        <f t="shared" si="68"/>
        <v/>
      </c>
      <c r="F591" s="42" t="str">
        <f t="shared" si="63"/>
        <v/>
      </c>
      <c r="G591" s="42" t="str">
        <f t="shared" si="69"/>
        <v/>
      </c>
      <c r="H591" s="43" t="str">
        <f>IF(C591="","",GETPIVOTDATA("WinPips",ProfitRpt!$A$9,"Trade Month",C591,"Trade Year",B591))</f>
        <v/>
      </c>
      <c r="I591" s="42" t="str">
        <f t="shared" si="64"/>
        <v/>
      </c>
      <c r="J591" s="43" t="str">
        <f t="shared" si="65"/>
        <v/>
      </c>
      <c r="K591" s="44" t="str">
        <f t="shared" si="66"/>
        <v/>
      </c>
      <c r="L591" s="44" t="str">
        <f t="shared" si="67"/>
        <v/>
      </c>
    </row>
    <row r="592" spans="1:12">
      <c r="A592" s="1" t="str">
        <f t="shared" si="68"/>
        <v/>
      </c>
      <c r="F592" s="42" t="str">
        <f t="shared" si="63"/>
        <v/>
      </c>
      <c r="G592" s="42" t="str">
        <f t="shared" si="69"/>
        <v/>
      </c>
      <c r="H592" s="43" t="str">
        <f>IF(C592="","",GETPIVOTDATA("WinPips",ProfitRpt!$A$9,"Trade Month",C592,"Trade Year",B592))</f>
        <v/>
      </c>
      <c r="I592" s="42" t="str">
        <f t="shared" si="64"/>
        <v/>
      </c>
      <c r="J592" s="43" t="str">
        <f t="shared" si="65"/>
        <v/>
      </c>
      <c r="K592" s="44" t="str">
        <f t="shared" si="66"/>
        <v/>
      </c>
      <c r="L592" s="44" t="str">
        <f t="shared" si="67"/>
        <v/>
      </c>
    </row>
    <row r="593" spans="1:12">
      <c r="A593" s="1" t="str">
        <f t="shared" si="68"/>
        <v/>
      </c>
      <c r="F593" s="42" t="str">
        <f t="shared" si="63"/>
        <v/>
      </c>
      <c r="G593" s="42" t="str">
        <f t="shared" si="69"/>
        <v/>
      </c>
      <c r="H593" s="43" t="str">
        <f>IF(C593="","",GETPIVOTDATA("WinPips",ProfitRpt!$A$9,"Trade Month",C593,"Trade Year",B593))</f>
        <v/>
      </c>
      <c r="I593" s="42" t="str">
        <f t="shared" si="64"/>
        <v/>
      </c>
      <c r="J593" s="43" t="str">
        <f t="shared" si="65"/>
        <v/>
      </c>
      <c r="K593" s="44" t="str">
        <f t="shared" si="66"/>
        <v/>
      </c>
      <c r="L593" s="44" t="str">
        <f t="shared" si="67"/>
        <v/>
      </c>
    </row>
    <row r="594" spans="1:12">
      <c r="A594" s="1" t="str">
        <f t="shared" si="68"/>
        <v/>
      </c>
      <c r="F594" s="42" t="str">
        <f t="shared" si="63"/>
        <v/>
      </c>
      <c r="G594" s="42" t="str">
        <f t="shared" si="69"/>
        <v/>
      </c>
      <c r="H594" s="43" t="str">
        <f>IF(C594="","",GETPIVOTDATA("WinPips",ProfitRpt!$A$9,"Trade Month",C594,"Trade Year",B594))</f>
        <v/>
      </c>
      <c r="I594" s="42" t="str">
        <f t="shared" si="64"/>
        <v/>
      </c>
      <c r="J594" s="43" t="str">
        <f t="shared" si="65"/>
        <v/>
      </c>
      <c r="K594" s="44" t="str">
        <f t="shared" si="66"/>
        <v/>
      </c>
      <c r="L594" s="44" t="str">
        <f t="shared" si="67"/>
        <v/>
      </c>
    </row>
    <row r="595" spans="1:12">
      <c r="A595" s="1" t="str">
        <f t="shared" si="68"/>
        <v/>
      </c>
      <c r="F595" s="42" t="str">
        <f t="shared" si="63"/>
        <v/>
      </c>
      <c r="G595" s="42" t="str">
        <f t="shared" si="69"/>
        <v/>
      </c>
      <c r="H595" s="43" t="str">
        <f>IF(C595="","",GETPIVOTDATA("WinPips",ProfitRpt!$A$9,"Trade Month",C595,"Trade Year",B595))</f>
        <v/>
      </c>
      <c r="I595" s="42" t="str">
        <f t="shared" si="64"/>
        <v/>
      </c>
      <c r="J595" s="43" t="str">
        <f t="shared" si="65"/>
        <v/>
      </c>
      <c r="K595" s="44" t="str">
        <f t="shared" si="66"/>
        <v/>
      </c>
      <c r="L595" s="44" t="str">
        <f t="shared" si="67"/>
        <v/>
      </c>
    </row>
    <row r="596" spans="1:12">
      <c r="A596" s="1" t="str">
        <f t="shared" si="68"/>
        <v/>
      </c>
      <c r="F596" s="42" t="str">
        <f t="shared" si="63"/>
        <v/>
      </c>
      <c r="G596" s="42" t="str">
        <f t="shared" si="69"/>
        <v/>
      </c>
      <c r="H596" s="43" t="str">
        <f>IF(C596="","",GETPIVOTDATA("WinPips",ProfitRpt!$A$9,"Trade Month",C596,"Trade Year",B596))</f>
        <v/>
      </c>
      <c r="I596" s="42" t="str">
        <f t="shared" si="64"/>
        <v/>
      </c>
      <c r="J596" s="43" t="str">
        <f t="shared" si="65"/>
        <v/>
      </c>
      <c r="K596" s="44" t="str">
        <f t="shared" si="66"/>
        <v/>
      </c>
      <c r="L596" s="44" t="str">
        <f t="shared" si="67"/>
        <v/>
      </c>
    </row>
    <row r="597" spans="1:12">
      <c r="A597" s="1" t="str">
        <f t="shared" si="68"/>
        <v/>
      </c>
      <c r="F597" s="42" t="str">
        <f t="shared" si="63"/>
        <v/>
      </c>
      <c r="G597" s="42" t="str">
        <f t="shared" si="69"/>
        <v/>
      </c>
      <c r="H597" s="43" t="str">
        <f>IF(C597="","",GETPIVOTDATA("WinPips",ProfitRpt!$A$9,"Trade Month",C597,"Trade Year",B597))</f>
        <v/>
      </c>
      <c r="I597" s="42" t="str">
        <f t="shared" si="64"/>
        <v/>
      </c>
      <c r="J597" s="43" t="str">
        <f t="shared" si="65"/>
        <v/>
      </c>
      <c r="K597" s="44" t="str">
        <f t="shared" si="66"/>
        <v/>
      </c>
      <c r="L597" s="44" t="str">
        <f t="shared" si="67"/>
        <v/>
      </c>
    </row>
    <row r="598" spans="1:12">
      <c r="A598" s="1" t="str">
        <f t="shared" si="68"/>
        <v/>
      </c>
      <c r="F598" s="42" t="str">
        <f t="shared" si="63"/>
        <v/>
      </c>
      <c r="G598" s="42" t="str">
        <f t="shared" si="69"/>
        <v/>
      </c>
      <c r="H598" s="43" t="str">
        <f>IF(C598="","",GETPIVOTDATA("WinPips",ProfitRpt!$A$9,"Trade Month",C598,"Trade Year",B598))</f>
        <v/>
      </c>
      <c r="I598" s="42" t="str">
        <f t="shared" si="64"/>
        <v/>
      </c>
      <c r="J598" s="43" t="str">
        <f t="shared" si="65"/>
        <v/>
      </c>
      <c r="K598" s="44" t="str">
        <f t="shared" si="66"/>
        <v/>
      </c>
      <c r="L598" s="44" t="str">
        <f t="shared" si="67"/>
        <v/>
      </c>
    </row>
    <row r="599" spans="1:12">
      <c r="A599" s="1" t="str">
        <f t="shared" si="68"/>
        <v/>
      </c>
      <c r="F599" s="42" t="str">
        <f t="shared" si="63"/>
        <v/>
      </c>
      <c r="G599" s="42" t="str">
        <f t="shared" si="69"/>
        <v/>
      </c>
      <c r="H599" s="43" t="str">
        <f>IF(C599="","",GETPIVOTDATA("WinPips",ProfitRpt!$A$9,"Trade Month",C599,"Trade Year",B599))</f>
        <v/>
      </c>
      <c r="I599" s="42" t="str">
        <f t="shared" si="64"/>
        <v/>
      </c>
      <c r="J599" s="43" t="str">
        <f t="shared" si="65"/>
        <v/>
      </c>
      <c r="K599" s="44" t="str">
        <f t="shared" si="66"/>
        <v/>
      </c>
      <c r="L599" s="44" t="str">
        <f t="shared" si="67"/>
        <v/>
      </c>
    </row>
    <row r="600" spans="1:12">
      <c r="A600" s="1" t="str">
        <f t="shared" si="68"/>
        <v/>
      </c>
      <c r="F600" s="42" t="str">
        <f t="shared" si="63"/>
        <v/>
      </c>
      <c r="G600" s="42" t="str">
        <f t="shared" si="69"/>
        <v/>
      </c>
      <c r="H600" s="43" t="str">
        <f>IF(C600="","",GETPIVOTDATA("WinPips",ProfitRpt!$A$9,"Trade Month",C600,"Trade Year",B600))</f>
        <v/>
      </c>
      <c r="I600" s="42" t="str">
        <f t="shared" si="64"/>
        <v/>
      </c>
      <c r="J600" s="43" t="str">
        <f t="shared" si="65"/>
        <v/>
      </c>
      <c r="K600" s="44" t="str">
        <f t="shared" si="66"/>
        <v/>
      </c>
      <c r="L600" s="44" t="str">
        <f t="shared" si="67"/>
        <v/>
      </c>
    </row>
    <row r="601" spans="1:12">
      <c r="A601" s="1" t="str">
        <f t="shared" si="68"/>
        <v/>
      </c>
      <c r="F601" s="42" t="str">
        <f t="shared" si="63"/>
        <v/>
      </c>
      <c r="G601" s="42" t="str">
        <f t="shared" si="69"/>
        <v/>
      </c>
      <c r="H601" s="43" t="str">
        <f>IF(C601="","",GETPIVOTDATA("WinPips",ProfitRpt!$A$9,"Trade Month",C601,"Trade Year",B601))</f>
        <v/>
      </c>
      <c r="I601" s="42" t="str">
        <f t="shared" si="64"/>
        <v/>
      </c>
      <c r="J601" s="43" t="str">
        <f t="shared" si="65"/>
        <v/>
      </c>
      <c r="K601" s="44" t="str">
        <f t="shared" si="66"/>
        <v/>
      </c>
      <c r="L601" s="44" t="str">
        <f t="shared" si="67"/>
        <v/>
      </c>
    </row>
    <row r="602" spans="1:12">
      <c r="A602" s="1" t="str">
        <f t="shared" si="68"/>
        <v/>
      </c>
      <c r="F602" s="42" t="str">
        <f t="shared" si="63"/>
        <v/>
      </c>
      <c r="G602" s="42" t="str">
        <f t="shared" si="69"/>
        <v/>
      </c>
      <c r="H602" s="43" t="str">
        <f>IF(C602="","",GETPIVOTDATA("WinPips",ProfitRpt!$A$9,"Trade Month",C602,"Trade Year",B602))</f>
        <v/>
      </c>
      <c r="I602" s="42" t="str">
        <f t="shared" si="64"/>
        <v/>
      </c>
      <c r="J602" s="43" t="str">
        <f t="shared" si="65"/>
        <v/>
      </c>
      <c r="K602" s="44" t="str">
        <f t="shared" si="66"/>
        <v/>
      </c>
      <c r="L602" s="44" t="str">
        <f t="shared" si="67"/>
        <v/>
      </c>
    </row>
    <row r="603" spans="1:12">
      <c r="A603" s="1" t="str">
        <f t="shared" si="68"/>
        <v/>
      </c>
      <c r="F603" s="42" t="str">
        <f t="shared" si="63"/>
        <v/>
      </c>
      <c r="G603" s="42" t="str">
        <f t="shared" si="69"/>
        <v/>
      </c>
      <c r="H603" s="43" t="str">
        <f>IF(C603="","",GETPIVOTDATA("WinPips",ProfitRpt!$A$9,"Trade Month",C603,"Trade Year",B603))</f>
        <v/>
      </c>
      <c r="I603" s="42" t="str">
        <f t="shared" si="64"/>
        <v/>
      </c>
      <c r="J603" s="43" t="str">
        <f t="shared" si="65"/>
        <v/>
      </c>
      <c r="K603" s="44" t="str">
        <f t="shared" si="66"/>
        <v/>
      </c>
      <c r="L603" s="44" t="str">
        <f t="shared" si="67"/>
        <v/>
      </c>
    </row>
    <row r="604" spans="1:12">
      <c r="A604" s="1" t="str">
        <f t="shared" si="68"/>
        <v/>
      </c>
      <c r="F604" s="42" t="str">
        <f t="shared" si="63"/>
        <v/>
      </c>
      <c r="G604" s="42" t="str">
        <f t="shared" si="69"/>
        <v/>
      </c>
      <c r="H604" s="43" t="str">
        <f>IF(C604="","",GETPIVOTDATA("WinPips",ProfitRpt!$A$9,"Trade Month",C604,"Trade Year",B604))</f>
        <v/>
      </c>
      <c r="I604" s="42" t="str">
        <f t="shared" si="64"/>
        <v/>
      </c>
      <c r="J604" s="43" t="str">
        <f t="shared" si="65"/>
        <v/>
      </c>
      <c r="K604" s="44" t="str">
        <f t="shared" si="66"/>
        <v/>
      </c>
      <c r="L604" s="44" t="str">
        <f t="shared" si="67"/>
        <v/>
      </c>
    </row>
    <row r="605" spans="1:12">
      <c r="A605" s="1" t="str">
        <f t="shared" si="68"/>
        <v/>
      </c>
      <c r="F605" s="42" t="str">
        <f t="shared" si="63"/>
        <v/>
      </c>
      <c r="G605" s="42" t="str">
        <f t="shared" si="69"/>
        <v/>
      </c>
      <c r="H605" s="43" t="str">
        <f>IF(C605="","",GETPIVOTDATA("WinPips",ProfitRpt!$A$9,"Trade Month",C605,"Trade Year",B605))</f>
        <v/>
      </c>
      <c r="I605" s="42" t="str">
        <f t="shared" si="64"/>
        <v/>
      </c>
      <c r="J605" s="43" t="str">
        <f t="shared" si="65"/>
        <v/>
      </c>
      <c r="K605" s="44" t="str">
        <f t="shared" si="66"/>
        <v/>
      </c>
      <c r="L605" s="44" t="str">
        <f t="shared" si="67"/>
        <v/>
      </c>
    </row>
    <row r="606" spans="1:12">
      <c r="A606" s="1" t="str">
        <f t="shared" si="68"/>
        <v/>
      </c>
      <c r="F606" s="42" t="str">
        <f t="shared" si="63"/>
        <v/>
      </c>
      <c r="G606" s="42" t="str">
        <f t="shared" si="69"/>
        <v/>
      </c>
      <c r="H606" s="43" t="str">
        <f>IF(C606="","",GETPIVOTDATA("WinPips",ProfitRpt!$A$9,"Trade Month",C606,"Trade Year",B606))</f>
        <v/>
      </c>
      <c r="I606" s="42" t="str">
        <f t="shared" si="64"/>
        <v/>
      </c>
      <c r="J606" s="43" t="str">
        <f t="shared" si="65"/>
        <v/>
      </c>
      <c r="K606" s="44" t="str">
        <f t="shared" si="66"/>
        <v/>
      </c>
      <c r="L606" s="44" t="str">
        <f t="shared" si="67"/>
        <v/>
      </c>
    </row>
    <row r="607" spans="1:12">
      <c r="A607" s="1" t="str">
        <f t="shared" si="68"/>
        <v/>
      </c>
      <c r="F607" s="42" t="str">
        <f t="shared" si="63"/>
        <v/>
      </c>
      <c r="G607" s="42" t="str">
        <f t="shared" si="69"/>
        <v/>
      </c>
      <c r="H607" s="43" t="str">
        <f>IF(C607="","",GETPIVOTDATA("WinPips",ProfitRpt!$A$9,"Trade Month",C607,"Trade Year",B607))</f>
        <v/>
      </c>
      <c r="I607" s="42" t="str">
        <f t="shared" si="64"/>
        <v/>
      </c>
      <c r="J607" s="43" t="str">
        <f t="shared" si="65"/>
        <v/>
      </c>
      <c r="K607" s="44" t="str">
        <f t="shared" si="66"/>
        <v/>
      </c>
      <c r="L607" s="44" t="str">
        <f t="shared" si="67"/>
        <v/>
      </c>
    </row>
    <row r="608" spans="1:12">
      <c r="A608" s="1" t="str">
        <f t="shared" si="68"/>
        <v/>
      </c>
      <c r="F608" s="42" t="str">
        <f t="shared" si="63"/>
        <v/>
      </c>
      <c r="G608" s="42" t="str">
        <f t="shared" si="69"/>
        <v/>
      </c>
      <c r="H608" s="43" t="str">
        <f>IF(C608="","",GETPIVOTDATA("WinPips",ProfitRpt!$A$9,"Trade Month",C608,"Trade Year",B608))</f>
        <v/>
      </c>
      <c r="I608" s="42" t="str">
        <f t="shared" si="64"/>
        <v/>
      </c>
      <c r="J608" s="43" t="str">
        <f t="shared" si="65"/>
        <v/>
      </c>
      <c r="K608" s="44" t="str">
        <f t="shared" si="66"/>
        <v/>
      </c>
      <c r="L608" s="44" t="str">
        <f t="shared" si="67"/>
        <v/>
      </c>
    </row>
    <row r="609" spans="1:12">
      <c r="A609" s="1" t="str">
        <f t="shared" si="68"/>
        <v/>
      </c>
      <c r="F609" s="42" t="str">
        <f t="shared" si="63"/>
        <v/>
      </c>
      <c r="G609" s="42" t="str">
        <f t="shared" si="69"/>
        <v/>
      </c>
      <c r="H609" s="43" t="str">
        <f>IF(C609="","",GETPIVOTDATA("WinPips",ProfitRpt!$A$9,"Trade Month",C609,"Trade Year",B609))</f>
        <v/>
      </c>
      <c r="I609" s="42" t="str">
        <f t="shared" si="64"/>
        <v/>
      </c>
      <c r="J609" s="43" t="str">
        <f t="shared" si="65"/>
        <v/>
      </c>
      <c r="K609" s="44" t="str">
        <f t="shared" si="66"/>
        <v/>
      </c>
      <c r="L609" s="44" t="str">
        <f t="shared" si="67"/>
        <v/>
      </c>
    </row>
    <row r="610" spans="1:12">
      <c r="A610" s="1" t="str">
        <f t="shared" si="68"/>
        <v/>
      </c>
      <c r="F610" s="42" t="str">
        <f t="shared" si="63"/>
        <v/>
      </c>
      <c r="G610" s="42" t="str">
        <f t="shared" si="69"/>
        <v/>
      </c>
      <c r="H610" s="43" t="str">
        <f>IF(C610="","",GETPIVOTDATA("WinPips",ProfitRpt!$A$9,"Trade Month",C610,"Trade Year",B610))</f>
        <v/>
      </c>
      <c r="I610" s="42" t="str">
        <f t="shared" si="64"/>
        <v/>
      </c>
      <c r="J610" s="43" t="str">
        <f t="shared" si="65"/>
        <v/>
      </c>
      <c r="K610" s="44" t="str">
        <f t="shared" si="66"/>
        <v/>
      </c>
      <c r="L610" s="44" t="str">
        <f t="shared" si="67"/>
        <v/>
      </c>
    </row>
    <row r="611" spans="1:12">
      <c r="A611" s="1" t="str">
        <f t="shared" si="68"/>
        <v/>
      </c>
      <c r="F611" s="42" t="str">
        <f t="shared" si="63"/>
        <v/>
      </c>
      <c r="G611" s="42" t="str">
        <f t="shared" si="69"/>
        <v/>
      </c>
      <c r="H611" s="43" t="str">
        <f>IF(C611="","",GETPIVOTDATA("WinPips",ProfitRpt!$A$9,"Trade Month",C611,"Trade Year",B611))</f>
        <v/>
      </c>
      <c r="I611" s="42" t="str">
        <f t="shared" si="64"/>
        <v/>
      </c>
      <c r="J611" s="43" t="str">
        <f t="shared" si="65"/>
        <v/>
      </c>
      <c r="K611" s="44" t="str">
        <f t="shared" si="66"/>
        <v/>
      </c>
      <c r="L611" s="44" t="str">
        <f t="shared" si="67"/>
        <v/>
      </c>
    </row>
    <row r="612" spans="1:12">
      <c r="A612" s="1" t="str">
        <f t="shared" si="68"/>
        <v/>
      </c>
      <c r="F612" s="42" t="str">
        <f t="shared" si="63"/>
        <v/>
      </c>
      <c r="G612" s="42" t="str">
        <f t="shared" si="69"/>
        <v/>
      </c>
      <c r="H612" s="43" t="str">
        <f>IF(C612="","",GETPIVOTDATA("WinPips",ProfitRpt!$A$9,"Trade Month",C612,"Trade Year",B612))</f>
        <v/>
      </c>
      <c r="I612" s="42" t="str">
        <f t="shared" si="64"/>
        <v/>
      </c>
      <c r="J612" s="43" t="str">
        <f t="shared" si="65"/>
        <v/>
      </c>
      <c r="K612" s="44" t="str">
        <f t="shared" si="66"/>
        <v/>
      </c>
      <c r="L612" s="44" t="str">
        <f t="shared" si="67"/>
        <v/>
      </c>
    </row>
    <row r="613" spans="1:12">
      <c r="A613" s="1" t="str">
        <f t="shared" si="68"/>
        <v/>
      </c>
      <c r="F613" s="42" t="str">
        <f t="shared" si="63"/>
        <v/>
      </c>
      <c r="G613" s="42" t="str">
        <f t="shared" si="69"/>
        <v/>
      </c>
      <c r="H613" s="43" t="str">
        <f>IF(C613="","",GETPIVOTDATA("WinPips",ProfitRpt!$A$9,"Trade Month",C613,"Trade Year",B613))</f>
        <v/>
      </c>
      <c r="I613" s="42" t="str">
        <f t="shared" si="64"/>
        <v/>
      </c>
      <c r="J613" s="43" t="str">
        <f t="shared" si="65"/>
        <v/>
      </c>
      <c r="K613" s="44" t="str">
        <f t="shared" si="66"/>
        <v/>
      </c>
      <c r="L613" s="44" t="str">
        <f t="shared" si="67"/>
        <v/>
      </c>
    </row>
    <row r="614" spans="1:12">
      <c r="A614" s="1" t="str">
        <f t="shared" si="68"/>
        <v/>
      </c>
      <c r="F614" s="42" t="str">
        <f t="shared" si="63"/>
        <v/>
      </c>
      <c r="G614" s="42" t="str">
        <f t="shared" si="69"/>
        <v/>
      </c>
      <c r="H614" s="43" t="str">
        <f>IF(C614="","",GETPIVOTDATA("WinPips",ProfitRpt!$A$9,"Trade Month",C614,"Trade Year",B614))</f>
        <v/>
      </c>
      <c r="I614" s="42" t="str">
        <f t="shared" si="64"/>
        <v/>
      </c>
      <c r="J614" s="43" t="str">
        <f t="shared" si="65"/>
        <v/>
      </c>
      <c r="K614" s="44" t="str">
        <f t="shared" si="66"/>
        <v/>
      </c>
      <c r="L614" s="44" t="str">
        <f t="shared" si="67"/>
        <v/>
      </c>
    </row>
    <row r="615" spans="1:12">
      <c r="A615" s="1" t="str">
        <f t="shared" si="68"/>
        <v/>
      </c>
      <c r="F615" s="42" t="str">
        <f t="shared" si="63"/>
        <v/>
      </c>
      <c r="G615" s="42" t="str">
        <f t="shared" si="69"/>
        <v/>
      </c>
      <c r="H615" s="43" t="str">
        <f>IF(C615="","",GETPIVOTDATA("WinPips",ProfitRpt!$A$9,"Trade Month",C615,"Trade Year",B615))</f>
        <v/>
      </c>
      <c r="I615" s="42" t="str">
        <f t="shared" si="64"/>
        <v/>
      </c>
      <c r="J615" s="43" t="str">
        <f t="shared" si="65"/>
        <v/>
      </c>
      <c r="K615" s="44" t="str">
        <f t="shared" si="66"/>
        <v/>
      </c>
      <c r="L615" s="44" t="str">
        <f t="shared" si="67"/>
        <v/>
      </c>
    </row>
    <row r="616" spans="1:12">
      <c r="A616" s="1" t="str">
        <f t="shared" si="68"/>
        <v/>
      </c>
      <c r="F616" s="42" t="str">
        <f t="shared" si="63"/>
        <v/>
      </c>
      <c r="G616" s="42" t="str">
        <f t="shared" si="69"/>
        <v/>
      </c>
      <c r="H616" s="43" t="str">
        <f>IF(C616="","",GETPIVOTDATA("WinPips",ProfitRpt!$A$9,"Trade Month",C616,"Trade Year",B616))</f>
        <v/>
      </c>
      <c r="I616" s="42" t="str">
        <f t="shared" si="64"/>
        <v/>
      </c>
      <c r="J616" s="43" t="str">
        <f t="shared" si="65"/>
        <v/>
      </c>
      <c r="K616" s="44" t="str">
        <f t="shared" si="66"/>
        <v/>
      </c>
      <c r="L616" s="44" t="str">
        <f t="shared" si="67"/>
        <v/>
      </c>
    </row>
    <row r="617" spans="1:12">
      <c r="A617" s="1" t="str">
        <f t="shared" si="68"/>
        <v/>
      </c>
      <c r="F617" s="42" t="str">
        <f t="shared" si="63"/>
        <v/>
      </c>
      <c r="G617" s="42" t="str">
        <f t="shared" si="69"/>
        <v/>
      </c>
      <c r="H617" s="43" t="str">
        <f>IF(C617="","",GETPIVOTDATA("WinPips",ProfitRpt!$A$9,"Trade Month",C617,"Trade Year",B617))</f>
        <v/>
      </c>
      <c r="I617" s="42" t="str">
        <f t="shared" si="64"/>
        <v/>
      </c>
      <c r="J617" s="43" t="str">
        <f t="shared" si="65"/>
        <v/>
      </c>
      <c r="K617" s="44" t="str">
        <f t="shared" si="66"/>
        <v/>
      </c>
      <c r="L617" s="44" t="str">
        <f t="shared" si="67"/>
        <v/>
      </c>
    </row>
    <row r="618" spans="1:12">
      <c r="A618" s="1" t="str">
        <f t="shared" si="68"/>
        <v/>
      </c>
      <c r="F618" s="42" t="str">
        <f t="shared" si="63"/>
        <v/>
      </c>
      <c r="G618" s="42" t="str">
        <f t="shared" si="69"/>
        <v/>
      </c>
      <c r="H618" s="43" t="str">
        <f>IF(C618="","",GETPIVOTDATA("WinPips",ProfitRpt!$A$9,"Trade Month",C618,"Trade Year",B618))</f>
        <v/>
      </c>
      <c r="I618" s="42" t="str">
        <f t="shared" si="64"/>
        <v/>
      </c>
      <c r="J618" s="43" t="str">
        <f t="shared" si="65"/>
        <v/>
      </c>
      <c r="K618" s="44" t="str">
        <f t="shared" si="66"/>
        <v/>
      </c>
      <c r="L618" s="44" t="str">
        <f t="shared" si="67"/>
        <v/>
      </c>
    </row>
    <row r="619" spans="1:12">
      <c r="A619" s="1" t="str">
        <f t="shared" si="68"/>
        <v/>
      </c>
      <c r="F619" s="42" t="str">
        <f t="shared" si="63"/>
        <v/>
      </c>
      <c r="G619" s="42" t="str">
        <f t="shared" si="69"/>
        <v/>
      </c>
      <c r="H619" s="43" t="str">
        <f>IF(C619="","",GETPIVOTDATA("WinPips",ProfitRpt!$A$9,"Trade Month",C619,"Trade Year",B619))</f>
        <v/>
      </c>
      <c r="I619" s="42" t="str">
        <f t="shared" si="64"/>
        <v/>
      </c>
      <c r="J619" s="43" t="str">
        <f t="shared" si="65"/>
        <v/>
      </c>
      <c r="K619" s="44" t="str">
        <f t="shared" si="66"/>
        <v/>
      </c>
      <c r="L619" s="44" t="str">
        <f t="shared" si="67"/>
        <v/>
      </c>
    </row>
    <row r="620" spans="1:12">
      <c r="A620" s="1" t="str">
        <f t="shared" si="68"/>
        <v/>
      </c>
      <c r="F620" s="42" t="str">
        <f t="shared" si="63"/>
        <v/>
      </c>
      <c r="G620" s="42" t="str">
        <f t="shared" si="69"/>
        <v/>
      </c>
      <c r="H620" s="43" t="str">
        <f>IF(C620="","",GETPIVOTDATA("WinPips",ProfitRpt!$A$9,"Trade Month",C620,"Trade Year",B620))</f>
        <v/>
      </c>
      <c r="I620" s="42" t="str">
        <f t="shared" si="64"/>
        <v/>
      </c>
      <c r="J620" s="43" t="str">
        <f t="shared" si="65"/>
        <v/>
      </c>
      <c r="K620" s="44" t="str">
        <f t="shared" si="66"/>
        <v/>
      </c>
      <c r="L620" s="44" t="str">
        <f t="shared" si="67"/>
        <v/>
      </c>
    </row>
    <row r="621" spans="1:12">
      <c r="A621" s="1" t="str">
        <f t="shared" si="68"/>
        <v/>
      </c>
      <c r="F621" s="42" t="str">
        <f t="shared" si="63"/>
        <v/>
      </c>
      <c r="G621" s="42" t="str">
        <f t="shared" si="69"/>
        <v/>
      </c>
      <c r="H621" s="43" t="str">
        <f>IF(C621="","",GETPIVOTDATA("WinPips",ProfitRpt!$A$9,"Trade Month",C621,"Trade Year",B621))</f>
        <v/>
      </c>
      <c r="I621" s="42" t="str">
        <f t="shared" si="64"/>
        <v/>
      </c>
      <c r="J621" s="43" t="str">
        <f t="shared" si="65"/>
        <v/>
      </c>
      <c r="K621" s="44" t="str">
        <f t="shared" si="66"/>
        <v/>
      </c>
      <c r="L621" s="44" t="str">
        <f t="shared" si="67"/>
        <v/>
      </c>
    </row>
    <row r="622" spans="1:12">
      <c r="A622" s="1" t="str">
        <f t="shared" si="68"/>
        <v/>
      </c>
      <c r="F622" s="42" t="str">
        <f t="shared" si="63"/>
        <v/>
      </c>
      <c r="G622" s="42" t="str">
        <f t="shared" si="69"/>
        <v/>
      </c>
      <c r="H622" s="43" t="str">
        <f>IF(C622="","",GETPIVOTDATA("WinPips",ProfitRpt!$A$9,"Trade Month",C622,"Trade Year",B622))</f>
        <v/>
      </c>
      <c r="I622" s="42" t="str">
        <f t="shared" si="64"/>
        <v/>
      </c>
      <c r="J622" s="43" t="str">
        <f t="shared" si="65"/>
        <v/>
      </c>
      <c r="K622" s="44" t="str">
        <f t="shared" si="66"/>
        <v/>
      </c>
      <c r="L622" s="44" t="str">
        <f t="shared" si="67"/>
        <v/>
      </c>
    </row>
    <row r="623" spans="1:12">
      <c r="A623" s="1" t="str">
        <f t="shared" si="68"/>
        <v/>
      </c>
      <c r="F623" s="42" t="str">
        <f t="shared" si="63"/>
        <v/>
      </c>
      <c r="G623" s="42" t="str">
        <f t="shared" si="69"/>
        <v/>
      </c>
      <c r="H623" s="43" t="str">
        <f>IF(C623="","",GETPIVOTDATA("WinPips",ProfitRpt!$A$9,"Trade Month",C623,"Trade Year",B623))</f>
        <v/>
      </c>
      <c r="I623" s="42" t="str">
        <f t="shared" si="64"/>
        <v/>
      </c>
      <c r="J623" s="43" t="str">
        <f t="shared" si="65"/>
        <v/>
      </c>
      <c r="K623" s="44" t="str">
        <f t="shared" si="66"/>
        <v/>
      </c>
      <c r="L623" s="44" t="str">
        <f t="shared" si="67"/>
        <v/>
      </c>
    </row>
    <row r="624" spans="1:12">
      <c r="A624" s="1" t="str">
        <f t="shared" si="68"/>
        <v/>
      </c>
      <c r="F624" s="42" t="str">
        <f t="shared" si="63"/>
        <v/>
      </c>
      <c r="G624" s="42" t="str">
        <f t="shared" si="69"/>
        <v/>
      </c>
      <c r="H624" s="43" t="str">
        <f>IF(C624="","",GETPIVOTDATA("WinPips",ProfitRpt!$A$9,"Trade Month",C624,"Trade Year",B624))</f>
        <v/>
      </c>
      <c r="I624" s="42" t="str">
        <f t="shared" si="64"/>
        <v/>
      </c>
      <c r="J624" s="43" t="str">
        <f t="shared" si="65"/>
        <v/>
      </c>
      <c r="K624" s="44" t="str">
        <f t="shared" si="66"/>
        <v/>
      </c>
      <c r="L624" s="44" t="str">
        <f t="shared" si="67"/>
        <v/>
      </c>
    </row>
    <row r="625" spans="1:12">
      <c r="A625" s="1" t="str">
        <f t="shared" si="68"/>
        <v/>
      </c>
      <c r="F625" s="42" t="str">
        <f t="shared" si="63"/>
        <v/>
      </c>
      <c r="G625" s="42" t="str">
        <f t="shared" si="69"/>
        <v/>
      </c>
      <c r="H625" s="43" t="str">
        <f>IF(C625="","",GETPIVOTDATA("WinPips",ProfitRpt!$A$9,"Trade Month",C625,"Trade Year",B625))</f>
        <v/>
      </c>
      <c r="I625" s="42" t="str">
        <f t="shared" si="64"/>
        <v/>
      </c>
      <c r="J625" s="43" t="str">
        <f t="shared" si="65"/>
        <v/>
      </c>
      <c r="K625" s="44" t="str">
        <f t="shared" si="66"/>
        <v/>
      </c>
      <c r="L625" s="44" t="str">
        <f t="shared" si="67"/>
        <v/>
      </c>
    </row>
    <row r="626" spans="1:12">
      <c r="A626" s="1" t="str">
        <f t="shared" si="68"/>
        <v/>
      </c>
      <c r="F626" s="42" t="str">
        <f t="shared" si="63"/>
        <v/>
      </c>
      <c r="G626" s="42" t="str">
        <f t="shared" si="69"/>
        <v/>
      </c>
      <c r="H626" s="43" t="str">
        <f>IF(C626="","",GETPIVOTDATA("WinPips",ProfitRpt!$A$9,"Trade Month",C626,"Trade Year",B626))</f>
        <v/>
      </c>
      <c r="I626" s="42" t="str">
        <f t="shared" si="64"/>
        <v/>
      </c>
      <c r="J626" s="43" t="str">
        <f t="shared" si="65"/>
        <v/>
      </c>
      <c r="K626" s="44" t="str">
        <f t="shared" si="66"/>
        <v/>
      </c>
      <c r="L626" s="44" t="str">
        <f t="shared" si="67"/>
        <v/>
      </c>
    </row>
    <row r="627" spans="1:12">
      <c r="A627" s="1" t="str">
        <f t="shared" si="68"/>
        <v/>
      </c>
      <c r="F627" s="42" t="str">
        <f t="shared" si="63"/>
        <v/>
      </c>
      <c r="G627" s="42" t="str">
        <f t="shared" si="69"/>
        <v/>
      </c>
      <c r="H627" s="43" t="str">
        <f>IF(C627="","",GETPIVOTDATA("WinPips",ProfitRpt!$A$9,"Trade Month",C627,"Trade Year",B627))</f>
        <v/>
      </c>
      <c r="I627" s="42" t="str">
        <f t="shared" si="64"/>
        <v/>
      </c>
      <c r="J627" s="43" t="str">
        <f t="shared" si="65"/>
        <v/>
      </c>
      <c r="K627" s="44" t="str">
        <f t="shared" si="66"/>
        <v/>
      </c>
      <c r="L627" s="44" t="str">
        <f t="shared" si="67"/>
        <v/>
      </c>
    </row>
    <row r="628" spans="1:12">
      <c r="A628" s="1" t="str">
        <f t="shared" si="68"/>
        <v/>
      </c>
      <c r="F628" s="42" t="str">
        <f t="shared" si="63"/>
        <v/>
      </c>
      <c r="G628" s="42" t="str">
        <f t="shared" si="69"/>
        <v/>
      </c>
      <c r="H628" s="43" t="str">
        <f>IF(C628="","",GETPIVOTDATA("WinPips",ProfitRpt!$A$9,"Trade Month",C628,"Trade Year",B628))</f>
        <v/>
      </c>
      <c r="I628" s="42" t="str">
        <f t="shared" si="64"/>
        <v/>
      </c>
      <c r="J628" s="43" t="str">
        <f t="shared" si="65"/>
        <v/>
      </c>
      <c r="K628" s="44" t="str">
        <f t="shared" si="66"/>
        <v/>
      </c>
      <c r="L628" s="44" t="str">
        <f t="shared" si="67"/>
        <v/>
      </c>
    </row>
    <row r="629" spans="1:12">
      <c r="A629" s="1" t="str">
        <f t="shared" si="68"/>
        <v/>
      </c>
      <c r="F629" s="42" t="str">
        <f t="shared" si="63"/>
        <v/>
      </c>
      <c r="G629" s="42" t="str">
        <f t="shared" si="69"/>
        <v/>
      </c>
      <c r="H629" s="43" t="str">
        <f>IF(C629="","",GETPIVOTDATA("WinPips",ProfitRpt!$A$9,"Trade Month",C629,"Trade Year",B629))</f>
        <v/>
      </c>
      <c r="I629" s="42" t="str">
        <f t="shared" si="64"/>
        <v/>
      </c>
      <c r="J629" s="43" t="str">
        <f t="shared" si="65"/>
        <v/>
      </c>
      <c r="K629" s="44" t="str">
        <f t="shared" si="66"/>
        <v/>
      </c>
      <c r="L629" s="44" t="str">
        <f t="shared" si="67"/>
        <v/>
      </c>
    </row>
    <row r="630" spans="1:12">
      <c r="A630" s="1" t="str">
        <f t="shared" si="68"/>
        <v/>
      </c>
      <c r="F630" s="42" t="str">
        <f t="shared" si="63"/>
        <v/>
      </c>
      <c r="G630" s="42" t="str">
        <f t="shared" si="69"/>
        <v/>
      </c>
      <c r="H630" s="43" t="str">
        <f>IF(C630="","",GETPIVOTDATA("WinPips",ProfitRpt!$A$9,"Trade Month",C630,"Trade Year",B630))</f>
        <v/>
      </c>
      <c r="I630" s="42" t="str">
        <f t="shared" si="64"/>
        <v/>
      </c>
      <c r="J630" s="43" t="str">
        <f t="shared" si="65"/>
        <v/>
      </c>
      <c r="K630" s="44" t="str">
        <f t="shared" si="66"/>
        <v/>
      </c>
      <c r="L630" s="44" t="str">
        <f t="shared" si="67"/>
        <v/>
      </c>
    </row>
    <row r="631" spans="1:12">
      <c r="A631" s="1" t="str">
        <f t="shared" si="68"/>
        <v/>
      </c>
      <c r="F631" s="42" t="str">
        <f t="shared" si="63"/>
        <v/>
      </c>
      <c r="G631" s="42" t="str">
        <f t="shared" si="69"/>
        <v/>
      </c>
      <c r="H631" s="43" t="str">
        <f>IF(C631="","",GETPIVOTDATA("WinPips",ProfitRpt!$A$9,"Trade Month",C631,"Trade Year",B631))</f>
        <v/>
      </c>
      <c r="I631" s="42" t="str">
        <f t="shared" si="64"/>
        <v/>
      </c>
      <c r="J631" s="43" t="str">
        <f t="shared" si="65"/>
        <v/>
      </c>
      <c r="K631" s="44" t="str">
        <f t="shared" si="66"/>
        <v/>
      </c>
      <c r="L631" s="44" t="str">
        <f t="shared" si="67"/>
        <v/>
      </c>
    </row>
    <row r="632" spans="1:12">
      <c r="A632" s="1" t="str">
        <f t="shared" si="68"/>
        <v/>
      </c>
      <c r="F632" s="42" t="str">
        <f t="shared" si="63"/>
        <v/>
      </c>
      <c r="G632" s="42" t="str">
        <f t="shared" si="69"/>
        <v/>
      </c>
      <c r="H632" s="43" t="str">
        <f>IF(C632="","",GETPIVOTDATA("WinPips",ProfitRpt!$A$9,"Trade Month",C632,"Trade Year",B632))</f>
        <v/>
      </c>
      <c r="I632" s="42" t="str">
        <f t="shared" si="64"/>
        <v/>
      </c>
      <c r="J632" s="43" t="str">
        <f t="shared" si="65"/>
        <v/>
      </c>
      <c r="K632" s="44" t="str">
        <f t="shared" si="66"/>
        <v/>
      </c>
      <c r="L632" s="44" t="str">
        <f t="shared" si="67"/>
        <v/>
      </c>
    </row>
    <row r="633" spans="1:12">
      <c r="A633" s="1" t="str">
        <f t="shared" si="68"/>
        <v/>
      </c>
      <c r="F633" s="42" t="str">
        <f t="shared" si="63"/>
        <v/>
      </c>
      <c r="G633" s="42" t="str">
        <f t="shared" si="69"/>
        <v/>
      </c>
      <c r="H633" s="43" t="str">
        <f>IF(C633="","",GETPIVOTDATA("WinPips",ProfitRpt!$A$9,"Trade Month",C633,"Trade Year",B633))</f>
        <v/>
      </c>
      <c r="I633" s="42" t="str">
        <f t="shared" si="64"/>
        <v/>
      </c>
      <c r="J633" s="43" t="str">
        <f t="shared" si="65"/>
        <v/>
      </c>
      <c r="K633" s="44" t="str">
        <f t="shared" si="66"/>
        <v/>
      </c>
      <c r="L633" s="44" t="str">
        <f t="shared" si="67"/>
        <v/>
      </c>
    </row>
    <row r="634" spans="1:12">
      <c r="A634" s="1" t="str">
        <f t="shared" si="68"/>
        <v/>
      </c>
      <c r="F634" s="42" t="str">
        <f t="shared" si="63"/>
        <v/>
      </c>
      <c r="G634" s="42" t="str">
        <f t="shared" si="69"/>
        <v/>
      </c>
      <c r="H634" s="43" t="str">
        <f>IF(C634="","",GETPIVOTDATA("WinPips",ProfitRpt!$A$9,"Trade Month",C634,"Trade Year",B634))</f>
        <v/>
      </c>
      <c r="I634" s="42" t="str">
        <f t="shared" si="64"/>
        <v/>
      </c>
      <c r="J634" s="43" t="str">
        <f t="shared" si="65"/>
        <v/>
      </c>
      <c r="K634" s="44" t="str">
        <f t="shared" si="66"/>
        <v/>
      </c>
      <c r="L634" s="44" t="str">
        <f t="shared" si="67"/>
        <v/>
      </c>
    </row>
    <row r="635" spans="1:12">
      <c r="A635" s="1" t="str">
        <f t="shared" si="68"/>
        <v/>
      </c>
      <c r="F635" s="42" t="str">
        <f t="shared" si="63"/>
        <v/>
      </c>
      <c r="G635" s="42" t="str">
        <f t="shared" si="69"/>
        <v/>
      </c>
      <c r="H635" s="43" t="str">
        <f>IF(C635="","",GETPIVOTDATA("WinPips",ProfitRpt!$A$9,"Trade Month",C635,"Trade Year",B635))</f>
        <v/>
      </c>
      <c r="I635" s="42" t="str">
        <f t="shared" si="64"/>
        <v/>
      </c>
      <c r="J635" s="43" t="str">
        <f t="shared" si="65"/>
        <v/>
      </c>
      <c r="K635" s="44" t="str">
        <f t="shared" si="66"/>
        <v/>
      </c>
      <c r="L635" s="44" t="str">
        <f t="shared" si="67"/>
        <v/>
      </c>
    </row>
    <row r="636" spans="1:12">
      <c r="A636" s="1" t="str">
        <f t="shared" si="68"/>
        <v/>
      </c>
      <c r="F636" s="42" t="str">
        <f t="shared" si="63"/>
        <v/>
      </c>
      <c r="G636" s="42" t="str">
        <f t="shared" si="69"/>
        <v/>
      </c>
      <c r="H636" s="43" t="str">
        <f>IF(C636="","",GETPIVOTDATA("WinPips",ProfitRpt!$A$9,"Trade Month",C636,"Trade Year",B636))</f>
        <v/>
      </c>
      <c r="I636" s="42" t="str">
        <f t="shared" si="64"/>
        <v/>
      </c>
      <c r="J636" s="43" t="str">
        <f t="shared" si="65"/>
        <v/>
      </c>
      <c r="K636" s="44" t="str">
        <f t="shared" si="66"/>
        <v/>
      </c>
      <c r="L636" s="44" t="str">
        <f t="shared" si="67"/>
        <v/>
      </c>
    </row>
    <row r="637" spans="1:12">
      <c r="A637" s="1" t="str">
        <f t="shared" si="68"/>
        <v/>
      </c>
      <c r="F637" s="42" t="str">
        <f t="shared" si="63"/>
        <v/>
      </c>
      <c r="G637" s="42" t="str">
        <f t="shared" si="69"/>
        <v/>
      </c>
      <c r="H637" s="43" t="str">
        <f>IF(C637="","",GETPIVOTDATA("WinPips",ProfitRpt!$A$9,"Trade Month",C637,"Trade Year",B637))</f>
        <v/>
      </c>
      <c r="I637" s="42" t="str">
        <f t="shared" si="64"/>
        <v/>
      </c>
      <c r="J637" s="43" t="str">
        <f t="shared" si="65"/>
        <v/>
      </c>
      <c r="K637" s="44" t="str">
        <f t="shared" si="66"/>
        <v/>
      </c>
      <c r="L637" s="44" t="str">
        <f t="shared" si="67"/>
        <v/>
      </c>
    </row>
    <row r="638" spans="1:12">
      <c r="A638" s="1" t="str">
        <f t="shared" si="68"/>
        <v/>
      </c>
      <c r="F638" s="42" t="str">
        <f t="shared" si="63"/>
        <v/>
      </c>
      <c r="G638" s="42" t="str">
        <f t="shared" si="69"/>
        <v/>
      </c>
      <c r="H638" s="43" t="str">
        <f>IF(C638="","",GETPIVOTDATA("WinPips",ProfitRpt!$A$9,"Trade Month",C638,"Trade Year",B638))</f>
        <v/>
      </c>
      <c r="I638" s="42" t="str">
        <f t="shared" si="64"/>
        <v/>
      </c>
      <c r="J638" s="43" t="str">
        <f t="shared" si="65"/>
        <v/>
      </c>
      <c r="K638" s="44" t="str">
        <f t="shared" si="66"/>
        <v/>
      </c>
      <c r="L638" s="44" t="str">
        <f t="shared" si="67"/>
        <v/>
      </c>
    </row>
    <row r="639" spans="1:12">
      <c r="A639" s="1" t="str">
        <f t="shared" si="68"/>
        <v/>
      </c>
      <c r="F639" s="42" t="str">
        <f t="shared" si="63"/>
        <v/>
      </c>
      <c r="G639" s="42" t="str">
        <f t="shared" si="69"/>
        <v/>
      </c>
      <c r="H639" s="43" t="str">
        <f>IF(C639="","",GETPIVOTDATA("WinPips",ProfitRpt!$A$9,"Trade Month",C639,"Trade Year",B639))</f>
        <v/>
      </c>
      <c r="I639" s="42" t="str">
        <f t="shared" si="64"/>
        <v/>
      </c>
      <c r="J639" s="43" t="str">
        <f t="shared" si="65"/>
        <v/>
      </c>
      <c r="K639" s="44" t="str">
        <f t="shared" si="66"/>
        <v/>
      </c>
      <c r="L639" s="44" t="str">
        <f t="shared" si="67"/>
        <v/>
      </c>
    </row>
    <row r="640" spans="1:12">
      <c r="A640" s="1" t="str">
        <f t="shared" si="68"/>
        <v/>
      </c>
      <c r="F640" s="42" t="str">
        <f t="shared" si="63"/>
        <v/>
      </c>
      <c r="G640" s="42" t="str">
        <f t="shared" si="69"/>
        <v/>
      </c>
      <c r="H640" s="43" t="str">
        <f>IF(C640="","",GETPIVOTDATA("WinPips",ProfitRpt!$A$9,"Trade Month",C640,"Trade Year",B640))</f>
        <v/>
      </c>
      <c r="I640" s="42" t="str">
        <f t="shared" si="64"/>
        <v/>
      </c>
      <c r="J640" s="43" t="str">
        <f t="shared" si="65"/>
        <v/>
      </c>
      <c r="K640" s="44" t="str">
        <f t="shared" si="66"/>
        <v/>
      </c>
      <c r="L640" s="44" t="str">
        <f t="shared" si="67"/>
        <v/>
      </c>
    </row>
    <row r="641" spans="1:12">
      <c r="A641" s="1" t="str">
        <f t="shared" si="68"/>
        <v/>
      </c>
      <c r="F641" s="42" t="str">
        <f t="shared" si="63"/>
        <v/>
      </c>
      <c r="G641" s="42" t="str">
        <f t="shared" si="69"/>
        <v/>
      </c>
      <c r="H641" s="43" t="str">
        <f>IF(C641="","",GETPIVOTDATA("WinPips",ProfitRpt!$A$9,"Trade Month",C641,"Trade Year",B641))</f>
        <v/>
      </c>
      <c r="I641" s="42" t="str">
        <f t="shared" si="64"/>
        <v/>
      </c>
      <c r="J641" s="43" t="str">
        <f t="shared" si="65"/>
        <v/>
      </c>
      <c r="K641" s="44" t="str">
        <f t="shared" si="66"/>
        <v/>
      </c>
      <c r="L641" s="44" t="str">
        <f t="shared" si="67"/>
        <v/>
      </c>
    </row>
    <row r="642" spans="1:12">
      <c r="A642" s="1" t="str">
        <f t="shared" si="68"/>
        <v/>
      </c>
      <c r="F642" s="42" t="str">
        <f t="shared" si="63"/>
        <v/>
      </c>
      <c r="G642" s="42" t="str">
        <f t="shared" si="69"/>
        <v/>
      </c>
      <c r="H642" s="43" t="str">
        <f>IF(C642="","",GETPIVOTDATA("WinPips",ProfitRpt!$A$9,"Trade Month",C642,"Trade Year",B642))</f>
        <v/>
      </c>
      <c r="I642" s="42" t="str">
        <f t="shared" si="64"/>
        <v/>
      </c>
      <c r="J642" s="43" t="str">
        <f t="shared" si="65"/>
        <v/>
      </c>
      <c r="K642" s="44" t="str">
        <f t="shared" si="66"/>
        <v/>
      </c>
      <c r="L642" s="44" t="str">
        <f t="shared" si="67"/>
        <v/>
      </c>
    </row>
    <row r="643" spans="1:12">
      <c r="A643" s="1" t="str">
        <f t="shared" si="68"/>
        <v/>
      </c>
      <c r="F643" s="42" t="str">
        <f t="shared" si="63"/>
        <v/>
      </c>
      <c r="G643" s="42" t="str">
        <f t="shared" si="69"/>
        <v/>
      </c>
      <c r="H643" s="43" t="str">
        <f>IF(C643="","",GETPIVOTDATA("WinPips",ProfitRpt!$A$9,"Trade Month",C643,"Trade Year",B643))</f>
        <v/>
      </c>
      <c r="I643" s="42" t="str">
        <f t="shared" si="64"/>
        <v/>
      </c>
      <c r="J643" s="43" t="str">
        <f t="shared" si="65"/>
        <v/>
      </c>
      <c r="K643" s="44" t="str">
        <f t="shared" si="66"/>
        <v/>
      </c>
      <c r="L643" s="44" t="str">
        <f t="shared" si="67"/>
        <v/>
      </c>
    </row>
    <row r="644" spans="1:12">
      <c r="A644" s="1" t="str">
        <f t="shared" si="68"/>
        <v/>
      </c>
      <c r="F644" s="42" t="str">
        <f t="shared" si="63"/>
        <v/>
      </c>
      <c r="G644" s="42" t="str">
        <f t="shared" si="69"/>
        <v/>
      </c>
      <c r="H644" s="43" t="str">
        <f>IF(C644="","",GETPIVOTDATA("WinPips",ProfitRpt!$A$9,"Trade Month",C644,"Trade Year",B644))</f>
        <v/>
      </c>
      <c r="I644" s="42" t="str">
        <f t="shared" si="64"/>
        <v/>
      </c>
      <c r="J644" s="43" t="str">
        <f t="shared" si="65"/>
        <v/>
      </c>
      <c r="K644" s="44" t="str">
        <f t="shared" si="66"/>
        <v/>
      </c>
      <c r="L644" s="44" t="str">
        <f t="shared" si="67"/>
        <v/>
      </c>
    </row>
    <row r="645" spans="1:12">
      <c r="A645" s="1" t="str">
        <f t="shared" si="68"/>
        <v/>
      </c>
      <c r="F645" s="42" t="str">
        <f t="shared" si="63"/>
        <v/>
      </c>
      <c r="G645" s="42" t="str">
        <f t="shared" si="69"/>
        <v/>
      </c>
      <c r="H645" s="43" t="str">
        <f>IF(C645="","",GETPIVOTDATA("WinPips",ProfitRpt!$A$9,"Trade Month",C645,"Trade Year",B645))</f>
        <v/>
      </c>
      <c r="I645" s="42" t="str">
        <f t="shared" si="64"/>
        <v/>
      </c>
      <c r="J645" s="43" t="str">
        <f t="shared" si="65"/>
        <v/>
      </c>
      <c r="K645" s="44" t="str">
        <f t="shared" si="66"/>
        <v/>
      </c>
      <c r="L645" s="44" t="str">
        <f t="shared" si="67"/>
        <v/>
      </c>
    </row>
    <row r="646" spans="1:12">
      <c r="A646" s="1" t="str">
        <f t="shared" si="68"/>
        <v/>
      </c>
      <c r="F646" s="42" t="str">
        <f t="shared" si="63"/>
        <v/>
      </c>
      <c r="G646" s="42" t="str">
        <f t="shared" si="69"/>
        <v/>
      </c>
      <c r="H646" s="43" t="str">
        <f>IF(C646="","",GETPIVOTDATA("WinPips",ProfitRpt!$A$9,"Trade Month",C646,"Trade Year",B646))</f>
        <v/>
      </c>
      <c r="I646" s="42" t="str">
        <f t="shared" si="64"/>
        <v/>
      </c>
      <c r="J646" s="43" t="str">
        <f t="shared" si="65"/>
        <v/>
      </c>
      <c r="K646" s="44" t="str">
        <f t="shared" si="66"/>
        <v/>
      </c>
      <c r="L646" s="44" t="str">
        <f t="shared" si="67"/>
        <v/>
      </c>
    </row>
    <row r="647" spans="1:12">
      <c r="A647" s="1" t="str">
        <f t="shared" si="68"/>
        <v/>
      </c>
      <c r="F647" s="42" t="str">
        <f t="shared" ref="F647:F710" si="70">IF(G647="","",E647+G647)</f>
        <v/>
      </c>
      <c r="G647" s="42" t="str">
        <f t="shared" si="69"/>
        <v/>
      </c>
      <c r="H647" s="43" t="str">
        <f>IF(C647="","",GETPIVOTDATA("WinPips",ProfitRpt!$A$9,"Trade Month",C647,"Trade Year",B647))</f>
        <v/>
      </c>
      <c r="I647" s="42" t="str">
        <f t="shared" ref="I647:I710" si="71">IF(B647="","",IF(B647=B646,I646+G647,G647))</f>
        <v/>
      </c>
      <c r="J647" s="43" t="str">
        <f t="shared" ref="J647:J710" si="72">IF(B647="","",IF(B646=B647,J646+H647,H647))</f>
        <v/>
      </c>
      <c r="K647" s="44" t="str">
        <f t="shared" ref="K647:K710" si="73">IF(F647="","",IF(E647="","",(F647-E647)/E647))</f>
        <v/>
      </c>
      <c r="L647" s="44" t="str">
        <f t="shared" ref="L647:L710" si="74">IF(I647="","",IF(D647="","",I647/D647) )</f>
        <v/>
      </c>
    </row>
    <row r="648" spans="1:12">
      <c r="A648" s="1" t="str">
        <f t="shared" ref="A648:A711" si="75">IF(C648="","",A647+1)</f>
        <v/>
      </c>
      <c r="F648" s="42" t="str">
        <f t="shared" si="70"/>
        <v/>
      </c>
      <c r="G648" s="42" t="str">
        <f t="shared" ref="G648:G711" si="76">IF(C648="","",H648/10)</f>
        <v/>
      </c>
      <c r="H648" s="43" t="str">
        <f>IF(C648="","",GETPIVOTDATA("WinPips",ProfitRpt!$A$9,"Trade Month",C648,"Trade Year",B648))</f>
        <v/>
      </c>
      <c r="I648" s="42" t="str">
        <f t="shared" si="71"/>
        <v/>
      </c>
      <c r="J648" s="43" t="str">
        <f t="shared" si="72"/>
        <v/>
      </c>
      <c r="K648" s="44" t="str">
        <f t="shared" si="73"/>
        <v/>
      </c>
      <c r="L648" s="44" t="str">
        <f t="shared" si="74"/>
        <v/>
      </c>
    </row>
    <row r="649" spans="1:12">
      <c r="A649" s="1" t="str">
        <f t="shared" si="75"/>
        <v/>
      </c>
      <c r="F649" s="42" t="str">
        <f t="shared" si="70"/>
        <v/>
      </c>
      <c r="G649" s="42" t="str">
        <f t="shared" si="76"/>
        <v/>
      </c>
      <c r="H649" s="43" t="str">
        <f>IF(C649="","",GETPIVOTDATA("WinPips",ProfitRpt!$A$9,"Trade Month",C649,"Trade Year",B649))</f>
        <v/>
      </c>
      <c r="I649" s="42" t="str">
        <f t="shared" si="71"/>
        <v/>
      </c>
      <c r="J649" s="43" t="str">
        <f t="shared" si="72"/>
        <v/>
      </c>
      <c r="K649" s="44" t="str">
        <f t="shared" si="73"/>
        <v/>
      </c>
      <c r="L649" s="44" t="str">
        <f t="shared" si="74"/>
        <v/>
      </c>
    </row>
    <row r="650" spans="1:12">
      <c r="A650" s="1" t="str">
        <f t="shared" si="75"/>
        <v/>
      </c>
      <c r="F650" s="42" t="str">
        <f t="shared" si="70"/>
        <v/>
      </c>
      <c r="G650" s="42" t="str">
        <f t="shared" si="76"/>
        <v/>
      </c>
      <c r="H650" s="43" t="str">
        <f>IF(C650="","",GETPIVOTDATA("WinPips",ProfitRpt!$A$9,"Trade Month",C650,"Trade Year",B650))</f>
        <v/>
      </c>
      <c r="I650" s="42" t="str">
        <f t="shared" si="71"/>
        <v/>
      </c>
      <c r="J650" s="43" t="str">
        <f t="shared" si="72"/>
        <v/>
      </c>
      <c r="K650" s="44" t="str">
        <f t="shared" si="73"/>
        <v/>
      </c>
      <c r="L650" s="44" t="str">
        <f t="shared" si="74"/>
        <v/>
      </c>
    </row>
    <row r="651" spans="1:12">
      <c r="A651" s="1" t="str">
        <f t="shared" si="75"/>
        <v/>
      </c>
      <c r="F651" s="42" t="str">
        <f t="shared" si="70"/>
        <v/>
      </c>
      <c r="G651" s="42" t="str">
        <f t="shared" si="76"/>
        <v/>
      </c>
      <c r="H651" s="43" t="str">
        <f>IF(C651="","",GETPIVOTDATA("WinPips",ProfitRpt!$A$9,"Trade Month",C651,"Trade Year",B651))</f>
        <v/>
      </c>
      <c r="I651" s="42" t="str">
        <f t="shared" si="71"/>
        <v/>
      </c>
      <c r="J651" s="43" t="str">
        <f t="shared" si="72"/>
        <v/>
      </c>
      <c r="K651" s="44" t="str">
        <f t="shared" si="73"/>
        <v/>
      </c>
      <c r="L651" s="44" t="str">
        <f t="shared" si="74"/>
        <v/>
      </c>
    </row>
    <row r="652" spans="1:12">
      <c r="A652" s="1" t="str">
        <f t="shared" si="75"/>
        <v/>
      </c>
      <c r="F652" s="42" t="str">
        <f t="shared" si="70"/>
        <v/>
      </c>
      <c r="G652" s="42" t="str">
        <f t="shared" si="76"/>
        <v/>
      </c>
      <c r="H652" s="43" t="str">
        <f>IF(C652="","",GETPIVOTDATA("WinPips",ProfitRpt!$A$9,"Trade Month",C652,"Trade Year",B652))</f>
        <v/>
      </c>
      <c r="I652" s="42" t="str">
        <f t="shared" si="71"/>
        <v/>
      </c>
      <c r="J652" s="43" t="str">
        <f t="shared" si="72"/>
        <v/>
      </c>
      <c r="K652" s="44" t="str">
        <f t="shared" si="73"/>
        <v/>
      </c>
      <c r="L652" s="44" t="str">
        <f t="shared" si="74"/>
        <v/>
      </c>
    </row>
    <row r="653" spans="1:12">
      <c r="A653" s="1" t="str">
        <f t="shared" si="75"/>
        <v/>
      </c>
      <c r="F653" s="42" t="str">
        <f t="shared" si="70"/>
        <v/>
      </c>
      <c r="G653" s="42" t="str">
        <f t="shared" si="76"/>
        <v/>
      </c>
      <c r="H653" s="43" t="str">
        <f>IF(C653="","",GETPIVOTDATA("WinPips",ProfitRpt!$A$9,"Trade Month",C653,"Trade Year",B653))</f>
        <v/>
      </c>
      <c r="I653" s="42" t="str">
        <f t="shared" si="71"/>
        <v/>
      </c>
      <c r="J653" s="43" t="str">
        <f t="shared" si="72"/>
        <v/>
      </c>
      <c r="K653" s="44" t="str">
        <f t="shared" si="73"/>
        <v/>
      </c>
      <c r="L653" s="44" t="str">
        <f t="shared" si="74"/>
        <v/>
      </c>
    </row>
    <row r="654" spans="1:12">
      <c r="A654" s="1" t="str">
        <f t="shared" si="75"/>
        <v/>
      </c>
      <c r="F654" s="42" t="str">
        <f t="shared" si="70"/>
        <v/>
      </c>
      <c r="G654" s="42" t="str">
        <f t="shared" si="76"/>
        <v/>
      </c>
      <c r="H654" s="43" t="str">
        <f>IF(C654="","",GETPIVOTDATA("WinPips",ProfitRpt!$A$9,"Trade Month",C654,"Trade Year",B654))</f>
        <v/>
      </c>
      <c r="I654" s="42" t="str">
        <f t="shared" si="71"/>
        <v/>
      </c>
      <c r="J654" s="43" t="str">
        <f t="shared" si="72"/>
        <v/>
      </c>
      <c r="K654" s="44" t="str">
        <f t="shared" si="73"/>
        <v/>
      </c>
      <c r="L654" s="44" t="str">
        <f t="shared" si="74"/>
        <v/>
      </c>
    </row>
    <row r="655" spans="1:12">
      <c r="A655" s="1" t="str">
        <f t="shared" si="75"/>
        <v/>
      </c>
      <c r="F655" s="42" t="str">
        <f t="shared" si="70"/>
        <v/>
      </c>
      <c r="G655" s="42" t="str">
        <f t="shared" si="76"/>
        <v/>
      </c>
      <c r="H655" s="43" t="str">
        <f>IF(C655="","",GETPIVOTDATA("WinPips",ProfitRpt!$A$9,"Trade Month",C655,"Trade Year",B655))</f>
        <v/>
      </c>
      <c r="I655" s="42" t="str">
        <f t="shared" si="71"/>
        <v/>
      </c>
      <c r="J655" s="43" t="str">
        <f t="shared" si="72"/>
        <v/>
      </c>
      <c r="K655" s="44" t="str">
        <f t="shared" si="73"/>
        <v/>
      </c>
      <c r="L655" s="44" t="str">
        <f t="shared" si="74"/>
        <v/>
      </c>
    </row>
    <row r="656" spans="1:12">
      <c r="A656" s="1" t="str">
        <f t="shared" si="75"/>
        <v/>
      </c>
      <c r="F656" s="42" t="str">
        <f t="shared" si="70"/>
        <v/>
      </c>
      <c r="G656" s="42" t="str">
        <f t="shared" si="76"/>
        <v/>
      </c>
      <c r="H656" s="43" t="str">
        <f>IF(C656="","",GETPIVOTDATA("WinPips",ProfitRpt!$A$9,"Trade Month",C656,"Trade Year",B656))</f>
        <v/>
      </c>
      <c r="I656" s="42" t="str">
        <f t="shared" si="71"/>
        <v/>
      </c>
      <c r="J656" s="43" t="str">
        <f t="shared" si="72"/>
        <v/>
      </c>
      <c r="K656" s="44" t="str">
        <f t="shared" si="73"/>
        <v/>
      </c>
      <c r="L656" s="44" t="str">
        <f t="shared" si="74"/>
        <v/>
      </c>
    </row>
    <row r="657" spans="1:12">
      <c r="A657" s="1" t="str">
        <f t="shared" si="75"/>
        <v/>
      </c>
      <c r="F657" s="42" t="str">
        <f t="shared" si="70"/>
        <v/>
      </c>
      <c r="G657" s="42" t="str">
        <f t="shared" si="76"/>
        <v/>
      </c>
      <c r="H657" s="43" t="str">
        <f>IF(C657="","",GETPIVOTDATA("WinPips",ProfitRpt!$A$9,"Trade Month",C657,"Trade Year",B657))</f>
        <v/>
      </c>
      <c r="I657" s="42" t="str">
        <f t="shared" si="71"/>
        <v/>
      </c>
      <c r="J657" s="43" t="str">
        <f t="shared" si="72"/>
        <v/>
      </c>
      <c r="K657" s="44" t="str">
        <f t="shared" si="73"/>
        <v/>
      </c>
      <c r="L657" s="44" t="str">
        <f t="shared" si="74"/>
        <v/>
      </c>
    </row>
    <row r="658" spans="1:12">
      <c r="A658" s="1" t="str">
        <f t="shared" si="75"/>
        <v/>
      </c>
      <c r="F658" s="42" t="str">
        <f t="shared" si="70"/>
        <v/>
      </c>
      <c r="G658" s="42" t="str">
        <f t="shared" si="76"/>
        <v/>
      </c>
      <c r="H658" s="43" t="str">
        <f>IF(C658="","",GETPIVOTDATA("WinPips",ProfitRpt!$A$9,"Trade Month",C658,"Trade Year",B658))</f>
        <v/>
      </c>
      <c r="I658" s="42" t="str">
        <f t="shared" si="71"/>
        <v/>
      </c>
      <c r="J658" s="43" t="str">
        <f t="shared" si="72"/>
        <v/>
      </c>
      <c r="K658" s="44" t="str">
        <f t="shared" si="73"/>
        <v/>
      </c>
      <c r="L658" s="44" t="str">
        <f t="shared" si="74"/>
        <v/>
      </c>
    </row>
    <row r="659" spans="1:12">
      <c r="A659" s="1" t="str">
        <f t="shared" si="75"/>
        <v/>
      </c>
      <c r="F659" s="42" t="str">
        <f t="shared" si="70"/>
        <v/>
      </c>
      <c r="G659" s="42" t="str">
        <f t="shared" si="76"/>
        <v/>
      </c>
      <c r="H659" s="43" t="str">
        <f>IF(C659="","",GETPIVOTDATA("WinPips",ProfitRpt!$A$9,"Trade Month",C659,"Trade Year",B659))</f>
        <v/>
      </c>
      <c r="I659" s="42" t="str">
        <f t="shared" si="71"/>
        <v/>
      </c>
      <c r="J659" s="43" t="str">
        <f t="shared" si="72"/>
        <v/>
      </c>
      <c r="K659" s="44" t="str">
        <f t="shared" si="73"/>
        <v/>
      </c>
      <c r="L659" s="44" t="str">
        <f t="shared" si="74"/>
        <v/>
      </c>
    </row>
    <row r="660" spans="1:12">
      <c r="A660" s="1" t="str">
        <f t="shared" si="75"/>
        <v/>
      </c>
      <c r="F660" s="42" t="str">
        <f t="shared" si="70"/>
        <v/>
      </c>
      <c r="G660" s="42" t="str">
        <f t="shared" si="76"/>
        <v/>
      </c>
      <c r="H660" s="43" t="str">
        <f>IF(C660="","",GETPIVOTDATA("WinPips",ProfitRpt!$A$9,"Trade Month",C660,"Trade Year",B660))</f>
        <v/>
      </c>
      <c r="I660" s="42" t="str">
        <f t="shared" si="71"/>
        <v/>
      </c>
      <c r="J660" s="43" t="str">
        <f t="shared" si="72"/>
        <v/>
      </c>
      <c r="K660" s="44" t="str">
        <f t="shared" si="73"/>
        <v/>
      </c>
      <c r="L660" s="44" t="str">
        <f t="shared" si="74"/>
        <v/>
      </c>
    </row>
    <row r="661" spans="1:12">
      <c r="A661" s="1" t="str">
        <f t="shared" si="75"/>
        <v/>
      </c>
      <c r="F661" s="42" t="str">
        <f t="shared" si="70"/>
        <v/>
      </c>
      <c r="G661" s="42" t="str">
        <f t="shared" si="76"/>
        <v/>
      </c>
      <c r="H661" s="43" t="str">
        <f>IF(C661="","",GETPIVOTDATA("WinPips",ProfitRpt!$A$9,"Trade Month",C661,"Trade Year",B661))</f>
        <v/>
      </c>
      <c r="I661" s="42" t="str">
        <f t="shared" si="71"/>
        <v/>
      </c>
      <c r="J661" s="43" t="str">
        <f t="shared" si="72"/>
        <v/>
      </c>
      <c r="K661" s="44" t="str">
        <f t="shared" si="73"/>
        <v/>
      </c>
      <c r="L661" s="44" t="str">
        <f t="shared" si="74"/>
        <v/>
      </c>
    </row>
    <row r="662" spans="1:12">
      <c r="A662" s="1" t="str">
        <f t="shared" si="75"/>
        <v/>
      </c>
      <c r="F662" s="42" t="str">
        <f t="shared" si="70"/>
        <v/>
      </c>
      <c r="G662" s="42" t="str">
        <f t="shared" si="76"/>
        <v/>
      </c>
      <c r="H662" s="43" t="str">
        <f>IF(C662="","",GETPIVOTDATA("WinPips",ProfitRpt!$A$9,"Trade Month",C662,"Trade Year",B662))</f>
        <v/>
      </c>
      <c r="I662" s="42" t="str">
        <f t="shared" si="71"/>
        <v/>
      </c>
      <c r="J662" s="43" t="str">
        <f t="shared" si="72"/>
        <v/>
      </c>
      <c r="K662" s="44" t="str">
        <f t="shared" si="73"/>
        <v/>
      </c>
      <c r="L662" s="44" t="str">
        <f t="shared" si="74"/>
        <v/>
      </c>
    </row>
    <row r="663" spans="1:12">
      <c r="A663" s="1" t="str">
        <f t="shared" si="75"/>
        <v/>
      </c>
      <c r="F663" s="42" t="str">
        <f t="shared" si="70"/>
        <v/>
      </c>
      <c r="G663" s="42" t="str">
        <f t="shared" si="76"/>
        <v/>
      </c>
      <c r="H663" s="43" t="str">
        <f>IF(C663="","",GETPIVOTDATA("WinPips",ProfitRpt!$A$9,"Trade Month",C663,"Trade Year",B663))</f>
        <v/>
      </c>
      <c r="I663" s="42" t="str">
        <f t="shared" si="71"/>
        <v/>
      </c>
      <c r="J663" s="43" t="str">
        <f t="shared" si="72"/>
        <v/>
      </c>
      <c r="K663" s="44" t="str">
        <f t="shared" si="73"/>
        <v/>
      </c>
      <c r="L663" s="44" t="str">
        <f t="shared" si="74"/>
        <v/>
      </c>
    </row>
    <row r="664" spans="1:12">
      <c r="A664" s="1" t="str">
        <f t="shared" si="75"/>
        <v/>
      </c>
      <c r="F664" s="42" t="str">
        <f t="shared" si="70"/>
        <v/>
      </c>
      <c r="G664" s="42" t="str">
        <f t="shared" si="76"/>
        <v/>
      </c>
      <c r="H664" s="43" t="str">
        <f>IF(C664="","",GETPIVOTDATA("WinPips",ProfitRpt!$A$9,"Trade Month",C664,"Trade Year",B664))</f>
        <v/>
      </c>
      <c r="I664" s="42" t="str">
        <f t="shared" si="71"/>
        <v/>
      </c>
      <c r="J664" s="43" t="str">
        <f t="shared" si="72"/>
        <v/>
      </c>
      <c r="K664" s="44" t="str">
        <f t="shared" si="73"/>
        <v/>
      </c>
      <c r="L664" s="44" t="str">
        <f t="shared" si="74"/>
        <v/>
      </c>
    </row>
    <row r="665" spans="1:12">
      <c r="A665" s="1" t="str">
        <f t="shared" si="75"/>
        <v/>
      </c>
      <c r="F665" s="42" t="str">
        <f t="shared" si="70"/>
        <v/>
      </c>
      <c r="G665" s="42" t="str">
        <f t="shared" si="76"/>
        <v/>
      </c>
      <c r="H665" s="43" t="str">
        <f>IF(C665="","",GETPIVOTDATA("WinPips",ProfitRpt!$A$9,"Trade Month",C665,"Trade Year",B665))</f>
        <v/>
      </c>
      <c r="I665" s="42" t="str">
        <f t="shared" si="71"/>
        <v/>
      </c>
      <c r="J665" s="43" t="str">
        <f t="shared" si="72"/>
        <v/>
      </c>
      <c r="K665" s="44" t="str">
        <f t="shared" si="73"/>
        <v/>
      </c>
      <c r="L665" s="44" t="str">
        <f t="shared" si="74"/>
        <v/>
      </c>
    </row>
    <row r="666" spans="1:12">
      <c r="A666" s="1" t="str">
        <f t="shared" si="75"/>
        <v/>
      </c>
      <c r="F666" s="42" t="str">
        <f t="shared" si="70"/>
        <v/>
      </c>
      <c r="G666" s="42" t="str">
        <f t="shared" si="76"/>
        <v/>
      </c>
      <c r="H666" s="43" t="str">
        <f>IF(C666="","",GETPIVOTDATA("WinPips",ProfitRpt!$A$9,"Trade Month",C666,"Trade Year",B666))</f>
        <v/>
      </c>
      <c r="I666" s="42" t="str">
        <f t="shared" si="71"/>
        <v/>
      </c>
      <c r="J666" s="43" t="str">
        <f t="shared" si="72"/>
        <v/>
      </c>
      <c r="K666" s="44" t="str">
        <f t="shared" si="73"/>
        <v/>
      </c>
      <c r="L666" s="44" t="str">
        <f t="shared" si="74"/>
        <v/>
      </c>
    </row>
    <row r="667" spans="1:12">
      <c r="A667" s="1" t="str">
        <f t="shared" si="75"/>
        <v/>
      </c>
      <c r="F667" s="42" t="str">
        <f t="shared" si="70"/>
        <v/>
      </c>
      <c r="G667" s="42" t="str">
        <f t="shared" si="76"/>
        <v/>
      </c>
      <c r="H667" s="43" t="str">
        <f>IF(C667="","",GETPIVOTDATA("WinPips",ProfitRpt!$A$9,"Trade Month",C667,"Trade Year",B667))</f>
        <v/>
      </c>
      <c r="I667" s="42" t="str">
        <f t="shared" si="71"/>
        <v/>
      </c>
      <c r="J667" s="43" t="str">
        <f t="shared" si="72"/>
        <v/>
      </c>
      <c r="K667" s="44" t="str">
        <f t="shared" si="73"/>
        <v/>
      </c>
      <c r="L667" s="44" t="str">
        <f t="shared" si="74"/>
        <v/>
      </c>
    </row>
    <row r="668" spans="1:12">
      <c r="A668" s="1" t="str">
        <f t="shared" si="75"/>
        <v/>
      </c>
      <c r="F668" s="42" t="str">
        <f t="shared" si="70"/>
        <v/>
      </c>
      <c r="G668" s="42" t="str">
        <f t="shared" si="76"/>
        <v/>
      </c>
      <c r="H668" s="43" t="str">
        <f>IF(C668="","",GETPIVOTDATA("WinPips",ProfitRpt!$A$9,"Trade Month",C668,"Trade Year",B668))</f>
        <v/>
      </c>
      <c r="I668" s="42" t="str">
        <f t="shared" si="71"/>
        <v/>
      </c>
      <c r="J668" s="43" t="str">
        <f t="shared" si="72"/>
        <v/>
      </c>
      <c r="K668" s="44" t="str">
        <f t="shared" si="73"/>
        <v/>
      </c>
      <c r="L668" s="44" t="str">
        <f t="shared" si="74"/>
        <v/>
      </c>
    </row>
    <row r="669" spans="1:12">
      <c r="A669" s="1" t="str">
        <f t="shared" si="75"/>
        <v/>
      </c>
      <c r="F669" s="42" t="str">
        <f t="shared" si="70"/>
        <v/>
      </c>
      <c r="G669" s="42" t="str">
        <f t="shared" si="76"/>
        <v/>
      </c>
      <c r="H669" s="43" t="str">
        <f>IF(C669="","",GETPIVOTDATA("WinPips",ProfitRpt!$A$9,"Trade Month",C669,"Trade Year",B669))</f>
        <v/>
      </c>
      <c r="I669" s="42" t="str">
        <f t="shared" si="71"/>
        <v/>
      </c>
      <c r="J669" s="43" t="str">
        <f t="shared" si="72"/>
        <v/>
      </c>
      <c r="K669" s="44" t="str">
        <f t="shared" si="73"/>
        <v/>
      </c>
      <c r="L669" s="44" t="str">
        <f t="shared" si="74"/>
        <v/>
      </c>
    </row>
    <row r="670" spans="1:12">
      <c r="A670" s="1" t="str">
        <f t="shared" si="75"/>
        <v/>
      </c>
      <c r="F670" s="42" t="str">
        <f t="shared" si="70"/>
        <v/>
      </c>
      <c r="G670" s="42" t="str">
        <f t="shared" si="76"/>
        <v/>
      </c>
      <c r="H670" s="43" t="str">
        <f>IF(C670="","",GETPIVOTDATA("WinPips",ProfitRpt!$A$9,"Trade Month",C670,"Trade Year",B670))</f>
        <v/>
      </c>
      <c r="I670" s="42" t="str">
        <f t="shared" si="71"/>
        <v/>
      </c>
      <c r="J670" s="43" t="str">
        <f t="shared" si="72"/>
        <v/>
      </c>
      <c r="K670" s="44" t="str">
        <f t="shared" si="73"/>
        <v/>
      </c>
      <c r="L670" s="44" t="str">
        <f t="shared" si="74"/>
        <v/>
      </c>
    </row>
    <row r="671" spans="1:12">
      <c r="A671" s="1" t="str">
        <f t="shared" si="75"/>
        <v/>
      </c>
      <c r="F671" s="42" t="str">
        <f t="shared" si="70"/>
        <v/>
      </c>
      <c r="G671" s="42" t="str">
        <f t="shared" si="76"/>
        <v/>
      </c>
      <c r="H671" s="43" t="str">
        <f>IF(C671="","",GETPIVOTDATA("WinPips",ProfitRpt!$A$9,"Trade Month",C671,"Trade Year",B671))</f>
        <v/>
      </c>
      <c r="I671" s="42" t="str">
        <f t="shared" si="71"/>
        <v/>
      </c>
      <c r="J671" s="43" t="str">
        <f t="shared" si="72"/>
        <v/>
      </c>
      <c r="K671" s="44" t="str">
        <f t="shared" si="73"/>
        <v/>
      </c>
      <c r="L671" s="44" t="str">
        <f t="shared" si="74"/>
        <v/>
      </c>
    </row>
    <row r="672" spans="1:12">
      <c r="A672" s="1" t="str">
        <f t="shared" si="75"/>
        <v/>
      </c>
      <c r="F672" s="42" t="str">
        <f t="shared" si="70"/>
        <v/>
      </c>
      <c r="G672" s="42" t="str">
        <f t="shared" si="76"/>
        <v/>
      </c>
      <c r="H672" s="43" t="str">
        <f>IF(C672="","",GETPIVOTDATA("WinPips",ProfitRpt!$A$9,"Trade Month",C672,"Trade Year",B672))</f>
        <v/>
      </c>
      <c r="I672" s="42" t="str">
        <f t="shared" si="71"/>
        <v/>
      </c>
      <c r="J672" s="43" t="str">
        <f t="shared" si="72"/>
        <v/>
      </c>
      <c r="K672" s="44" t="str">
        <f t="shared" si="73"/>
        <v/>
      </c>
      <c r="L672" s="44" t="str">
        <f t="shared" si="74"/>
        <v/>
      </c>
    </row>
    <row r="673" spans="1:12">
      <c r="A673" s="1" t="str">
        <f t="shared" si="75"/>
        <v/>
      </c>
      <c r="F673" s="42" t="str">
        <f t="shared" si="70"/>
        <v/>
      </c>
      <c r="G673" s="42" t="str">
        <f t="shared" si="76"/>
        <v/>
      </c>
      <c r="H673" s="43" t="str">
        <f>IF(C673="","",GETPIVOTDATA("WinPips",ProfitRpt!$A$9,"Trade Month",C673,"Trade Year",B673))</f>
        <v/>
      </c>
      <c r="I673" s="42" t="str">
        <f t="shared" si="71"/>
        <v/>
      </c>
      <c r="J673" s="43" t="str">
        <f t="shared" si="72"/>
        <v/>
      </c>
      <c r="K673" s="44" t="str">
        <f t="shared" si="73"/>
        <v/>
      </c>
      <c r="L673" s="44" t="str">
        <f t="shared" si="74"/>
        <v/>
      </c>
    </row>
    <row r="674" spans="1:12">
      <c r="A674" s="1" t="str">
        <f t="shared" si="75"/>
        <v/>
      </c>
      <c r="F674" s="42" t="str">
        <f t="shared" si="70"/>
        <v/>
      </c>
      <c r="G674" s="42" t="str">
        <f t="shared" si="76"/>
        <v/>
      </c>
      <c r="H674" s="43" t="str">
        <f>IF(C674="","",GETPIVOTDATA("WinPips",ProfitRpt!$A$9,"Trade Month",C674,"Trade Year",B674))</f>
        <v/>
      </c>
      <c r="I674" s="42" t="str">
        <f t="shared" si="71"/>
        <v/>
      </c>
      <c r="J674" s="43" t="str">
        <f t="shared" si="72"/>
        <v/>
      </c>
      <c r="K674" s="44" t="str">
        <f t="shared" si="73"/>
        <v/>
      </c>
      <c r="L674" s="44" t="str">
        <f t="shared" si="74"/>
        <v/>
      </c>
    </row>
    <row r="675" spans="1:12">
      <c r="A675" s="1" t="str">
        <f t="shared" si="75"/>
        <v/>
      </c>
      <c r="F675" s="42" t="str">
        <f t="shared" si="70"/>
        <v/>
      </c>
      <c r="G675" s="42" t="str">
        <f t="shared" si="76"/>
        <v/>
      </c>
      <c r="H675" s="43" t="str">
        <f>IF(C675="","",GETPIVOTDATA("WinPips",ProfitRpt!$A$9,"Trade Month",C675,"Trade Year",B675))</f>
        <v/>
      </c>
      <c r="I675" s="42" t="str">
        <f t="shared" si="71"/>
        <v/>
      </c>
      <c r="J675" s="43" t="str">
        <f t="shared" si="72"/>
        <v/>
      </c>
      <c r="K675" s="44" t="str">
        <f t="shared" si="73"/>
        <v/>
      </c>
      <c r="L675" s="44" t="str">
        <f t="shared" si="74"/>
        <v/>
      </c>
    </row>
    <row r="676" spans="1:12">
      <c r="A676" s="1" t="str">
        <f t="shared" si="75"/>
        <v/>
      </c>
      <c r="F676" s="42" t="str">
        <f t="shared" si="70"/>
        <v/>
      </c>
      <c r="G676" s="42" t="str">
        <f t="shared" si="76"/>
        <v/>
      </c>
      <c r="H676" s="43" t="str">
        <f>IF(C676="","",GETPIVOTDATA("WinPips",ProfitRpt!$A$9,"Trade Month",C676,"Trade Year",B676))</f>
        <v/>
      </c>
      <c r="I676" s="42" t="str">
        <f t="shared" si="71"/>
        <v/>
      </c>
      <c r="J676" s="43" t="str">
        <f t="shared" si="72"/>
        <v/>
      </c>
      <c r="K676" s="44" t="str">
        <f t="shared" si="73"/>
        <v/>
      </c>
      <c r="L676" s="44" t="str">
        <f t="shared" si="74"/>
        <v/>
      </c>
    </row>
    <row r="677" spans="1:12">
      <c r="A677" s="1" t="str">
        <f t="shared" si="75"/>
        <v/>
      </c>
      <c r="F677" s="42" t="str">
        <f t="shared" si="70"/>
        <v/>
      </c>
      <c r="G677" s="42" t="str">
        <f t="shared" si="76"/>
        <v/>
      </c>
      <c r="H677" s="43" t="str">
        <f>IF(C677="","",GETPIVOTDATA("WinPips",ProfitRpt!$A$9,"Trade Month",C677,"Trade Year",B677))</f>
        <v/>
      </c>
      <c r="I677" s="42" t="str">
        <f t="shared" si="71"/>
        <v/>
      </c>
      <c r="J677" s="43" t="str">
        <f t="shared" si="72"/>
        <v/>
      </c>
      <c r="K677" s="44" t="str">
        <f t="shared" si="73"/>
        <v/>
      </c>
      <c r="L677" s="44" t="str">
        <f t="shared" si="74"/>
        <v/>
      </c>
    </row>
    <row r="678" spans="1:12">
      <c r="A678" s="1" t="str">
        <f t="shared" si="75"/>
        <v/>
      </c>
      <c r="F678" s="42" t="str">
        <f t="shared" si="70"/>
        <v/>
      </c>
      <c r="G678" s="42" t="str">
        <f t="shared" si="76"/>
        <v/>
      </c>
      <c r="H678" s="43" t="str">
        <f>IF(C678="","",GETPIVOTDATA("WinPips",ProfitRpt!$A$9,"Trade Month",C678,"Trade Year",B678))</f>
        <v/>
      </c>
      <c r="I678" s="42" t="str">
        <f t="shared" si="71"/>
        <v/>
      </c>
      <c r="J678" s="43" t="str">
        <f t="shared" si="72"/>
        <v/>
      </c>
      <c r="K678" s="44" t="str">
        <f t="shared" si="73"/>
        <v/>
      </c>
      <c r="L678" s="44" t="str">
        <f t="shared" si="74"/>
        <v/>
      </c>
    </row>
    <row r="679" spans="1:12">
      <c r="A679" s="1" t="str">
        <f t="shared" si="75"/>
        <v/>
      </c>
      <c r="F679" s="42" t="str">
        <f t="shared" si="70"/>
        <v/>
      </c>
      <c r="G679" s="42" t="str">
        <f t="shared" si="76"/>
        <v/>
      </c>
      <c r="H679" s="43" t="str">
        <f>IF(C679="","",GETPIVOTDATA("WinPips",ProfitRpt!$A$9,"Trade Month",C679,"Trade Year",B679))</f>
        <v/>
      </c>
      <c r="I679" s="42" t="str">
        <f t="shared" si="71"/>
        <v/>
      </c>
      <c r="J679" s="43" t="str">
        <f t="shared" si="72"/>
        <v/>
      </c>
      <c r="K679" s="44" t="str">
        <f t="shared" si="73"/>
        <v/>
      </c>
      <c r="L679" s="44" t="str">
        <f t="shared" si="74"/>
        <v/>
      </c>
    </row>
    <row r="680" spans="1:12">
      <c r="A680" s="1" t="str">
        <f t="shared" si="75"/>
        <v/>
      </c>
      <c r="F680" s="42" t="str">
        <f t="shared" si="70"/>
        <v/>
      </c>
      <c r="G680" s="42" t="str">
        <f t="shared" si="76"/>
        <v/>
      </c>
      <c r="H680" s="43" t="str">
        <f>IF(C680="","",GETPIVOTDATA("WinPips",ProfitRpt!$A$9,"Trade Month",C680,"Trade Year",B680))</f>
        <v/>
      </c>
      <c r="I680" s="42" t="str">
        <f t="shared" si="71"/>
        <v/>
      </c>
      <c r="J680" s="43" t="str">
        <f t="shared" si="72"/>
        <v/>
      </c>
      <c r="K680" s="44" t="str">
        <f t="shared" si="73"/>
        <v/>
      </c>
      <c r="L680" s="44" t="str">
        <f t="shared" si="74"/>
        <v/>
      </c>
    </row>
    <row r="681" spans="1:12">
      <c r="A681" s="1" t="str">
        <f t="shared" si="75"/>
        <v/>
      </c>
      <c r="F681" s="42" t="str">
        <f t="shared" si="70"/>
        <v/>
      </c>
      <c r="G681" s="42" t="str">
        <f t="shared" si="76"/>
        <v/>
      </c>
      <c r="H681" s="43" t="str">
        <f>IF(C681="","",GETPIVOTDATA("WinPips",ProfitRpt!$A$9,"Trade Month",C681,"Trade Year",B681))</f>
        <v/>
      </c>
      <c r="I681" s="42" t="str">
        <f t="shared" si="71"/>
        <v/>
      </c>
      <c r="J681" s="43" t="str">
        <f t="shared" si="72"/>
        <v/>
      </c>
      <c r="K681" s="44" t="str">
        <f t="shared" si="73"/>
        <v/>
      </c>
      <c r="L681" s="44" t="str">
        <f t="shared" si="74"/>
        <v/>
      </c>
    </row>
    <row r="682" spans="1:12">
      <c r="A682" s="1" t="str">
        <f t="shared" si="75"/>
        <v/>
      </c>
      <c r="F682" s="42" t="str">
        <f t="shared" si="70"/>
        <v/>
      </c>
      <c r="G682" s="42" t="str">
        <f t="shared" si="76"/>
        <v/>
      </c>
      <c r="H682" s="43" t="str">
        <f>IF(C682="","",GETPIVOTDATA("WinPips",ProfitRpt!$A$9,"Trade Month",C682,"Trade Year",B682))</f>
        <v/>
      </c>
      <c r="I682" s="42" t="str">
        <f t="shared" si="71"/>
        <v/>
      </c>
      <c r="J682" s="43" t="str">
        <f t="shared" si="72"/>
        <v/>
      </c>
      <c r="K682" s="44" t="str">
        <f t="shared" si="73"/>
        <v/>
      </c>
      <c r="L682" s="44" t="str">
        <f t="shared" si="74"/>
        <v/>
      </c>
    </row>
    <row r="683" spans="1:12">
      <c r="A683" s="1" t="str">
        <f t="shared" si="75"/>
        <v/>
      </c>
      <c r="F683" s="42" t="str">
        <f t="shared" si="70"/>
        <v/>
      </c>
      <c r="G683" s="42" t="str">
        <f t="shared" si="76"/>
        <v/>
      </c>
      <c r="H683" s="43" t="str">
        <f>IF(C683="","",GETPIVOTDATA("WinPips",ProfitRpt!$A$9,"Trade Month",C683,"Trade Year",B683))</f>
        <v/>
      </c>
      <c r="I683" s="42" t="str">
        <f t="shared" si="71"/>
        <v/>
      </c>
      <c r="J683" s="43" t="str">
        <f t="shared" si="72"/>
        <v/>
      </c>
      <c r="K683" s="44" t="str">
        <f t="shared" si="73"/>
        <v/>
      </c>
      <c r="L683" s="44" t="str">
        <f t="shared" si="74"/>
        <v/>
      </c>
    </row>
    <row r="684" spans="1:12">
      <c r="A684" s="1" t="str">
        <f t="shared" si="75"/>
        <v/>
      </c>
      <c r="F684" s="42" t="str">
        <f t="shared" si="70"/>
        <v/>
      </c>
      <c r="G684" s="42" t="str">
        <f t="shared" si="76"/>
        <v/>
      </c>
      <c r="H684" s="43" t="str">
        <f>IF(C684="","",GETPIVOTDATA("WinPips",ProfitRpt!$A$9,"Trade Month",C684,"Trade Year",B684))</f>
        <v/>
      </c>
      <c r="I684" s="42" t="str">
        <f t="shared" si="71"/>
        <v/>
      </c>
      <c r="J684" s="43" t="str">
        <f t="shared" si="72"/>
        <v/>
      </c>
      <c r="K684" s="44" t="str">
        <f t="shared" si="73"/>
        <v/>
      </c>
      <c r="L684" s="44" t="str">
        <f t="shared" si="74"/>
        <v/>
      </c>
    </row>
    <row r="685" spans="1:12">
      <c r="A685" s="1" t="str">
        <f t="shared" si="75"/>
        <v/>
      </c>
      <c r="F685" s="42" t="str">
        <f t="shared" si="70"/>
        <v/>
      </c>
      <c r="G685" s="42" t="str">
        <f t="shared" si="76"/>
        <v/>
      </c>
      <c r="H685" s="43" t="str">
        <f>IF(C685="","",GETPIVOTDATA("WinPips",ProfitRpt!$A$9,"Trade Month",C685,"Trade Year",B685))</f>
        <v/>
      </c>
      <c r="I685" s="42" t="str">
        <f t="shared" si="71"/>
        <v/>
      </c>
      <c r="J685" s="43" t="str">
        <f t="shared" si="72"/>
        <v/>
      </c>
      <c r="K685" s="44" t="str">
        <f t="shared" si="73"/>
        <v/>
      </c>
      <c r="L685" s="44" t="str">
        <f t="shared" si="74"/>
        <v/>
      </c>
    </row>
    <row r="686" spans="1:12">
      <c r="A686" s="1" t="str">
        <f t="shared" si="75"/>
        <v/>
      </c>
      <c r="F686" s="42" t="str">
        <f t="shared" si="70"/>
        <v/>
      </c>
      <c r="G686" s="42" t="str">
        <f t="shared" si="76"/>
        <v/>
      </c>
      <c r="H686" s="43" t="str">
        <f>IF(C686="","",GETPIVOTDATA("WinPips",ProfitRpt!$A$9,"Trade Month",C686,"Trade Year",B686))</f>
        <v/>
      </c>
      <c r="I686" s="42" t="str">
        <f t="shared" si="71"/>
        <v/>
      </c>
      <c r="J686" s="43" t="str">
        <f t="shared" si="72"/>
        <v/>
      </c>
      <c r="K686" s="44" t="str">
        <f t="shared" si="73"/>
        <v/>
      </c>
      <c r="L686" s="44" t="str">
        <f t="shared" si="74"/>
        <v/>
      </c>
    </row>
    <row r="687" spans="1:12">
      <c r="A687" s="1" t="str">
        <f t="shared" si="75"/>
        <v/>
      </c>
      <c r="F687" s="42" t="str">
        <f t="shared" si="70"/>
        <v/>
      </c>
      <c r="G687" s="42" t="str">
        <f t="shared" si="76"/>
        <v/>
      </c>
      <c r="H687" s="43" t="str">
        <f>IF(C687="","",GETPIVOTDATA("WinPips",ProfitRpt!$A$9,"Trade Month",C687,"Trade Year",B687))</f>
        <v/>
      </c>
      <c r="I687" s="42" t="str">
        <f t="shared" si="71"/>
        <v/>
      </c>
      <c r="J687" s="43" t="str">
        <f t="shared" si="72"/>
        <v/>
      </c>
      <c r="K687" s="44" t="str">
        <f t="shared" si="73"/>
        <v/>
      </c>
      <c r="L687" s="44" t="str">
        <f t="shared" si="74"/>
        <v/>
      </c>
    </row>
    <row r="688" spans="1:12">
      <c r="A688" s="1" t="str">
        <f t="shared" si="75"/>
        <v/>
      </c>
      <c r="F688" s="42" t="str">
        <f t="shared" si="70"/>
        <v/>
      </c>
      <c r="G688" s="42" t="str">
        <f t="shared" si="76"/>
        <v/>
      </c>
      <c r="H688" s="43" t="str">
        <f>IF(C688="","",GETPIVOTDATA("WinPips",ProfitRpt!$A$9,"Trade Month",C688,"Trade Year",B688))</f>
        <v/>
      </c>
      <c r="I688" s="42" t="str">
        <f t="shared" si="71"/>
        <v/>
      </c>
      <c r="J688" s="43" t="str">
        <f t="shared" si="72"/>
        <v/>
      </c>
      <c r="K688" s="44" t="str">
        <f t="shared" si="73"/>
        <v/>
      </c>
      <c r="L688" s="44" t="str">
        <f t="shared" si="74"/>
        <v/>
      </c>
    </row>
    <row r="689" spans="1:12">
      <c r="A689" s="1" t="str">
        <f t="shared" si="75"/>
        <v/>
      </c>
      <c r="F689" s="42" t="str">
        <f t="shared" si="70"/>
        <v/>
      </c>
      <c r="G689" s="42" t="str">
        <f t="shared" si="76"/>
        <v/>
      </c>
      <c r="H689" s="43" t="str">
        <f>IF(C689="","",GETPIVOTDATA("WinPips",ProfitRpt!$A$9,"Trade Month",C689,"Trade Year",B689))</f>
        <v/>
      </c>
      <c r="I689" s="42" t="str">
        <f t="shared" si="71"/>
        <v/>
      </c>
      <c r="J689" s="43" t="str">
        <f t="shared" si="72"/>
        <v/>
      </c>
      <c r="K689" s="44" t="str">
        <f t="shared" si="73"/>
        <v/>
      </c>
      <c r="L689" s="44" t="str">
        <f t="shared" si="74"/>
        <v/>
      </c>
    </row>
    <row r="690" spans="1:12">
      <c r="A690" s="1" t="str">
        <f t="shared" si="75"/>
        <v/>
      </c>
      <c r="F690" s="42" t="str">
        <f t="shared" si="70"/>
        <v/>
      </c>
      <c r="G690" s="42" t="str">
        <f t="shared" si="76"/>
        <v/>
      </c>
      <c r="H690" s="43" t="str">
        <f>IF(C690="","",GETPIVOTDATA("WinPips",ProfitRpt!$A$9,"Trade Month",C690,"Trade Year",B690))</f>
        <v/>
      </c>
      <c r="I690" s="42" t="str">
        <f t="shared" si="71"/>
        <v/>
      </c>
      <c r="J690" s="43" t="str">
        <f t="shared" si="72"/>
        <v/>
      </c>
      <c r="K690" s="44" t="str">
        <f t="shared" si="73"/>
        <v/>
      </c>
      <c r="L690" s="44" t="str">
        <f t="shared" si="74"/>
        <v/>
      </c>
    </row>
    <row r="691" spans="1:12">
      <c r="A691" s="1" t="str">
        <f t="shared" si="75"/>
        <v/>
      </c>
      <c r="F691" s="42" t="str">
        <f t="shared" si="70"/>
        <v/>
      </c>
      <c r="G691" s="42" t="str">
        <f t="shared" si="76"/>
        <v/>
      </c>
      <c r="H691" s="43" t="str">
        <f>IF(C691="","",GETPIVOTDATA("WinPips",ProfitRpt!$A$9,"Trade Month",C691,"Trade Year",B691))</f>
        <v/>
      </c>
      <c r="I691" s="42" t="str">
        <f t="shared" si="71"/>
        <v/>
      </c>
      <c r="J691" s="43" t="str">
        <f t="shared" si="72"/>
        <v/>
      </c>
      <c r="K691" s="44" t="str">
        <f t="shared" si="73"/>
        <v/>
      </c>
      <c r="L691" s="44" t="str">
        <f t="shared" si="74"/>
        <v/>
      </c>
    </row>
    <row r="692" spans="1:12">
      <c r="A692" s="1" t="str">
        <f t="shared" si="75"/>
        <v/>
      </c>
      <c r="F692" s="42" t="str">
        <f t="shared" si="70"/>
        <v/>
      </c>
      <c r="G692" s="42" t="str">
        <f t="shared" si="76"/>
        <v/>
      </c>
      <c r="H692" s="43" t="str">
        <f>IF(C692="","",GETPIVOTDATA("WinPips",ProfitRpt!$A$9,"Trade Month",C692,"Trade Year",B692))</f>
        <v/>
      </c>
      <c r="I692" s="42" t="str">
        <f t="shared" si="71"/>
        <v/>
      </c>
      <c r="J692" s="43" t="str">
        <f t="shared" si="72"/>
        <v/>
      </c>
      <c r="K692" s="44" t="str">
        <f t="shared" si="73"/>
        <v/>
      </c>
      <c r="L692" s="44" t="str">
        <f t="shared" si="74"/>
        <v/>
      </c>
    </row>
    <row r="693" spans="1:12">
      <c r="A693" s="1" t="str">
        <f t="shared" si="75"/>
        <v/>
      </c>
      <c r="F693" s="42" t="str">
        <f t="shared" si="70"/>
        <v/>
      </c>
      <c r="G693" s="42" t="str">
        <f t="shared" si="76"/>
        <v/>
      </c>
      <c r="H693" s="43" t="str">
        <f>IF(C693="","",GETPIVOTDATA("WinPips",ProfitRpt!$A$9,"Trade Month",C693,"Trade Year",B693))</f>
        <v/>
      </c>
      <c r="I693" s="42" t="str">
        <f t="shared" si="71"/>
        <v/>
      </c>
      <c r="J693" s="43" t="str">
        <f t="shared" si="72"/>
        <v/>
      </c>
      <c r="K693" s="44" t="str">
        <f t="shared" si="73"/>
        <v/>
      </c>
      <c r="L693" s="44" t="str">
        <f t="shared" si="74"/>
        <v/>
      </c>
    </row>
    <row r="694" spans="1:12">
      <c r="A694" s="1" t="str">
        <f t="shared" si="75"/>
        <v/>
      </c>
      <c r="F694" s="42" t="str">
        <f t="shared" si="70"/>
        <v/>
      </c>
      <c r="G694" s="42" t="str">
        <f t="shared" si="76"/>
        <v/>
      </c>
      <c r="H694" s="43" t="str">
        <f>IF(C694="","",GETPIVOTDATA("WinPips",ProfitRpt!$A$9,"Trade Month",C694,"Trade Year",B694))</f>
        <v/>
      </c>
      <c r="I694" s="42" t="str">
        <f t="shared" si="71"/>
        <v/>
      </c>
      <c r="J694" s="43" t="str">
        <f t="shared" si="72"/>
        <v/>
      </c>
      <c r="K694" s="44" t="str">
        <f t="shared" si="73"/>
        <v/>
      </c>
      <c r="L694" s="44" t="str">
        <f t="shared" si="74"/>
        <v/>
      </c>
    </row>
    <row r="695" spans="1:12">
      <c r="A695" s="1" t="str">
        <f t="shared" si="75"/>
        <v/>
      </c>
      <c r="F695" s="42" t="str">
        <f t="shared" si="70"/>
        <v/>
      </c>
      <c r="G695" s="42" t="str">
        <f t="shared" si="76"/>
        <v/>
      </c>
      <c r="H695" s="43" t="str">
        <f>IF(C695="","",GETPIVOTDATA("WinPips",ProfitRpt!$A$9,"Trade Month",C695,"Trade Year",B695))</f>
        <v/>
      </c>
      <c r="I695" s="42" t="str">
        <f t="shared" si="71"/>
        <v/>
      </c>
      <c r="J695" s="43" t="str">
        <f t="shared" si="72"/>
        <v/>
      </c>
      <c r="K695" s="44" t="str">
        <f t="shared" si="73"/>
        <v/>
      </c>
      <c r="L695" s="44" t="str">
        <f t="shared" si="74"/>
        <v/>
      </c>
    </row>
    <row r="696" spans="1:12">
      <c r="A696" s="1" t="str">
        <f t="shared" si="75"/>
        <v/>
      </c>
      <c r="F696" s="42" t="str">
        <f t="shared" si="70"/>
        <v/>
      </c>
      <c r="G696" s="42" t="str">
        <f t="shared" si="76"/>
        <v/>
      </c>
      <c r="H696" s="43" t="str">
        <f>IF(C696="","",GETPIVOTDATA("WinPips",ProfitRpt!$A$9,"Trade Month",C696,"Trade Year",B696))</f>
        <v/>
      </c>
      <c r="I696" s="42" t="str">
        <f t="shared" si="71"/>
        <v/>
      </c>
      <c r="J696" s="43" t="str">
        <f t="shared" si="72"/>
        <v/>
      </c>
      <c r="K696" s="44" t="str">
        <f t="shared" si="73"/>
        <v/>
      </c>
      <c r="L696" s="44" t="str">
        <f t="shared" si="74"/>
        <v/>
      </c>
    </row>
    <row r="697" spans="1:12">
      <c r="A697" s="1" t="str">
        <f t="shared" si="75"/>
        <v/>
      </c>
      <c r="F697" s="42" t="str">
        <f t="shared" si="70"/>
        <v/>
      </c>
      <c r="G697" s="42" t="str">
        <f t="shared" si="76"/>
        <v/>
      </c>
      <c r="H697" s="43" t="str">
        <f>IF(C697="","",GETPIVOTDATA("WinPips",ProfitRpt!$A$9,"Trade Month",C697,"Trade Year",B697))</f>
        <v/>
      </c>
      <c r="I697" s="42" t="str">
        <f t="shared" si="71"/>
        <v/>
      </c>
      <c r="J697" s="43" t="str">
        <f t="shared" si="72"/>
        <v/>
      </c>
      <c r="K697" s="44" t="str">
        <f t="shared" si="73"/>
        <v/>
      </c>
      <c r="L697" s="44" t="str">
        <f t="shared" si="74"/>
        <v/>
      </c>
    </row>
    <row r="698" spans="1:12">
      <c r="A698" s="1" t="str">
        <f t="shared" si="75"/>
        <v/>
      </c>
      <c r="F698" s="42" t="str">
        <f t="shared" si="70"/>
        <v/>
      </c>
      <c r="G698" s="42" t="str">
        <f t="shared" si="76"/>
        <v/>
      </c>
      <c r="H698" s="43" t="str">
        <f>IF(C698="","",GETPIVOTDATA("WinPips",ProfitRpt!$A$9,"Trade Month",C698,"Trade Year",B698))</f>
        <v/>
      </c>
      <c r="I698" s="42" t="str">
        <f t="shared" si="71"/>
        <v/>
      </c>
      <c r="J698" s="43" t="str">
        <f t="shared" si="72"/>
        <v/>
      </c>
      <c r="K698" s="44" t="str">
        <f t="shared" si="73"/>
        <v/>
      </c>
      <c r="L698" s="44" t="str">
        <f t="shared" si="74"/>
        <v/>
      </c>
    </row>
    <row r="699" spans="1:12">
      <c r="A699" s="1" t="str">
        <f t="shared" si="75"/>
        <v/>
      </c>
      <c r="F699" s="42" t="str">
        <f t="shared" si="70"/>
        <v/>
      </c>
      <c r="G699" s="42" t="str">
        <f t="shared" si="76"/>
        <v/>
      </c>
      <c r="H699" s="43" t="str">
        <f>IF(C699="","",GETPIVOTDATA("WinPips",ProfitRpt!$A$9,"Trade Month",C699,"Trade Year",B699))</f>
        <v/>
      </c>
      <c r="I699" s="42" t="str">
        <f t="shared" si="71"/>
        <v/>
      </c>
      <c r="J699" s="43" t="str">
        <f t="shared" si="72"/>
        <v/>
      </c>
      <c r="K699" s="44" t="str">
        <f t="shared" si="73"/>
        <v/>
      </c>
      <c r="L699" s="44" t="str">
        <f t="shared" si="74"/>
        <v/>
      </c>
    </row>
    <row r="700" spans="1:12">
      <c r="A700" s="1" t="str">
        <f t="shared" si="75"/>
        <v/>
      </c>
      <c r="F700" s="42" t="str">
        <f t="shared" si="70"/>
        <v/>
      </c>
      <c r="G700" s="42" t="str">
        <f t="shared" si="76"/>
        <v/>
      </c>
      <c r="H700" s="43" t="str">
        <f>IF(C700="","",GETPIVOTDATA("WinPips",ProfitRpt!$A$9,"Trade Month",C700,"Trade Year",B700))</f>
        <v/>
      </c>
      <c r="I700" s="42" t="str">
        <f t="shared" si="71"/>
        <v/>
      </c>
      <c r="J700" s="43" t="str">
        <f t="shared" si="72"/>
        <v/>
      </c>
      <c r="K700" s="44" t="str">
        <f t="shared" si="73"/>
        <v/>
      </c>
      <c r="L700" s="44" t="str">
        <f t="shared" si="74"/>
        <v/>
      </c>
    </row>
    <row r="701" spans="1:12">
      <c r="A701" s="1" t="str">
        <f t="shared" si="75"/>
        <v/>
      </c>
      <c r="F701" s="42" t="str">
        <f t="shared" si="70"/>
        <v/>
      </c>
      <c r="G701" s="42" t="str">
        <f t="shared" si="76"/>
        <v/>
      </c>
      <c r="H701" s="43" t="str">
        <f>IF(C701="","",GETPIVOTDATA("WinPips",ProfitRpt!$A$9,"Trade Month",C701,"Trade Year",B701))</f>
        <v/>
      </c>
      <c r="I701" s="42" t="str">
        <f t="shared" si="71"/>
        <v/>
      </c>
      <c r="J701" s="43" t="str">
        <f t="shared" si="72"/>
        <v/>
      </c>
      <c r="K701" s="44" t="str">
        <f t="shared" si="73"/>
        <v/>
      </c>
      <c r="L701" s="44" t="str">
        <f t="shared" si="74"/>
        <v/>
      </c>
    </row>
    <row r="702" spans="1:12">
      <c r="A702" s="1" t="str">
        <f t="shared" si="75"/>
        <v/>
      </c>
      <c r="F702" s="42" t="str">
        <f t="shared" si="70"/>
        <v/>
      </c>
      <c r="G702" s="42" t="str">
        <f t="shared" si="76"/>
        <v/>
      </c>
      <c r="H702" s="43" t="str">
        <f>IF(C702="","",GETPIVOTDATA("WinPips",ProfitRpt!$A$9,"Trade Month",C702,"Trade Year",B702))</f>
        <v/>
      </c>
      <c r="I702" s="42" t="str">
        <f t="shared" si="71"/>
        <v/>
      </c>
      <c r="J702" s="43" t="str">
        <f t="shared" si="72"/>
        <v/>
      </c>
      <c r="K702" s="44" t="str">
        <f t="shared" si="73"/>
        <v/>
      </c>
      <c r="L702" s="44" t="str">
        <f t="shared" si="74"/>
        <v/>
      </c>
    </row>
    <row r="703" spans="1:12">
      <c r="A703" s="1" t="str">
        <f t="shared" si="75"/>
        <v/>
      </c>
      <c r="F703" s="42" t="str">
        <f t="shared" si="70"/>
        <v/>
      </c>
      <c r="G703" s="42" t="str">
        <f t="shared" si="76"/>
        <v/>
      </c>
      <c r="H703" s="43" t="str">
        <f>IF(C703="","",GETPIVOTDATA("WinPips",ProfitRpt!$A$9,"Trade Month",C703,"Trade Year",B703))</f>
        <v/>
      </c>
      <c r="I703" s="42" t="str">
        <f t="shared" si="71"/>
        <v/>
      </c>
      <c r="J703" s="43" t="str">
        <f t="shared" si="72"/>
        <v/>
      </c>
      <c r="K703" s="44" t="str">
        <f t="shared" si="73"/>
        <v/>
      </c>
      <c r="L703" s="44" t="str">
        <f t="shared" si="74"/>
        <v/>
      </c>
    </row>
    <row r="704" spans="1:12">
      <c r="A704" s="1" t="str">
        <f t="shared" si="75"/>
        <v/>
      </c>
      <c r="F704" s="42" t="str">
        <f t="shared" si="70"/>
        <v/>
      </c>
      <c r="G704" s="42" t="str">
        <f t="shared" si="76"/>
        <v/>
      </c>
      <c r="H704" s="43" t="str">
        <f>IF(C704="","",GETPIVOTDATA("WinPips",ProfitRpt!$A$9,"Trade Month",C704,"Trade Year",B704))</f>
        <v/>
      </c>
      <c r="I704" s="42" t="str">
        <f t="shared" si="71"/>
        <v/>
      </c>
      <c r="J704" s="43" t="str">
        <f t="shared" si="72"/>
        <v/>
      </c>
      <c r="K704" s="44" t="str">
        <f t="shared" si="73"/>
        <v/>
      </c>
      <c r="L704" s="44" t="str">
        <f t="shared" si="74"/>
        <v/>
      </c>
    </row>
    <row r="705" spans="1:12">
      <c r="A705" s="1" t="str">
        <f t="shared" si="75"/>
        <v/>
      </c>
      <c r="F705" s="42" t="str">
        <f t="shared" si="70"/>
        <v/>
      </c>
      <c r="G705" s="42" t="str">
        <f t="shared" si="76"/>
        <v/>
      </c>
      <c r="H705" s="43" t="str">
        <f>IF(C705="","",GETPIVOTDATA("WinPips",ProfitRpt!$A$9,"Trade Month",C705,"Trade Year",B705))</f>
        <v/>
      </c>
      <c r="I705" s="42" t="str">
        <f t="shared" si="71"/>
        <v/>
      </c>
      <c r="J705" s="43" t="str">
        <f t="shared" si="72"/>
        <v/>
      </c>
      <c r="K705" s="44" t="str">
        <f t="shared" si="73"/>
        <v/>
      </c>
      <c r="L705" s="44" t="str">
        <f t="shared" si="74"/>
        <v/>
      </c>
    </row>
    <row r="706" spans="1:12">
      <c r="A706" s="1" t="str">
        <f t="shared" si="75"/>
        <v/>
      </c>
      <c r="F706" s="42" t="str">
        <f t="shared" si="70"/>
        <v/>
      </c>
      <c r="G706" s="42" t="str">
        <f t="shared" si="76"/>
        <v/>
      </c>
      <c r="H706" s="43" t="str">
        <f>IF(C706="","",GETPIVOTDATA("WinPips",ProfitRpt!$A$9,"Trade Month",C706,"Trade Year",B706))</f>
        <v/>
      </c>
      <c r="I706" s="42" t="str">
        <f t="shared" si="71"/>
        <v/>
      </c>
      <c r="J706" s="43" t="str">
        <f t="shared" si="72"/>
        <v/>
      </c>
      <c r="K706" s="44" t="str">
        <f t="shared" si="73"/>
        <v/>
      </c>
      <c r="L706" s="44" t="str">
        <f t="shared" si="74"/>
        <v/>
      </c>
    </row>
    <row r="707" spans="1:12">
      <c r="A707" s="1" t="str">
        <f t="shared" si="75"/>
        <v/>
      </c>
      <c r="F707" s="42" t="str">
        <f t="shared" si="70"/>
        <v/>
      </c>
      <c r="G707" s="42" t="str">
        <f t="shared" si="76"/>
        <v/>
      </c>
      <c r="H707" s="43" t="str">
        <f>IF(C707="","",GETPIVOTDATA("WinPips",ProfitRpt!$A$9,"Trade Month",C707,"Trade Year",B707))</f>
        <v/>
      </c>
      <c r="I707" s="42" t="str">
        <f t="shared" si="71"/>
        <v/>
      </c>
      <c r="J707" s="43" t="str">
        <f t="shared" si="72"/>
        <v/>
      </c>
      <c r="K707" s="44" t="str">
        <f t="shared" si="73"/>
        <v/>
      </c>
      <c r="L707" s="44" t="str">
        <f t="shared" si="74"/>
        <v/>
      </c>
    </row>
    <row r="708" spans="1:12">
      <c r="A708" s="1" t="str">
        <f t="shared" si="75"/>
        <v/>
      </c>
      <c r="F708" s="42" t="str">
        <f t="shared" si="70"/>
        <v/>
      </c>
      <c r="G708" s="42" t="str">
        <f t="shared" si="76"/>
        <v/>
      </c>
      <c r="H708" s="43" t="str">
        <f>IF(C708="","",GETPIVOTDATA("WinPips",ProfitRpt!$A$9,"Trade Month",C708,"Trade Year",B708))</f>
        <v/>
      </c>
      <c r="I708" s="42" t="str">
        <f t="shared" si="71"/>
        <v/>
      </c>
      <c r="J708" s="43" t="str">
        <f t="shared" si="72"/>
        <v/>
      </c>
      <c r="K708" s="44" t="str">
        <f t="shared" si="73"/>
        <v/>
      </c>
      <c r="L708" s="44" t="str">
        <f t="shared" si="74"/>
        <v/>
      </c>
    </row>
    <row r="709" spans="1:12">
      <c r="A709" s="1" t="str">
        <f t="shared" si="75"/>
        <v/>
      </c>
      <c r="F709" s="42" t="str">
        <f t="shared" si="70"/>
        <v/>
      </c>
      <c r="G709" s="42" t="str">
        <f t="shared" si="76"/>
        <v/>
      </c>
      <c r="H709" s="43" t="str">
        <f>IF(C709="","",GETPIVOTDATA("WinPips",ProfitRpt!$A$9,"Trade Month",C709,"Trade Year",B709))</f>
        <v/>
      </c>
      <c r="I709" s="42" t="str">
        <f t="shared" si="71"/>
        <v/>
      </c>
      <c r="J709" s="43" t="str">
        <f t="shared" si="72"/>
        <v/>
      </c>
      <c r="K709" s="44" t="str">
        <f t="shared" si="73"/>
        <v/>
      </c>
      <c r="L709" s="44" t="str">
        <f t="shared" si="74"/>
        <v/>
      </c>
    </row>
    <row r="710" spans="1:12">
      <c r="A710" s="1" t="str">
        <f t="shared" si="75"/>
        <v/>
      </c>
      <c r="F710" s="42" t="str">
        <f t="shared" si="70"/>
        <v/>
      </c>
      <c r="G710" s="42" t="str">
        <f t="shared" si="76"/>
        <v/>
      </c>
      <c r="H710" s="43" t="str">
        <f>IF(C710="","",GETPIVOTDATA("WinPips",ProfitRpt!$A$9,"Trade Month",C710,"Trade Year",B710))</f>
        <v/>
      </c>
      <c r="I710" s="42" t="str">
        <f t="shared" si="71"/>
        <v/>
      </c>
      <c r="J710" s="43" t="str">
        <f t="shared" si="72"/>
        <v/>
      </c>
      <c r="K710" s="44" t="str">
        <f t="shared" si="73"/>
        <v/>
      </c>
      <c r="L710" s="44" t="str">
        <f t="shared" si="74"/>
        <v/>
      </c>
    </row>
    <row r="711" spans="1:12">
      <c r="A711" s="1" t="str">
        <f t="shared" si="75"/>
        <v/>
      </c>
      <c r="F711" s="42" t="str">
        <f t="shared" ref="F711:F774" si="77">IF(G711="","",E711+G711)</f>
        <v/>
      </c>
      <c r="G711" s="42" t="str">
        <f t="shared" si="76"/>
        <v/>
      </c>
      <c r="H711" s="43" t="str">
        <f>IF(C711="","",GETPIVOTDATA("WinPips",ProfitRpt!$A$9,"Trade Month",C711,"Trade Year",B711))</f>
        <v/>
      </c>
      <c r="I711" s="42" t="str">
        <f t="shared" ref="I711:I774" si="78">IF(B711="","",IF(B711=B710,I710+G711,G711))</f>
        <v/>
      </c>
      <c r="J711" s="43" t="str">
        <f t="shared" ref="J711:J774" si="79">IF(B711="","",IF(B710=B711,J710+H711,H711))</f>
        <v/>
      </c>
      <c r="K711" s="44" t="str">
        <f t="shared" ref="K711:K774" si="80">IF(F711="","",IF(E711="","",(F711-E711)/E711))</f>
        <v/>
      </c>
      <c r="L711" s="44" t="str">
        <f t="shared" ref="L711:L774" si="81">IF(I711="","",IF(D711="","",I711/D711) )</f>
        <v/>
      </c>
    </row>
    <row r="712" spans="1:12">
      <c r="A712" s="1" t="str">
        <f t="shared" ref="A712:A775" si="82">IF(C712="","",A711+1)</f>
        <v/>
      </c>
      <c r="F712" s="42" t="str">
        <f t="shared" si="77"/>
        <v/>
      </c>
      <c r="G712" s="42" t="str">
        <f t="shared" ref="G712:G775" si="83">IF(C712="","",H712/10)</f>
        <v/>
      </c>
      <c r="H712" s="43" t="str">
        <f>IF(C712="","",GETPIVOTDATA("WinPips",ProfitRpt!$A$9,"Trade Month",C712,"Trade Year",B712))</f>
        <v/>
      </c>
      <c r="I712" s="42" t="str">
        <f t="shared" si="78"/>
        <v/>
      </c>
      <c r="J712" s="43" t="str">
        <f t="shared" si="79"/>
        <v/>
      </c>
      <c r="K712" s="44" t="str">
        <f t="shared" si="80"/>
        <v/>
      </c>
      <c r="L712" s="44" t="str">
        <f t="shared" si="81"/>
        <v/>
      </c>
    </row>
    <row r="713" spans="1:12">
      <c r="A713" s="1" t="str">
        <f t="shared" si="82"/>
        <v/>
      </c>
      <c r="F713" s="42" t="str">
        <f t="shared" si="77"/>
        <v/>
      </c>
      <c r="G713" s="42" t="str">
        <f t="shared" si="83"/>
        <v/>
      </c>
      <c r="H713" s="43" t="str">
        <f>IF(C713="","",GETPIVOTDATA("WinPips",ProfitRpt!$A$9,"Trade Month",C713,"Trade Year",B713))</f>
        <v/>
      </c>
      <c r="I713" s="42" t="str">
        <f t="shared" si="78"/>
        <v/>
      </c>
      <c r="J713" s="43" t="str">
        <f t="shared" si="79"/>
        <v/>
      </c>
      <c r="K713" s="44" t="str">
        <f t="shared" si="80"/>
        <v/>
      </c>
      <c r="L713" s="44" t="str">
        <f t="shared" si="81"/>
        <v/>
      </c>
    </row>
    <row r="714" spans="1:12">
      <c r="A714" s="1" t="str">
        <f t="shared" si="82"/>
        <v/>
      </c>
      <c r="F714" s="42" t="str">
        <f t="shared" si="77"/>
        <v/>
      </c>
      <c r="G714" s="42" t="str">
        <f t="shared" si="83"/>
        <v/>
      </c>
      <c r="H714" s="43" t="str">
        <f>IF(C714="","",GETPIVOTDATA("WinPips",ProfitRpt!$A$9,"Trade Month",C714,"Trade Year",B714))</f>
        <v/>
      </c>
      <c r="I714" s="42" t="str">
        <f t="shared" si="78"/>
        <v/>
      </c>
      <c r="J714" s="43" t="str">
        <f t="shared" si="79"/>
        <v/>
      </c>
      <c r="K714" s="44" t="str">
        <f t="shared" si="80"/>
        <v/>
      </c>
      <c r="L714" s="44" t="str">
        <f t="shared" si="81"/>
        <v/>
      </c>
    </row>
    <row r="715" spans="1:12">
      <c r="A715" s="1" t="str">
        <f t="shared" si="82"/>
        <v/>
      </c>
      <c r="F715" s="42" t="str">
        <f t="shared" si="77"/>
        <v/>
      </c>
      <c r="G715" s="42" t="str">
        <f t="shared" si="83"/>
        <v/>
      </c>
      <c r="H715" s="43" t="str">
        <f>IF(C715="","",GETPIVOTDATA("WinPips",ProfitRpt!$A$9,"Trade Month",C715,"Trade Year",B715))</f>
        <v/>
      </c>
      <c r="I715" s="42" t="str">
        <f t="shared" si="78"/>
        <v/>
      </c>
      <c r="J715" s="43" t="str">
        <f t="shared" si="79"/>
        <v/>
      </c>
      <c r="K715" s="44" t="str">
        <f t="shared" si="80"/>
        <v/>
      </c>
      <c r="L715" s="44" t="str">
        <f t="shared" si="81"/>
        <v/>
      </c>
    </row>
    <row r="716" spans="1:12">
      <c r="A716" s="1" t="str">
        <f t="shared" si="82"/>
        <v/>
      </c>
      <c r="F716" s="42" t="str">
        <f t="shared" si="77"/>
        <v/>
      </c>
      <c r="G716" s="42" t="str">
        <f t="shared" si="83"/>
        <v/>
      </c>
      <c r="H716" s="43" t="str">
        <f>IF(C716="","",GETPIVOTDATA("WinPips",ProfitRpt!$A$9,"Trade Month",C716,"Trade Year",B716))</f>
        <v/>
      </c>
      <c r="I716" s="42" t="str">
        <f t="shared" si="78"/>
        <v/>
      </c>
      <c r="J716" s="43" t="str">
        <f t="shared" si="79"/>
        <v/>
      </c>
      <c r="K716" s="44" t="str">
        <f t="shared" si="80"/>
        <v/>
      </c>
      <c r="L716" s="44" t="str">
        <f t="shared" si="81"/>
        <v/>
      </c>
    </row>
    <row r="717" spans="1:12">
      <c r="A717" s="1" t="str">
        <f t="shared" si="82"/>
        <v/>
      </c>
      <c r="F717" s="42" t="str">
        <f t="shared" si="77"/>
        <v/>
      </c>
      <c r="G717" s="42" t="str">
        <f t="shared" si="83"/>
        <v/>
      </c>
      <c r="H717" s="43" t="str">
        <f>IF(C717="","",GETPIVOTDATA("WinPips",ProfitRpt!$A$9,"Trade Month",C717,"Trade Year",B717))</f>
        <v/>
      </c>
      <c r="I717" s="42" t="str">
        <f t="shared" si="78"/>
        <v/>
      </c>
      <c r="J717" s="43" t="str">
        <f t="shared" si="79"/>
        <v/>
      </c>
      <c r="K717" s="44" t="str">
        <f t="shared" si="80"/>
        <v/>
      </c>
      <c r="L717" s="44" t="str">
        <f t="shared" si="81"/>
        <v/>
      </c>
    </row>
    <row r="718" spans="1:12">
      <c r="A718" s="1" t="str">
        <f t="shared" si="82"/>
        <v/>
      </c>
      <c r="F718" s="42" t="str">
        <f t="shared" si="77"/>
        <v/>
      </c>
      <c r="G718" s="42" t="str">
        <f t="shared" si="83"/>
        <v/>
      </c>
      <c r="H718" s="43" t="str">
        <f>IF(C718="","",GETPIVOTDATA("WinPips",ProfitRpt!$A$9,"Trade Month",C718,"Trade Year",B718))</f>
        <v/>
      </c>
      <c r="I718" s="42" t="str">
        <f t="shared" si="78"/>
        <v/>
      </c>
      <c r="J718" s="43" t="str">
        <f t="shared" si="79"/>
        <v/>
      </c>
      <c r="K718" s="44" t="str">
        <f t="shared" si="80"/>
        <v/>
      </c>
      <c r="L718" s="44" t="str">
        <f t="shared" si="81"/>
        <v/>
      </c>
    </row>
    <row r="719" spans="1:12">
      <c r="A719" s="1" t="str">
        <f t="shared" si="82"/>
        <v/>
      </c>
      <c r="F719" s="42" t="str">
        <f t="shared" si="77"/>
        <v/>
      </c>
      <c r="G719" s="42" t="str">
        <f t="shared" si="83"/>
        <v/>
      </c>
      <c r="H719" s="43" t="str">
        <f>IF(C719="","",GETPIVOTDATA("WinPips",ProfitRpt!$A$9,"Trade Month",C719,"Trade Year",B719))</f>
        <v/>
      </c>
      <c r="I719" s="42" t="str">
        <f t="shared" si="78"/>
        <v/>
      </c>
      <c r="J719" s="43" t="str">
        <f t="shared" si="79"/>
        <v/>
      </c>
      <c r="K719" s="44" t="str">
        <f t="shared" si="80"/>
        <v/>
      </c>
      <c r="L719" s="44" t="str">
        <f t="shared" si="81"/>
        <v/>
      </c>
    </row>
    <row r="720" spans="1:12">
      <c r="A720" s="1" t="str">
        <f t="shared" si="82"/>
        <v/>
      </c>
      <c r="F720" s="42" t="str">
        <f t="shared" si="77"/>
        <v/>
      </c>
      <c r="G720" s="42" t="str">
        <f t="shared" si="83"/>
        <v/>
      </c>
      <c r="H720" s="43" t="str">
        <f>IF(C720="","",GETPIVOTDATA("WinPips",ProfitRpt!$A$9,"Trade Month",C720,"Trade Year",B720))</f>
        <v/>
      </c>
      <c r="I720" s="42" t="str">
        <f t="shared" si="78"/>
        <v/>
      </c>
      <c r="J720" s="43" t="str">
        <f t="shared" si="79"/>
        <v/>
      </c>
      <c r="K720" s="44" t="str">
        <f t="shared" si="80"/>
        <v/>
      </c>
      <c r="L720" s="44" t="str">
        <f t="shared" si="81"/>
        <v/>
      </c>
    </row>
    <row r="721" spans="1:12">
      <c r="A721" s="1" t="str">
        <f t="shared" si="82"/>
        <v/>
      </c>
      <c r="F721" s="42" t="str">
        <f t="shared" si="77"/>
        <v/>
      </c>
      <c r="G721" s="42" t="str">
        <f t="shared" si="83"/>
        <v/>
      </c>
      <c r="H721" s="43" t="str">
        <f>IF(C721="","",GETPIVOTDATA("WinPips",ProfitRpt!$A$9,"Trade Month",C721,"Trade Year",B721))</f>
        <v/>
      </c>
      <c r="I721" s="42" t="str">
        <f t="shared" si="78"/>
        <v/>
      </c>
      <c r="J721" s="43" t="str">
        <f t="shared" si="79"/>
        <v/>
      </c>
      <c r="K721" s="44" t="str">
        <f t="shared" si="80"/>
        <v/>
      </c>
      <c r="L721" s="44" t="str">
        <f t="shared" si="81"/>
        <v/>
      </c>
    </row>
    <row r="722" spans="1:12">
      <c r="A722" s="1" t="str">
        <f t="shared" si="82"/>
        <v/>
      </c>
      <c r="F722" s="42" t="str">
        <f t="shared" si="77"/>
        <v/>
      </c>
      <c r="G722" s="42" t="str">
        <f t="shared" si="83"/>
        <v/>
      </c>
      <c r="H722" s="43" t="str">
        <f>IF(C722="","",GETPIVOTDATA("WinPips",ProfitRpt!$A$9,"Trade Month",C722,"Trade Year",B722))</f>
        <v/>
      </c>
      <c r="I722" s="42" t="str">
        <f t="shared" si="78"/>
        <v/>
      </c>
      <c r="J722" s="43" t="str">
        <f t="shared" si="79"/>
        <v/>
      </c>
      <c r="K722" s="44" t="str">
        <f t="shared" si="80"/>
        <v/>
      </c>
      <c r="L722" s="44" t="str">
        <f t="shared" si="81"/>
        <v/>
      </c>
    </row>
    <row r="723" spans="1:12">
      <c r="A723" s="1" t="str">
        <f t="shared" si="82"/>
        <v/>
      </c>
      <c r="F723" s="42" t="str">
        <f t="shared" si="77"/>
        <v/>
      </c>
      <c r="G723" s="42" t="str">
        <f t="shared" si="83"/>
        <v/>
      </c>
      <c r="H723" s="43" t="str">
        <f>IF(C723="","",GETPIVOTDATA("WinPips",ProfitRpt!$A$9,"Trade Month",C723,"Trade Year",B723))</f>
        <v/>
      </c>
      <c r="I723" s="42" t="str">
        <f t="shared" si="78"/>
        <v/>
      </c>
      <c r="J723" s="43" t="str">
        <f t="shared" si="79"/>
        <v/>
      </c>
      <c r="K723" s="44" t="str">
        <f t="shared" si="80"/>
        <v/>
      </c>
      <c r="L723" s="44" t="str">
        <f t="shared" si="81"/>
        <v/>
      </c>
    </row>
    <row r="724" spans="1:12">
      <c r="A724" s="1" t="str">
        <f t="shared" si="82"/>
        <v/>
      </c>
      <c r="F724" s="42" t="str">
        <f t="shared" si="77"/>
        <v/>
      </c>
      <c r="G724" s="42" t="str">
        <f t="shared" si="83"/>
        <v/>
      </c>
      <c r="H724" s="43" t="str">
        <f>IF(C724="","",GETPIVOTDATA("WinPips",ProfitRpt!$A$9,"Trade Month",C724,"Trade Year",B724))</f>
        <v/>
      </c>
      <c r="I724" s="42" t="str">
        <f t="shared" si="78"/>
        <v/>
      </c>
      <c r="J724" s="43" t="str">
        <f t="shared" si="79"/>
        <v/>
      </c>
      <c r="K724" s="44" t="str">
        <f t="shared" si="80"/>
        <v/>
      </c>
      <c r="L724" s="44" t="str">
        <f t="shared" si="81"/>
        <v/>
      </c>
    </row>
    <row r="725" spans="1:12">
      <c r="A725" s="1" t="str">
        <f t="shared" si="82"/>
        <v/>
      </c>
      <c r="F725" s="42" t="str">
        <f t="shared" si="77"/>
        <v/>
      </c>
      <c r="G725" s="42" t="str">
        <f t="shared" si="83"/>
        <v/>
      </c>
      <c r="H725" s="43" t="str">
        <f>IF(C725="","",GETPIVOTDATA("WinPips",ProfitRpt!$A$9,"Trade Month",C725,"Trade Year",B725))</f>
        <v/>
      </c>
      <c r="I725" s="42" t="str">
        <f t="shared" si="78"/>
        <v/>
      </c>
      <c r="J725" s="43" t="str">
        <f t="shared" si="79"/>
        <v/>
      </c>
      <c r="K725" s="44" t="str">
        <f t="shared" si="80"/>
        <v/>
      </c>
      <c r="L725" s="44" t="str">
        <f t="shared" si="81"/>
        <v/>
      </c>
    </row>
    <row r="726" spans="1:12">
      <c r="A726" s="1" t="str">
        <f t="shared" si="82"/>
        <v/>
      </c>
      <c r="F726" s="42" t="str">
        <f t="shared" si="77"/>
        <v/>
      </c>
      <c r="G726" s="42" t="str">
        <f t="shared" si="83"/>
        <v/>
      </c>
      <c r="H726" s="43" t="str">
        <f>IF(C726="","",GETPIVOTDATA("WinPips",ProfitRpt!$A$9,"Trade Month",C726,"Trade Year",B726))</f>
        <v/>
      </c>
      <c r="I726" s="42" t="str">
        <f t="shared" si="78"/>
        <v/>
      </c>
      <c r="J726" s="43" t="str">
        <f t="shared" si="79"/>
        <v/>
      </c>
      <c r="K726" s="44" t="str">
        <f t="shared" si="80"/>
        <v/>
      </c>
      <c r="L726" s="44" t="str">
        <f t="shared" si="81"/>
        <v/>
      </c>
    </row>
    <row r="727" spans="1:12">
      <c r="A727" s="1" t="str">
        <f t="shared" si="82"/>
        <v/>
      </c>
      <c r="F727" s="42" t="str">
        <f t="shared" si="77"/>
        <v/>
      </c>
      <c r="G727" s="42" t="str">
        <f t="shared" si="83"/>
        <v/>
      </c>
      <c r="H727" s="43" t="str">
        <f>IF(C727="","",GETPIVOTDATA("WinPips",ProfitRpt!$A$9,"Trade Month",C727,"Trade Year",B727))</f>
        <v/>
      </c>
      <c r="I727" s="42" t="str">
        <f t="shared" si="78"/>
        <v/>
      </c>
      <c r="J727" s="43" t="str">
        <f t="shared" si="79"/>
        <v/>
      </c>
      <c r="K727" s="44" t="str">
        <f t="shared" si="80"/>
        <v/>
      </c>
      <c r="L727" s="44" t="str">
        <f t="shared" si="81"/>
        <v/>
      </c>
    </row>
    <row r="728" spans="1:12">
      <c r="A728" s="1" t="str">
        <f t="shared" si="82"/>
        <v/>
      </c>
      <c r="F728" s="42" t="str">
        <f t="shared" si="77"/>
        <v/>
      </c>
      <c r="G728" s="42" t="str">
        <f t="shared" si="83"/>
        <v/>
      </c>
      <c r="H728" s="43" t="str">
        <f>IF(C728="","",GETPIVOTDATA("WinPips",ProfitRpt!$A$9,"Trade Month",C728,"Trade Year",B728))</f>
        <v/>
      </c>
      <c r="I728" s="42" t="str">
        <f t="shared" si="78"/>
        <v/>
      </c>
      <c r="J728" s="43" t="str">
        <f t="shared" si="79"/>
        <v/>
      </c>
      <c r="K728" s="44" t="str">
        <f t="shared" si="80"/>
        <v/>
      </c>
      <c r="L728" s="44" t="str">
        <f t="shared" si="81"/>
        <v/>
      </c>
    </row>
    <row r="729" spans="1:12">
      <c r="A729" s="1" t="str">
        <f t="shared" si="82"/>
        <v/>
      </c>
      <c r="F729" s="42" t="str">
        <f t="shared" si="77"/>
        <v/>
      </c>
      <c r="G729" s="42" t="str">
        <f t="shared" si="83"/>
        <v/>
      </c>
      <c r="H729" s="43" t="str">
        <f>IF(C729="","",GETPIVOTDATA("WinPips",ProfitRpt!$A$9,"Trade Month",C729,"Trade Year",B729))</f>
        <v/>
      </c>
      <c r="I729" s="42" t="str">
        <f t="shared" si="78"/>
        <v/>
      </c>
      <c r="J729" s="43" t="str">
        <f t="shared" si="79"/>
        <v/>
      </c>
      <c r="K729" s="44" t="str">
        <f t="shared" si="80"/>
        <v/>
      </c>
      <c r="L729" s="44" t="str">
        <f t="shared" si="81"/>
        <v/>
      </c>
    </row>
    <row r="730" spans="1:12">
      <c r="A730" s="1" t="str">
        <f t="shared" si="82"/>
        <v/>
      </c>
      <c r="F730" s="42" t="str">
        <f t="shared" si="77"/>
        <v/>
      </c>
      <c r="G730" s="42" t="str">
        <f t="shared" si="83"/>
        <v/>
      </c>
      <c r="H730" s="43" t="str">
        <f>IF(C730="","",GETPIVOTDATA("WinPips",ProfitRpt!$A$9,"Trade Month",C730,"Trade Year",B730))</f>
        <v/>
      </c>
      <c r="I730" s="42" t="str">
        <f t="shared" si="78"/>
        <v/>
      </c>
      <c r="J730" s="43" t="str">
        <f t="shared" si="79"/>
        <v/>
      </c>
      <c r="K730" s="44" t="str">
        <f t="shared" si="80"/>
        <v/>
      </c>
      <c r="L730" s="44" t="str">
        <f t="shared" si="81"/>
        <v/>
      </c>
    </row>
    <row r="731" spans="1:12">
      <c r="A731" s="1" t="str">
        <f t="shared" si="82"/>
        <v/>
      </c>
      <c r="F731" s="42" t="str">
        <f t="shared" si="77"/>
        <v/>
      </c>
      <c r="G731" s="42" t="str">
        <f t="shared" si="83"/>
        <v/>
      </c>
      <c r="H731" s="43" t="str">
        <f>IF(C731="","",GETPIVOTDATA("WinPips",ProfitRpt!$A$9,"Trade Month",C731,"Trade Year",B731))</f>
        <v/>
      </c>
      <c r="I731" s="42" t="str">
        <f t="shared" si="78"/>
        <v/>
      </c>
      <c r="J731" s="43" t="str">
        <f t="shared" si="79"/>
        <v/>
      </c>
      <c r="K731" s="44" t="str">
        <f t="shared" si="80"/>
        <v/>
      </c>
      <c r="L731" s="44" t="str">
        <f t="shared" si="81"/>
        <v/>
      </c>
    </row>
    <row r="732" spans="1:12">
      <c r="A732" s="1" t="str">
        <f t="shared" si="82"/>
        <v/>
      </c>
      <c r="F732" s="42" t="str">
        <f t="shared" si="77"/>
        <v/>
      </c>
      <c r="G732" s="42" t="str">
        <f t="shared" si="83"/>
        <v/>
      </c>
      <c r="H732" s="43" t="str">
        <f>IF(C732="","",GETPIVOTDATA("WinPips",ProfitRpt!$A$9,"Trade Month",C732,"Trade Year",B732))</f>
        <v/>
      </c>
      <c r="I732" s="42" t="str">
        <f t="shared" si="78"/>
        <v/>
      </c>
      <c r="J732" s="43" t="str">
        <f t="shared" si="79"/>
        <v/>
      </c>
      <c r="K732" s="44" t="str">
        <f t="shared" si="80"/>
        <v/>
      </c>
      <c r="L732" s="44" t="str">
        <f t="shared" si="81"/>
        <v/>
      </c>
    </row>
    <row r="733" spans="1:12">
      <c r="A733" s="1" t="str">
        <f t="shared" si="82"/>
        <v/>
      </c>
      <c r="F733" s="42" t="str">
        <f t="shared" si="77"/>
        <v/>
      </c>
      <c r="G733" s="42" t="str">
        <f t="shared" si="83"/>
        <v/>
      </c>
      <c r="H733" s="43" t="str">
        <f>IF(C733="","",GETPIVOTDATA("WinPips",ProfitRpt!$A$9,"Trade Month",C733,"Trade Year",B733))</f>
        <v/>
      </c>
      <c r="I733" s="42" t="str">
        <f t="shared" si="78"/>
        <v/>
      </c>
      <c r="J733" s="43" t="str">
        <f t="shared" si="79"/>
        <v/>
      </c>
      <c r="K733" s="44" t="str">
        <f t="shared" si="80"/>
        <v/>
      </c>
      <c r="L733" s="44" t="str">
        <f t="shared" si="81"/>
        <v/>
      </c>
    </row>
    <row r="734" spans="1:12">
      <c r="A734" s="1" t="str">
        <f t="shared" si="82"/>
        <v/>
      </c>
      <c r="F734" s="42" t="str">
        <f t="shared" si="77"/>
        <v/>
      </c>
      <c r="G734" s="42" t="str">
        <f t="shared" si="83"/>
        <v/>
      </c>
      <c r="H734" s="43" t="str">
        <f>IF(C734="","",GETPIVOTDATA("WinPips",ProfitRpt!$A$9,"Trade Month",C734,"Trade Year",B734))</f>
        <v/>
      </c>
      <c r="I734" s="42" t="str">
        <f t="shared" si="78"/>
        <v/>
      </c>
      <c r="J734" s="43" t="str">
        <f t="shared" si="79"/>
        <v/>
      </c>
      <c r="K734" s="44" t="str">
        <f t="shared" si="80"/>
        <v/>
      </c>
      <c r="L734" s="44" t="str">
        <f t="shared" si="81"/>
        <v/>
      </c>
    </row>
    <row r="735" spans="1:12">
      <c r="A735" s="1" t="str">
        <f t="shared" si="82"/>
        <v/>
      </c>
      <c r="F735" s="42" t="str">
        <f t="shared" si="77"/>
        <v/>
      </c>
      <c r="G735" s="42" t="str">
        <f t="shared" si="83"/>
        <v/>
      </c>
      <c r="H735" s="43" t="str">
        <f>IF(C735="","",GETPIVOTDATA("WinPips",ProfitRpt!$A$9,"Trade Month",C735,"Trade Year",B735))</f>
        <v/>
      </c>
      <c r="I735" s="42" t="str">
        <f t="shared" si="78"/>
        <v/>
      </c>
      <c r="J735" s="43" t="str">
        <f t="shared" si="79"/>
        <v/>
      </c>
      <c r="K735" s="44" t="str">
        <f t="shared" si="80"/>
        <v/>
      </c>
      <c r="L735" s="44" t="str">
        <f t="shared" si="81"/>
        <v/>
      </c>
    </row>
    <row r="736" spans="1:12">
      <c r="A736" s="1" t="str">
        <f t="shared" si="82"/>
        <v/>
      </c>
      <c r="F736" s="42" t="str">
        <f t="shared" si="77"/>
        <v/>
      </c>
      <c r="G736" s="42" t="str">
        <f t="shared" si="83"/>
        <v/>
      </c>
      <c r="H736" s="43" t="str">
        <f>IF(C736="","",GETPIVOTDATA("WinPips",ProfitRpt!$A$9,"Trade Month",C736,"Trade Year",B736))</f>
        <v/>
      </c>
      <c r="I736" s="42" t="str">
        <f t="shared" si="78"/>
        <v/>
      </c>
      <c r="J736" s="43" t="str">
        <f t="shared" si="79"/>
        <v/>
      </c>
      <c r="K736" s="44" t="str">
        <f t="shared" si="80"/>
        <v/>
      </c>
      <c r="L736" s="44" t="str">
        <f t="shared" si="81"/>
        <v/>
      </c>
    </row>
    <row r="737" spans="1:12">
      <c r="A737" s="1" t="str">
        <f t="shared" si="82"/>
        <v/>
      </c>
      <c r="F737" s="42" t="str">
        <f t="shared" si="77"/>
        <v/>
      </c>
      <c r="G737" s="42" t="str">
        <f t="shared" si="83"/>
        <v/>
      </c>
      <c r="H737" s="43" t="str">
        <f>IF(C737="","",GETPIVOTDATA("WinPips",ProfitRpt!$A$9,"Trade Month",C737,"Trade Year",B737))</f>
        <v/>
      </c>
      <c r="I737" s="42" t="str">
        <f t="shared" si="78"/>
        <v/>
      </c>
      <c r="J737" s="43" t="str">
        <f t="shared" si="79"/>
        <v/>
      </c>
      <c r="K737" s="44" t="str">
        <f t="shared" si="80"/>
        <v/>
      </c>
      <c r="L737" s="44" t="str">
        <f t="shared" si="81"/>
        <v/>
      </c>
    </row>
    <row r="738" spans="1:12">
      <c r="A738" s="1" t="str">
        <f t="shared" si="82"/>
        <v/>
      </c>
      <c r="F738" s="42" t="str">
        <f t="shared" si="77"/>
        <v/>
      </c>
      <c r="G738" s="42" t="str">
        <f t="shared" si="83"/>
        <v/>
      </c>
      <c r="H738" s="43" t="str">
        <f>IF(C738="","",GETPIVOTDATA("WinPips",ProfitRpt!$A$9,"Trade Month",C738,"Trade Year",B738))</f>
        <v/>
      </c>
      <c r="I738" s="42" t="str">
        <f t="shared" si="78"/>
        <v/>
      </c>
      <c r="J738" s="43" t="str">
        <f t="shared" si="79"/>
        <v/>
      </c>
      <c r="K738" s="44" t="str">
        <f t="shared" si="80"/>
        <v/>
      </c>
      <c r="L738" s="44" t="str">
        <f t="shared" si="81"/>
        <v/>
      </c>
    </row>
    <row r="739" spans="1:12">
      <c r="A739" s="1" t="str">
        <f t="shared" si="82"/>
        <v/>
      </c>
      <c r="F739" s="42" t="str">
        <f t="shared" si="77"/>
        <v/>
      </c>
      <c r="G739" s="42" t="str">
        <f t="shared" si="83"/>
        <v/>
      </c>
      <c r="H739" s="43" t="str">
        <f>IF(C739="","",GETPIVOTDATA("WinPips",ProfitRpt!$A$9,"Trade Month",C739,"Trade Year",B739))</f>
        <v/>
      </c>
      <c r="I739" s="42" t="str">
        <f t="shared" si="78"/>
        <v/>
      </c>
      <c r="J739" s="43" t="str">
        <f t="shared" si="79"/>
        <v/>
      </c>
      <c r="K739" s="44" t="str">
        <f t="shared" si="80"/>
        <v/>
      </c>
      <c r="L739" s="44" t="str">
        <f t="shared" si="81"/>
        <v/>
      </c>
    </row>
    <row r="740" spans="1:12">
      <c r="A740" s="1" t="str">
        <f t="shared" si="82"/>
        <v/>
      </c>
      <c r="F740" s="42" t="str">
        <f t="shared" si="77"/>
        <v/>
      </c>
      <c r="G740" s="42" t="str">
        <f t="shared" si="83"/>
        <v/>
      </c>
      <c r="H740" s="43" t="str">
        <f>IF(C740="","",GETPIVOTDATA("WinPips",ProfitRpt!$A$9,"Trade Month",C740,"Trade Year",B740))</f>
        <v/>
      </c>
      <c r="I740" s="42" t="str">
        <f t="shared" si="78"/>
        <v/>
      </c>
      <c r="J740" s="43" t="str">
        <f t="shared" si="79"/>
        <v/>
      </c>
      <c r="K740" s="44" t="str">
        <f t="shared" si="80"/>
        <v/>
      </c>
      <c r="L740" s="44" t="str">
        <f t="shared" si="81"/>
        <v/>
      </c>
    </row>
    <row r="741" spans="1:12">
      <c r="A741" s="1" t="str">
        <f t="shared" si="82"/>
        <v/>
      </c>
      <c r="F741" s="42" t="str">
        <f t="shared" si="77"/>
        <v/>
      </c>
      <c r="G741" s="42" t="str">
        <f t="shared" si="83"/>
        <v/>
      </c>
      <c r="H741" s="43" t="str">
        <f>IF(C741="","",GETPIVOTDATA("WinPips",ProfitRpt!$A$9,"Trade Month",C741,"Trade Year",B741))</f>
        <v/>
      </c>
      <c r="I741" s="42" t="str">
        <f t="shared" si="78"/>
        <v/>
      </c>
      <c r="J741" s="43" t="str">
        <f t="shared" si="79"/>
        <v/>
      </c>
      <c r="K741" s="44" t="str">
        <f t="shared" si="80"/>
        <v/>
      </c>
      <c r="L741" s="44" t="str">
        <f t="shared" si="81"/>
        <v/>
      </c>
    </row>
    <row r="742" spans="1:12">
      <c r="A742" s="1" t="str">
        <f t="shared" si="82"/>
        <v/>
      </c>
      <c r="F742" s="42" t="str">
        <f t="shared" si="77"/>
        <v/>
      </c>
      <c r="G742" s="42" t="str">
        <f t="shared" si="83"/>
        <v/>
      </c>
      <c r="H742" s="43" t="str">
        <f>IF(C742="","",GETPIVOTDATA("WinPips",ProfitRpt!$A$9,"Trade Month",C742,"Trade Year",B742))</f>
        <v/>
      </c>
      <c r="I742" s="42" t="str">
        <f t="shared" si="78"/>
        <v/>
      </c>
      <c r="J742" s="43" t="str">
        <f t="shared" si="79"/>
        <v/>
      </c>
      <c r="K742" s="44" t="str">
        <f t="shared" si="80"/>
        <v/>
      </c>
      <c r="L742" s="44" t="str">
        <f t="shared" si="81"/>
        <v/>
      </c>
    </row>
    <row r="743" spans="1:12">
      <c r="A743" s="1" t="str">
        <f t="shared" si="82"/>
        <v/>
      </c>
      <c r="F743" s="42" t="str">
        <f t="shared" si="77"/>
        <v/>
      </c>
      <c r="G743" s="42" t="str">
        <f t="shared" si="83"/>
        <v/>
      </c>
      <c r="H743" s="43" t="str">
        <f>IF(C743="","",GETPIVOTDATA("WinPips",ProfitRpt!$A$9,"Trade Month",C743,"Trade Year",B743))</f>
        <v/>
      </c>
      <c r="I743" s="42" t="str">
        <f t="shared" si="78"/>
        <v/>
      </c>
      <c r="J743" s="43" t="str">
        <f t="shared" si="79"/>
        <v/>
      </c>
      <c r="K743" s="44" t="str">
        <f t="shared" si="80"/>
        <v/>
      </c>
      <c r="L743" s="44" t="str">
        <f t="shared" si="81"/>
        <v/>
      </c>
    </row>
    <row r="744" spans="1:12">
      <c r="A744" s="1" t="str">
        <f t="shared" si="82"/>
        <v/>
      </c>
      <c r="F744" s="42" t="str">
        <f t="shared" si="77"/>
        <v/>
      </c>
      <c r="G744" s="42" t="str">
        <f t="shared" si="83"/>
        <v/>
      </c>
      <c r="H744" s="43" t="str">
        <f>IF(C744="","",GETPIVOTDATA("WinPips",ProfitRpt!$A$9,"Trade Month",C744,"Trade Year",B744))</f>
        <v/>
      </c>
      <c r="I744" s="42" t="str">
        <f t="shared" si="78"/>
        <v/>
      </c>
      <c r="J744" s="43" t="str">
        <f t="shared" si="79"/>
        <v/>
      </c>
      <c r="K744" s="44" t="str">
        <f t="shared" si="80"/>
        <v/>
      </c>
      <c r="L744" s="44" t="str">
        <f t="shared" si="81"/>
        <v/>
      </c>
    </row>
    <row r="745" spans="1:12">
      <c r="A745" s="1" t="str">
        <f t="shared" si="82"/>
        <v/>
      </c>
      <c r="F745" s="42" t="str">
        <f t="shared" si="77"/>
        <v/>
      </c>
      <c r="G745" s="42" t="str">
        <f t="shared" si="83"/>
        <v/>
      </c>
      <c r="H745" s="43" t="str">
        <f>IF(C745="","",GETPIVOTDATA("WinPips",ProfitRpt!$A$9,"Trade Month",C745,"Trade Year",B745))</f>
        <v/>
      </c>
      <c r="I745" s="42" t="str">
        <f t="shared" si="78"/>
        <v/>
      </c>
      <c r="J745" s="43" t="str">
        <f t="shared" si="79"/>
        <v/>
      </c>
      <c r="K745" s="44" t="str">
        <f t="shared" si="80"/>
        <v/>
      </c>
      <c r="L745" s="44" t="str">
        <f t="shared" si="81"/>
        <v/>
      </c>
    </row>
    <row r="746" spans="1:12">
      <c r="A746" s="1" t="str">
        <f t="shared" si="82"/>
        <v/>
      </c>
      <c r="F746" s="42" t="str">
        <f t="shared" si="77"/>
        <v/>
      </c>
      <c r="G746" s="42" t="str">
        <f t="shared" si="83"/>
        <v/>
      </c>
      <c r="H746" s="43" t="str">
        <f>IF(C746="","",GETPIVOTDATA("WinPips",ProfitRpt!$A$9,"Trade Month",C746,"Trade Year",B746))</f>
        <v/>
      </c>
      <c r="I746" s="42" t="str">
        <f t="shared" si="78"/>
        <v/>
      </c>
      <c r="J746" s="43" t="str">
        <f t="shared" si="79"/>
        <v/>
      </c>
      <c r="K746" s="44" t="str">
        <f t="shared" si="80"/>
        <v/>
      </c>
      <c r="L746" s="44" t="str">
        <f t="shared" si="81"/>
        <v/>
      </c>
    </row>
    <row r="747" spans="1:12">
      <c r="A747" s="1" t="str">
        <f t="shared" si="82"/>
        <v/>
      </c>
      <c r="F747" s="42" t="str">
        <f t="shared" si="77"/>
        <v/>
      </c>
      <c r="G747" s="42" t="str">
        <f t="shared" si="83"/>
        <v/>
      </c>
      <c r="H747" s="43" t="str">
        <f>IF(C747="","",GETPIVOTDATA("WinPips",ProfitRpt!$A$9,"Trade Month",C747,"Trade Year",B747))</f>
        <v/>
      </c>
      <c r="I747" s="42" t="str">
        <f t="shared" si="78"/>
        <v/>
      </c>
      <c r="J747" s="43" t="str">
        <f t="shared" si="79"/>
        <v/>
      </c>
      <c r="K747" s="44" t="str">
        <f t="shared" si="80"/>
        <v/>
      </c>
      <c r="L747" s="44" t="str">
        <f t="shared" si="81"/>
        <v/>
      </c>
    </row>
    <row r="748" spans="1:12">
      <c r="A748" s="1" t="str">
        <f t="shared" si="82"/>
        <v/>
      </c>
      <c r="F748" s="42" t="str">
        <f t="shared" si="77"/>
        <v/>
      </c>
      <c r="G748" s="42" t="str">
        <f t="shared" si="83"/>
        <v/>
      </c>
      <c r="H748" s="43" t="str">
        <f>IF(C748="","",GETPIVOTDATA("WinPips",ProfitRpt!$A$9,"Trade Month",C748,"Trade Year",B748))</f>
        <v/>
      </c>
      <c r="I748" s="42" t="str">
        <f t="shared" si="78"/>
        <v/>
      </c>
      <c r="J748" s="43" t="str">
        <f t="shared" si="79"/>
        <v/>
      </c>
      <c r="K748" s="44" t="str">
        <f t="shared" si="80"/>
        <v/>
      </c>
      <c r="L748" s="44" t="str">
        <f t="shared" si="81"/>
        <v/>
      </c>
    </row>
    <row r="749" spans="1:12">
      <c r="A749" s="1" t="str">
        <f t="shared" si="82"/>
        <v/>
      </c>
      <c r="F749" s="42" t="str">
        <f t="shared" si="77"/>
        <v/>
      </c>
      <c r="G749" s="42" t="str">
        <f t="shared" si="83"/>
        <v/>
      </c>
      <c r="H749" s="43" t="str">
        <f>IF(C749="","",GETPIVOTDATA("WinPips",ProfitRpt!$A$9,"Trade Month",C749,"Trade Year",B749))</f>
        <v/>
      </c>
      <c r="I749" s="42" t="str">
        <f t="shared" si="78"/>
        <v/>
      </c>
      <c r="J749" s="43" t="str">
        <f t="shared" si="79"/>
        <v/>
      </c>
      <c r="K749" s="44" t="str">
        <f t="shared" si="80"/>
        <v/>
      </c>
      <c r="L749" s="44" t="str">
        <f t="shared" si="81"/>
        <v/>
      </c>
    </row>
    <row r="750" spans="1:12">
      <c r="A750" s="1" t="str">
        <f t="shared" si="82"/>
        <v/>
      </c>
      <c r="F750" s="42" t="str">
        <f t="shared" si="77"/>
        <v/>
      </c>
      <c r="G750" s="42" t="str">
        <f t="shared" si="83"/>
        <v/>
      </c>
      <c r="H750" s="43" t="str">
        <f>IF(C750="","",GETPIVOTDATA("WinPips",ProfitRpt!$A$9,"Trade Month",C750,"Trade Year",B750))</f>
        <v/>
      </c>
      <c r="I750" s="42" t="str">
        <f t="shared" si="78"/>
        <v/>
      </c>
      <c r="J750" s="43" t="str">
        <f t="shared" si="79"/>
        <v/>
      </c>
      <c r="K750" s="44" t="str">
        <f t="shared" si="80"/>
        <v/>
      </c>
      <c r="L750" s="44" t="str">
        <f t="shared" si="81"/>
        <v/>
      </c>
    </row>
    <row r="751" spans="1:12">
      <c r="A751" s="1" t="str">
        <f t="shared" si="82"/>
        <v/>
      </c>
      <c r="F751" s="42" t="str">
        <f t="shared" si="77"/>
        <v/>
      </c>
      <c r="G751" s="42" t="str">
        <f t="shared" si="83"/>
        <v/>
      </c>
      <c r="H751" s="43" t="str">
        <f>IF(C751="","",GETPIVOTDATA("WinPips",ProfitRpt!$A$9,"Trade Month",C751,"Trade Year",B751))</f>
        <v/>
      </c>
      <c r="I751" s="42" t="str">
        <f t="shared" si="78"/>
        <v/>
      </c>
      <c r="J751" s="43" t="str">
        <f t="shared" si="79"/>
        <v/>
      </c>
      <c r="K751" s="44" t="str">
        <f t="shared" si="80"/>
        <v/>
      </c>
      <c r="L751" s="44" t="str">
        <f t="shared" si="81"/>
        <v/>
      </c>
    </row>
    <row r="752" spans="1:12">
      <c r="A752" s="1" t="str">
        <f t="shared" si="82"/>
        <v/>
      </c>
      <c r="F752" s="42" t="str">
        <f t="shared" si="77"/>
        <v/>
      </c>
      <c r="G752" s="42" t="str">
        <f t="shared" si="83"/>
        <v/>
      </c>
      <c r="H752" s="43" t="str">
        <f>IF(C752="","",GETPIVOTDATA("WinPips",ProfitRpt!$A$9,"Trade Month",C752,"Trade Year",B752))</f>
        <v/>
      </c>
      <c r="I752" s="42" t="str">
        <f t="shared" si="78"/>
        <v/>
      </c>
      <c r="J752" s="43" t="str">
        <f t="shared" si="79"/>
        <v/>
      </c>
      <c r="K752" s="44" t="str">
        <f t="shared" si="80"/>
        <v/>
      </c>
      <c r="L752" s="44" t="str">
        <f t="shared" si="81"/>
        <v/>
      </c>
    </row>
    <row r="753" spans="1:12">
      <c r="A753" s="1" t="str">
        <f t="shared" si="82"/>
        <v/>
      </c>
      <c r="F753" s="42" t="str">
        <f t="shared" si="77"/>
        <v/>
      </c>
      <c r="G753" s="42" t="str">
        <f t="shared" si="83"/>
        <v/>
      </c>
      <c r="H753" s="43" t="str">
        <f>IF(C753="","",GETPIVOTDATA("WinPips",ProfitRpt!$A$9,"Trade Month",C753,"Trade Year",B753))</f>
        <v/>
      </c>
      <c r="I753" s="42" t="str">
        <f t="shared" si="78"/>
        <v/>
      </c>
      <c r="J753" s="43" t="str">
        <f t="shared" si="79"/>
        <v/>
      </c>
      <c r="K753" s="44" t="str">
        <f t="shared" si="80"/>
        <v/>
      </c>
      <c r="L753" s="44" t="str">
        <f t="shared" si="81"/>
        <v/>
      </c>
    </row>
    <row r="754" spans="1:12">
      <c r="A754" s="1" t="str">
        <f t="shared" si="82"/>
        <v/>
      </c>
      <c r="F754" s="42" t="str">
        <f t="shared" si="77"/>
        <v/>
      </c>
      <c r="G754" s="42" t="str">
        <f t="shared" si="83"/>
        <v/>
      </c>
      <c r="H754" s="43" t="str">
        <f>IF(C754="","",GETPIVOTDATA("WinPips",ProfitRpt!$A$9,"Trade Month",C754,"Trade Year",B754))</f>
        <v/>
      </c>
      <c r="I754" s="42" t="str">
        <f t="shared" si="78"/>
        <v/>
      </c>
      <c r="J754" s="43" t="str">
        <f t="shared" si="79"/>
        <v/>
      </c>
      <c r="K754" s="44" t="str">
        <f t="shared" si="80"/>
        <v/>
      </c>
      <c r="L754" s="44" t="str">
        <f t="shared" si="81"/>
        <v/>
      </c>
    </row>
    <row r="755" spans="1:12">
      <c r="A755" s="1" t="str">
        <f t="shared" si="82"/>
        <v/>
      </c>
      <c r="F755" s="42" t="str">
        <f t="shared" si="77"/>
        <v/>
      </c>
      <c r="G755" s="42" t="str">
        <f t="shared" si="83"/>
        <v/>
      </c>
      <c r="H755" s="43" t="str">
        <f>IF(C755="","",GETPIVOTDATA("WinPips",ProfitRpt!$A$9,"Trade Month",C755,"Trade Year",B755))</f>
        <v/>
      </c>
      <c r="I755" s="42" t="str">
        <f t="shared" si="78"/>
        <v/>
      </c>
      <c r="J755" s="43" t="str">
        <f t="shared" si="79"/>
        <v/>
      </c>
      <c r="K755" s="44" t="str">
        <f t="shared" si="80"/>
        <v/>
      </c>
      <c r="L755" s="44" t="str">
        <f t="shared" si="81"/>
        <v/>
      </c>
    </row>
    <row r="756" spans="1:12">
      <c r="A756" s="1" t="str">
        <f t="shared" si="82"/>
        <v/>
      </c>
      <c r="F756" s="42" t="str">
        <f t="shared" si="77"/>
        <v/>
      </c>
      <c r="G756" s="42" t="str">
        <f t="shared" si="83"/>
        <v/>
      </c>
      <c r="H756" s="43" t="str">
        <f>IF(C756="","",GETPIVOTDATA("WinPips",ProfitRpt!$A$9,"Trade Month",C756,"Trade Year",B756))</f>
        <v/>
      </c>
      <c r="I756" s="42" t="str">
        <f t="shared" si="78"/>
        <v/>
      </c>
      <c r="J756" s="43" t="str">
        <f t="shared" si="79"/>
        <v/>
      </c>
      <c r="K756" s="44" t="str">
        <f t="shared" si="80"/>
        <v/>
      </c>
      <c r="L756" s="44" t="str">
        <f t="shared" si="81"/>
        <v/>
      </c>
    </row>
    <row r="757" spans="1:12">
      <c r="A757" s="1" t="str">
        <f t="shared" si="82"/>
        <v/>
      </c>
      <c r="F757" s="42" t="str">
        <f t="shared" si="77"/>
        <v/>
      </c>
      <c r="G757" s="42" t="str">
        <f t="shared" si="83"/>
        <v/>
      </c>
      <c r="H757" s="43" t="str">
        <f>IF(C757="","",GETPIVOTDATA("WinPips",ProfitRpt!$A$9,"Trade Month",C757,"Trade Year",B757))</f>
        <v/>
      </c>
      <c r="I757" s="42" t="str">
        <f t="shared" si="78"/>
        <v/>
      </c>
      <c r="J757" s="43" t="str">
        <f t="shared" si="79"/>
        <v/>
      </c>
      <c r="K757" s="44" t="str">
        <f t="shared" si="80"/>
        <v/>
      </c>
      <c r="L757" s="44" t="str">
        <f t="shared" si="81"/>
        <v/>
      </c>
    </row>
    <row r="758" spans="1:12">
      <c r="A758" s="1" t="str">
        <f t="shared" si="82"/>
        <v/>
      </c>
      <c r="F758" s="42" t="str">
        <f t="shared" si="77"/>
        <v/>
      </c>
      <c r="G758" s="42" t="str">
        <f t="shared" si="83"/>
        <v/>
      </c>
      <c r="H758" s="43" t="str">
        <f>IF(C758="","",GETPIVOTDATA("WinPips",ProfitRpt!$A$9,"Trade Month",C758,"Trade Year",B758))</f>
        <v/>
      </c>
      <c r="I758" s="42" t="str">
        <f t="shared" si="78"/>
        <v/>
      </c>
      <c r="J758" s="43" t="str">
        <f t="shared" si="79"/>
        <v/>
      </c>
      <c r="K758" s="44" t="str">
        <f t="shared" si="80"/>
        <v/>
      </c>
      <c r="L758" s="44" t="str">
        <f t="shared" si="81"/>
        <v/>
      </c>
    </row>
    <row r="759" spans="1:12">
      <c r="A759" s="1" t="str">
        <f t="shared" si="82"/>
        <v/>
      </c>
      <c r="F759" s="42" t="str">
        <f t="shared" si="77"/>
        <v/>
      </c>
      <c r="G759" s="42" t="str">
        <f t="shared" si="83"/>
        <v/>
      </c>
      <c r="H759" s="43" t="str">
        <f>IF(C759="","",GETPIVOTDATA("WinPips",ProfitRpt!$A$9,"Trade Month",C759,"Trade Year",B759))</f>
        <v/>
      </c>
      <c r="I759" s="42" t="str">
        <f t="shared" si="78"/>
        <v/>
      </c>
      <c r="J759" s="43" t="str">
        <f t="shared" si="79"/>
        <v/>
      </c>
      <c r="K759" s="44" t="str">
        <f t="shared" si="80"/>
        <v/>
      </c>
      <c r="L759" s="44" t="str">
        <f t="shared" si="81"/>
        <v/>
      </c>
    </row>
    <row r="760" spans="1:12">
      <c r="A760" s="1" t="str">
        <f t="shared" si="82"/>
        <v/>
      </c>
      <c r="F760" s="42" t="str">
        <f t="shared" si="77"/>
        <v/>
      </c>
      <c r="G760" s="42" t="str">
        <f t="shared" si="83"/>
        <v/>
      </c>
      <c r="H760" s="43" t="str">
        <f>IF(C760="","",GETPIVOTDATA("WinPips",ProfitRpt!$A$9,"Trade Month",C760,"Trade Year",B760))</f>
        <v/>
      </c>
      <c r="I760" s="42" t="str">
        <f t="shared" si="78"/>
        <v/>
      </c>
      <c r="J760" s="43" t="str">
        <f t="shared" si="79"/>
        <v/>
      </c>
      <c r="K760" s="44" t="str">
        <f t="shared" si="80"/>
        <v/>
      </c>
      <c r="L760" s="44" t="str">
        <f t="shared" si="81"/>
        <v/>
      </c>
    </row>
    <row r="761" spans="1:12">
      <c r="A761" s="1" t="str">
        <f t="shared" si="82"/>
        <v/>
      </c>
      <c r="F761" s="42" t="str">
        <f t="shared" si="77"/>
        <v/>
      </c>
      <c r="G761" s="42" t="str">
        <f t="shared" si="83"/>
        <v/>
      </c>
      <c r="H761" s="43" t="str">
        <f>IF(C761="","",GETPIVOTDATA("WinPips",ProfitRpt!$A$9,"Trade Month",C761,"Trade Year",B761))</f>
        <v/>
      </c>
      <c r="I761" s="42" t="str">
        <f t="shared" si="78"/>
        <v/>
      </c>
      <c r="J761" s="43" t="str">
        <f t="shared" si="79"/>
        <v/>
      </c>
      <c r="K761" s="44" t="str">
        <f t="shared" si="80"/>
        <v/>
      </c>
      <c r="L761" s="44" t="str">
        <f t="shared" si="81"/>
        <v/>
      </c>
    </row>
    <row r="762" spans="1:12">
      <c r="A762" s="1" t="str">
        <f t="shared" si="82"/>
        <v/>
      </c>
      <c r="F762" s="42" t="str">
        <f t="shared" si="77"/>
        <v/>
      </c>
      <c r="G762" s="42" t="str">
        <f t="shared" si="83"/>
        <v/>
      </c>
      <c r="H762" s="43" t="str">
        <f>IF(C762="","",GETPIVOTDATA("WinPips",ProfitRpt!$A$9,"Trade Month",C762,"Trade Year",B762))</f>
        <v/>
      </c>
      <c r="I762" s="42" t="str">
        <f t="shared" si="78"/>
        <v/>
      </c>
      <c r="J762" s="43" t="str">
        <f t="shared" si="79"/>
        <v/>
      </c>
      <c r="K762" s="44" t="str">
        <f t="shared" si="80"/>
        <v/>
      </c>
      <c r="L762" s="44" t="str">
        <f t="shared" si="81"/>
        <v/>
      </c>
    </row>
    <row r="763" spans="1:12">
      <c r="A763" s="1" t="str">
        <f t="shared" si="82"/>
        <v/>
      </c>
      <c r="F763" s="42" t="str">
        <f t="shared" si="77"/>
        <v/>
      </c>
      <c r="G763" s="42" t="str">
        <f t="shared" si="83"/>
        <v/>
      </c>
      <c r="H763" s="43" t="str">
        <f>IF(C763="","",GETPIVOTDATA("WinPips",ProfitRpt!$A$9,"Trade Month",C763,"Trade Year",B763))</f>
        <v/>
      </c>
      <c r="I763" s="42" t="str">
        <f t="shared" si="78"/>
        <v/>
      </c>
      <c r="J763" s="43" t="str">
        <f t="shared" si="79"/>
        <v/>
      </c>
      <c r="K763" s="44" t="str">
        <f t="shared" si="80"/>
        <v/>
      </c>
      <c r="L763" s="44" t="str">
        <f t="shared" si="81"/>
        <v/>
      </c>
    </row>
    <row r="764" spans="1:12">
      <c r="A764" s="1" t="str">
        <f t="shared" si="82"/>
        <v/>
      </c>
      <c r="F764" s="42" t="str">
        <f t="shared" si="77"/>
        <v/>
      </c>
      <c r="G764" s="42" t="str">
        <f t="shared" si="83"/>
        <v/>
      </c>
      <c r="H764" s="43" t="str">
        <f>IF(C764="","",GETPIVOTDATA("WinPips",ProfitRpt!$A$9,"Trade Month",C764,"Trade Year",B764))</f>
        <v/>
      </c>
      <c r="I764" s="42" t="str">
        <f t="shared" si="78"/>
        <v/>
      </c>
      <c r="J764" s="43" t="str">
        <f t="shared" si="79"/>
        <v/>
      </c>
      <c r="K764" s="44" t="str">
        <f t="shared" si="80"/>
        <v/>
      </c>
      <c r="L764" s="44" t="str">
        <f t="shared" si="81"/>
        <v/>
      </c>
    </row>
    <row r="765" spans="1:12">
      <c r="A765" s="1" t="str">
        <f t="shared" si="82"/>
        <v/>
      </c>
      <c r="F765" s="42" t="str">
        <f t="shared" si="77"/>
        <v/>
      </c>
      <c r="G765" s="42" t="str">
        <f t="shared" si="83"/>
        <v/>
      </c>
      <c r="H765" s="43" t="str">
        <f>IF(C765="","",GETPIVOTDATA("WinPips",ProfitRpt!$A$9,"Trade Month",C765,"Trade Year",B765))</f>
        <v/>
      </c>
      <c r="I765" s="42" t="str">
        <f t="shared" si="78"/>
        <v/>
      </c>
      <c r="J765" s="43" t="str">
        <f t="shared" si="79"/>
        <v/>
      </c>
      <c r="K765" s="44" t="str">
        <f t="shared" si="80"/>
        <v/>
      </c>
      <c r="L765" s="44" t="str">
        <f t="shared" si="81"/>
        <v/>
      </c>
    </row>
    <row r="766" spans="1:12">
      <c r="A766" s="1" t="str">
        <f t="shared" si="82"/>
        <v/>
      </c>
      <c r="F766" s="42" t="str">
        <f t="shared" si="77"/>
        <v/>
      </c>
      <c r="G766" s="42" t="str">
        <f t="shared" si="83"/>
        <v/>
      </c>
      <c r="H766" s="43" t="str">
        <f>IF(C766="","",GETPIVOTDATA("WinPips",ProfitRpt!$A$9,"Trade Month",C766,"Trade Year",B766))</f>
        <v/>
      </c>
      <c r="I766" s="42" t="str">
        <f t="shared" si="78"/>
        <v/>
      </c>
      <c r="J766" s="43" t="str">
        <f t="shared" si="79"/>
        <v/>
      </c>
      <c r="K766" s="44" t="str">
        <f t="shared" si="80"/>
        <v/>
      </c>
      <c r="L766" s="44" t="str">
        <f t="shared" si="81"/>
        <v/>
      </c>
    </row>
    <row r="767" spans="1:12">
      <c r="A767" s="1" t="str">
        <f t="shared" si="82"/>
        <v/>
      </c>
      <c r="F767" s="42" t="str">
        <f t="shared" si="77"/>
        <v/>
      </c>
      <c r="G767" s="42" t="str">
        <f t="shared" si="83"/>
        <v/>
      </c>
      <c r="H767" s="43" t="str">
        <f>IF(C767="","",GETPIVOTDATA("WinPips",ProfitRpt!$A$9,"Trade Month",C767,"Trade Year",B767))</f>
        <v/>
      </c>
      <c r="I767" s="42" t="str">
        <f t="shared" si="78"/>
        <v/>
      </c>
      <c r="J767" s="43" t="str">
        <f t="shared" si="79"/>
        <v/>
      </c>
      <c r="K767" s="44" t="str">
        <f t="shared" si="80"/>
        <v/>
      </c>
      <c r="L767" s="44" t="str">
        <f t="shared" si="81"/>
        <v/>
      </c>
    </row>
    <row r="768" spans="1:12">
      <c r="A768" s="1" t="str">
        <f t="shared" si="82"/>
        <v/>
      </c>
      <c r="F768" s="42" t="str">
        <f t="shared" si="77"/>
        <v/>
      </c>
      <c r="G768" s="42" t="str">
        <f t="shared" si="83"/>
        <v/>
      </c>
      <c r="H768" s="43" t="str">
        <f>IF(C768="","",GETPIVOTDATA("WinPips",ProfitRpt!$A$9,"Trade Month",C768,"Trade Year",B768))</f>
        <v/>
      </c>
      <c r="I768" s="42" t="str">
        <f t="shared" si="78"/>
        <v/>
      </c>
      <c r="J768" s="43" t="str">
        <f t="shared" si="79"/>
        <v/>
      </c>
      <c r="K768" s="44" t="str">
        <f t="shared" si="80"/>
        <v/>
      </c>
      <c r="L768" s="44" t="str">
        <f t="shared" si="81"/>
        <v/>
      </c>
    </row>
    <row r="769" spans="1:12">
      <c r="A769" s="1" t="str">
        <f t="shared" si="82"/>
        <v/>
      </c>
      <c r="F769" s="42" t="str">
        <f t="shared" si="77"/>
        <v/>
      </c>
      <c r="G769" s="42" t="str">
        <f t="shared" si="83"/>
        <v/>
      </c>
      <c r="H769" s="43" t="str">
        <f>IF(C769="","",GETPIVOTDATA("WinPips",ProfitRpt!$A$9,"Trade Month",C769,"Trade Year",B769))</f>
        <v/>
      </c>
      <c r="I769" s="42" t="str">
        <f t="shared" si="78"/>
        <v/>
      </c>
      <c r="J769" s="43" t="str">
        <f t="shared" si="79"/>
        <v/>
      </c>
      <c r="K769" s="44" t="str">
        <f t="shared" si="80"/>
        <v/>
      </c>
      <c r="L769" s="44" t="str">
        <f t="shared" si="81"/>
        <v/>
      </c>
    </row>
    <row r="770" spans="1:12">
      <c r="A770" s="1" t="str">
        <f t="shared" si="82"/>
        <v/>
      </c>
      <c r="F770" s="42" t="str">
        <f t="shared" si="77"/>
        <v/>
      </c>
      <c r="G770" s="42" t="str">
        <f t="shared" si="83"/>
        <v/>
      </c>
      <c r="H770" s="43" t="str">
        <f>IF(C770="","",GETPIVOTDATA("WinPips",ProfitRpt!$A$9,"Trade Month",C770,"Trade Year",B770))</f>
        <v/>
      </c>
      <c r="I770" s="42" t="str">
        <f t="shared" si="78"/>
        <v/>
      </c>
      <c r="J770" s="43" t="str">
        <f t="shared" si="79"/>
        <v/>
      </c>
      <c r="K770" s="44" t="str">
        <f t="shared" si="80"/>
        <v/>
      </c>
      <c r="L770" s="44" t="str">
        <f t="shared" si="81"/>
        <v/>
      </c>
    </row>
    <row r="771" spans="1:12">
      <c r="A771" s="1" t="str">
        <f t="shared" si="82"/>
        <v/>
      </c>
      <c r="F771" s="42" t="str">
        <f t="shared" si="77"/>
        <v/>
      </c>
      <c r="G771" s="42" t="str">
        <f t="shared" si="83"/>
        <v/>
      </c>
      <c r="H771" s="43" t="str">
        <f>IF(C771="","",GETPIVOTDATA("WinPips",ProfitRpt!$A$9,"Trade Month",C771,"Trade Year",B771))</f>
        <v/>
      </c>
      <c r="I771" s="42" t="str">
        <f t="shared" si="78"/>
        <v/>
      </c>
      <c r="J771" s="43" t="str">
        <f t="shared" si="79"/>
        <v/>
      </c>
      <c r="K771" s="44" t="str">
        <f t="shared" si="80"/>
        <v/>
      </c>
      <c r="L771" s="44" t="str">
        <f t="shared" si="81"/>
        <v/>
      </c>
    </row>
    <row r="772" spans="1:12">
      <c r="A772" s="1" t="str">
        <f t="shared" si="82"/>
        <v/>
      </c>
      <c r="F772" s="42" t="str">
        <f t="shared" si="77"/>
        <v/>
      </c>
      <c r="G772" s="42" t="str">
        <f t="shared" si="83"/>
        <v/>
      </c>
      <c r="H772" s="43" t="str">
        <f>IF(C772="","",GETPIVOTDATA("WinPips",ProfitRpt!$A$9,"Trade Month",C772,"Trade Year",B772))</f>
        <v/>
      </c>
      <c r="I772" s="42" t="str">
        <f t="shared" si="78"/>
        <v/>
      </c>
      <c r="J772" s="43" t="str">
        <f t="shared" si="79"/>
        <v/>
      </c>
      <c r="K772" s="44" t="str">
        <f t="shared" si="80"/>
        <v/>
      </c>
      <c r="L772" s="44" t="str">
        <f t="shared" si="81"/>
        <v/>
      </c>
    </row>
    <row r="773" spans="1:12">
      <c r="A773" s="1" t="str">
        <f t="shared" si="82"/>
        <v/>
      </c>
      <c r="F773" s="42" t="str">
        <f t="shared" si="77"/>
        <v/>
      </c>
      <c r="G773" s="42" t="str">
        <f t="shared" si="83"/>
        <v/>
      </c>
      <c r="H773" s="43" t="str">
        <f>IF(C773="","",GETPIVOTDATA("WinPips",ProfitRpt!$A$9,"Trade Month",C773,"Trade Year",B773))</f>
        <v/>
      </c>
      <c r="I773" s="42" t="str">
        <f t="shared" si="78"/>
        <v/>
      </c>
      <c r="J773" s="43" t="str">
        <f t="shared" si="79"/>
        <v/>
      </c>
      <c r="K773" s="44" t="str">
        <f t="shared" si="80"/>
        <v/>
      </c>
      <c r="L773" s="44" t="str">
        <f t="shared" si="81"/>
        <v/>
      </c>
    </row>
    <row r="774" spans="1:12">
      <c r="A774" s="1" t="str">
        <f t="shared" si="82"/>
        <v/>
      </c>
      <c r="F774" s="42" t="str">
        <f t="shared" si="77"/>
        <v/>
      </c>
      <c r="G774" s="42" t="str">
        <f t="shared" si="83"/>
        <v/>
      </c>
      <c r="H774" s="43" t="str">
        <f>IF(C774="","",GETPIVOTDATA("WinPips",ProfitRpt!$A$9,"Trade Month",C774,"Trade Year",B774))</f>
        <v/>
      </c>
      <c r="I774" s="42" t="str">
        <f t="shared" si="78"/>
        <v/>
      </c>
      <c r="J774" s="43" t="str">
        <f t="shared" si="79"/>
        <v/>
      </c>
      <c r="K774" s="44" t="str">
        <f t="shared" si="80"/>
        <v/>
      </c>
      <c r="L774" s="44" t="str">
        <f t="shared" si="81"/>
        <v/>
      </c>
    </row>
    <row r="775" spans="1:12">
      <c r="A775" s="1" t="str">
        <f t="shared" si="82"/>
        <v/>
      </c>
      <c r="F775" s="42" t="str">
        <f t="shared" ref="F775:F838" si="84">IF(G775="","",E775+G775)</f>
        <v/>
      </c>
      <c r="G775" s="42" t="str">
        <f t="shared" si="83"/>
        <v/>
      </c>
      <c r="H775" s="43" t="str">
        <f>IF(C775="","",GETPIVOTDATA("WinPips",ProfitRpt!$A$9,"Trade Month",C775,"Trade Year",B775))</f>
        <v/>
      </c>
      <c r="I775" s="42" t="str">
        <f t="shared" ref="I775:I838" si="85">IF(B775="","",IF(B775=B774,I774+G775,G775))</f>
        <v/>
      </c>
      <c r="J775" s="43" t="str">
        <f t="shared" ref="J775:J838" si="86">IF(B775="","",IF(B774=B775,J774+H775,H775))</f>
        <v/>
      </c>
      <c r="K775" s="44" t="str">
        <f t="shared" ref="K775:K838" si="87">IF(F775="","",IF(E775="","",(F775-E775)/E775))</f>
        <v/>
      </c>
      <c r="L775" s="44" t="str">
        <f t="shared" ref="L775:L838" si="88">IF(I775="","",IF(D775="","",I775/D775) )</f>
        <v/>
      </c>
    </row>
    <row r="776" spans="1:12">
      <c r="A776" s="1" t="str">
        <f t="shared" ref="A776:A839" si="89">IF(C776="","",A775+1)</f>
        <v/>
      </c>
      <c r="F776" s="42" t="str">
        <f t="shared" si="84"/>
        <v/>
      </c>
      <c r="G776" s="42" t="str">
        <f t="shared" ref="G776:G839" si="90">IF(C776="","",H776/10)</f>
        <v/>
      </c>
      <c r="H776" s="43" t="str">
        <f>IF(C776="","",GETPIVOTDATA("WinPips",ProfitRpt!$A$9,"Trade Month",C776,"Trade Year",B776))</f>
        <v/>
      </c>
      <c r="I776" s="42" t="str">
        <f t="shared" si="85"/>
        <v/>
      </c>
      <c r="J776" s="43" t="str">
        <f t="shared" si="86"/>
        <v/>
      </c>
      <c r="K776" s="44" t="str">
        <f t="shared" si="87"/>
        <v/>
      </c>
      <c r="L776" s="44" t="str">
        <f t="shared" si="88"/>
        <v/>
      </c>
    </row>
    <row r="777" spans="1:12">
      <c r="A777" s="1" t="str">
        <f t="shared" si="89"/>
        <v/>
      </c>
      <c r="F777" s="42" t="str">
        <f t="shared" si="84"/>
        <v/>
      </c>
      <c r="G777" s="42" t="str">
        <f t="shared" si="90"/>
        <v/>
      </c>
      <c r="H777" s="43" t="str">
        <f>IF(C777="","",GETPIVOTDATA("WinPips",ProfitRpt!$A$9,"Trade Month",C777,"Trade Year",B777))</f>
        <v/>
      </c>
      <c r="I777" s="42" t="str">
        <f t="shared" si="85"/>
        <v/>
      </c>
      <c r="J777" s="43" t="str">
        <f t="shared" si="86"/>
        <v/>
      </c>
      <c r="K777" s="44" t="str">
        <f t="shared" si="87"/>
        <v/>
      </c>
      <c r="L777" s="44" t="str">
        <f t="shared" si="88"/>
        <v/>
      </c>
    </row>
    <row r="778" spans="1:12">
      <c r="A778" s="1" t="str">
        <f t="shared" si="89"/>
        <v/>
      </c>
      <c r="F778" s="42" t="str">
        <f t="shared" si="84"/>
        <v/>
      </c>
      <c r="G778" s="42" t="str">
        <f t="shared" si="90"/>
        <v/>
      </c>
      <c r="H778" s="43" t="str">
        <f>IF(C778="","",GETPIVOTDATA("WinPips",ProfitRpt!$A$9,"Trade Month",C778,"Trade Year",B778))</f>
        <v/>
      </c>
      <c r="I778" s="42" t="str">
        <f t="shared" si="85"/>
        <v/>
      </c>
      <c r="J778" s="43" t="str">
        <f t="shared" si="86"/>
        <v/>
      </c>
      <c r="K778" s="44" t="str">
        <f t="shared" si="87"/>
        <v/>
      </c>
      <c r="L778" s="44" t="str">
        <f t="shared" si="88"/>
        <v/>
      </c>
    </row>
    <row r="779" spans="1:12">
      <c r="A779" s="1" t="str">
        <f t="shared" si="89"/>
        <v/>
      </c>
      <c r="F779" s="42" t="str">
        <f t="shared" si="84"/>
        <v/>
      </c>
      <c r="G779" s="42" t="str">
        <f t="shared" si="90"/>
        <v/>
      </c>
      <c r="H779" s="43" t="str">
        <f>IF(C779="","",GETPIVOTDATA("WinPips",ProfitRpt!$A$9,"Trade Month",C779,"Trade Year",B779))</f>
        <v/>
      </c>
      <c r="I779" s="42" t="str">
        <f t="shared" si="85"/>
        <v/>
      </c>
      <c r="J779" s="43" t="str">
        <f t="shared" si="86"/>
        <v/>
      </c>
      <c r="K779" s="44" t="str">
        <f t="shared" si="87"/>
        <v/>
      </c>
      <c r="L779" s="44" t="str">
        <f t="shared" si="88"/>
        <v/>
      </c>
    </row>
    <row r="780" spans="1:12">
      <c r="A780" s="1" t="str">
        <f t="shared" si="89"/>
        <v/>
      </c>
      <c r="F780" s="42" t="str">
        <f t="shared" si="84"/>
        <v/>
      </c>
      <c r="G780" s="42" t="str">
        <f t="shared" si="90"/>
        <v/>
      </c>
      <c r="H780" s="43" t="str">
        <f>IF(C780="","",GETPIVOTDATA("WinPips",ProfitRpt!$A$9,"Trade Month",C780,"Trade Year",B780))</f>
        <v/>
      </c>
      <c r="I780" s="42" t="str">
        <f t="shared" si="85"/>
        <v/>
      </c>
      <c r="J780" s="43" t="str">
        <f t="shared" si="86"/>
        <v/>
      </c>
      <c r="K780" s="44" t="str">
        <f t="shared" si="87"/>
        <v/>
      </c>
      <c r="L780" s="44" t="str">
        <f t="shared" si="88"/>
        <v/>
      </c>
    </row>
    <row r="781" spans="1:12">
      <c r="A781" s="1" t="str">
        <f t="shared" si="89"/>
        <v/>
      </c>
      <c r="F781" s="42" t="str">
        <f t="shared" si="84"/>
        <v/>
      </c>
      <c r="G781" s="42" t="str">
        <f t="shared" si="90"/>
        <v/>
      </c>
      <c r="H781" s="43" t="str">
        <f>IF(C781="","",GETPIVOTDATA("WinPips",ProfitRpt!$A$9,"Trade Month",C781,"Trade Year",B781))</f>
        <v/>
      </c>
      <c r="I781" s="42" t="str">
        <f t="shared" si="85"/>
        <v/>
      </c>
      <c r="J781" s="43" t="str">
        <f t="shared" si="86"/>
        <v/>
      </c>
      <c r="K781" s="44" t="str">
        <f t="shared" si="87"/>
        <v/>
      </c>
      <c r="L781" s="44" t="str">
        <f t="shared" si="88"/>
        <v/>
      </c>
    </row>
    <row r="782" spans="1:12">
      <c r="A782" s="1" t="str">
        <f t="shared" si="89"/>
        <v/>
      </c>
      <c r="F782" s="42" t="str">
        <f t="shared" si="84"/>
        <v/>
      </c>
      <c r="G782" s="42" t="str">
        <f t="shared" si="90"/>
        <v/>
      </c>
      <c r="H782" s="43" t="str">
        <f>IF(C782="","",GETPIVOTDATA("WinPips",ProfitRpt!$A$9,"Trade Month",C782,"Trade Year",B782))</f>
        <v/>
      </c>
      <c r="I782" s="42" t="str">
        <f t="shared" si="85"/>
        <v/>
      </c>
      <c r="J782" s="43" t="str">
        <f t="shared" si="86"/>
        <v/>
      </c>
      <c r="K782" s="44" t="str">
        <f t="shared" si="87"/>
        <v/>
      </c>
      <c r="L782" s="44" t="str">
        <f t="shared" si="88"/>
        <v/>
      </c>
    </row>
    <row r="783" spans="1:12">
      <c r="A783" s="1" t="str">
        <f t="shared" si="89"/>
        <v/>
      </c>
      <c r="F783" s="42" t="str">
        <f t="shared" si="84"/>
        <v/>
      </c>
      <c r="G783" s="42" t="str">
        <f t="shared" si="90"/>
        <v/>
      </c>
      <c r="H783" s="43" t="str">
        <f>IF(C783="","",GETPIVOTDATA("WinPips",ProfitRpt!$A$9,"Trade Month",C783,"Trade Year",B783))</f>
        <v/>
      </c>
      <c r="I783" s="42" t="str">
        <f t="shared" si="85"/>
        <v/>
      </c>
      <c r="J783" s="43" t="str">
        <f t="shared" si="86"/>
        <v/>
      </c>
      <c r="K783" s="44" t="str">
        <f t="shared" si="87"/>
        <v/>
      </c>
      <c r="L783" s="44" t="str">
        <f t="shared" si="88"/>
        <v/>
      </c>
    </row>
    <row r="784" spans="1:12">
      <c r="A784" s="1" t="str">
        <f t="shared" si="89"/>
        <v/>
      </c>
      <c r="F784" s="42" t="str">
        <f t="shared" si="84"/>
        <v/>
      </c>
      <c r="G784" s="42" t="str">
        <f t="shared" si="90"/>
        <v/>
      </c>
      <c r="H784" s="43" t="str">
        <f>IF(C784="","",GETPIVOTDATA("WinPips",ProfitRpt!$A$9,"Trade Month",C784,"Trade Year",B784))</f>
        <v/>
      </c>
      <c r="I784" s="42" t="str">
        <f t="shared" si="85"/>
        <v/>
      </c>
      <c r="J784" s="43" t="str">
        <f t="shared" si="86"/>
        <v/>
      </c>
      <c r="K784" s="44" t="str">
        <f t="shared" si="87"/>
        <v/>
      </c>
      <c r="L784" s="44" t="str">
        <f t="shared" si="88"/>
        <v/>
      </c>
    </row>
    <row r="785" spans="1:12">
      <c r="A785" s="1" t="str">
        <f t="shared" si="89"/>
        <v/>
      </c>
      <c r="F785" s="42" t="str">
        <f t="shared" si="84"/>
        <v/>
      </c>
      <c r="G785" s="42" t="str">
        <f t="shared" si="90"/>
        <v/>
      </c>
      <c r="H785" s="43" t="str">
        <f>IF(C785="","",GETPIVOTDATA("WinPips",ProfitRpt!$A$9,"Trade Month",C785,"Trade Year",B785))</f>
        <v/>
      </c>
      <c r="I785" s="42" t="str">
        <f t="shared" si="85"/>
        <v/>
      </c>
      <c r="J785" s="43" t="str">
        <f t="shared" si="86"/>
        <v/>
      </c>
      <c r="K785" s="44" t="str">
        <f t="shared" si="87"/>
        <v/>
      </c>
      <c r="L785" s="44" t="str">
        <f t="shared" si="88"/>
        <v/>
      </c>
    </row>
    <row r="786" spans="1:12">
      <c r="A786" s="1" t="str">
        <f t="shared" si="89"/>
        <v/>
      </c>
      <c r="F786" s="42" t="str">
        <f t="shared" si="84"/>
        <v/>
      </c>
      <c r="G786" s="42" t="str">
        <f t="shared" si="90"/>
        <v/>
      </c>
      <c r="H786" s="43" t="str">
        <f>IF(C786="","",GETPIVOTDATA("WinPips",ProfitRpt!$A$9,"Trade Month",C786,"Trade Year",B786))</f>
        <v/>
      </c>
      <c r="I786" s="42" t="str">
        <f t="shared" si="85"/>
        <v/>
      </c>
      <c r="J786" s="43" t="str">
        <f t="shared" si="86"/>
        <v/>
      </c>
      <c r="K786" s="44" t="str">
        <f t="shared" si="87"/>
        <v/>
      </c>
      <c r="L786" s="44" t="str">
        <f t="shared" si="88"/>
        <v/>
      </c>
    </row>
    <row r="787" spans="1:12">
      <c r="A787" s="1" t="str">
        <f t="shared" si="89"/>
        <v/>
      </c>
      <c r="F787" s="42" t="str">
        <f t="shared" si="84"/>
        <v/>
      </c>
      <c r="G787" s="42" t="str">
        <f t="shared" si="90"/>
        <v/>
      </c>
      <c r="H787" s="43" t="str">
        <f>IF(C787="","",GETPIVOTDATA("WinPips",ProfitRpt!$A$9,"Trade Month",C787,"Trade Year",B787))</f>
        <v/>
      </c>
      <c r="I787" s="42" t="str">
        <f t="shared" si="85"/>
        <v/>
      </c>
      <c r="J787" s="43" t="str">
        <f t="shared" si="86"/>
        <v/>
      </c>
      <c r="K787" s="44" t="str">
        <f t="shared" si="87"/>
        <v/>
      </c>
      <c r="L787" s="44" t="str">
        <f t="shared" si="88"/>
        <v/>
      </c>
    </row>
    <row r="788" spans="1:12">
      <c r="A788" s="1" t="str">
        <f t="shared" si="89"/>
        <v/>
      </c>
      <c r="F788" s="42" t="str">
        <f t="shared" si="84"/>
        <v/>
      </c>
      <c r="G788" s="42" t="str">
        <f t="shared" si="90"/>
        <v/>
      </c>
      <c r="H788" s="43" t="str">
        <f>IF(C788="","",GETPIVOTDATA("WinPips",ProfitRpt!$A$9,"Trade Month",C788,"Trade Year",B788))</f>
        <v/>
      </c>
      <c r="I788" s="42" t="str">
        <f t="shared" si="85"/>
        <v/>
      </c>
      <c r="J788" s="43" t="str">
        <f t="shared" si="86"/>
        <v/>
      </c>
      <c r="K788" s="44" t="str">
        <f t="shared" si="87"/>
        <v/>
      </c>
      <c r="L788" s="44" t="str">
        <f t="shared" si="88"/>
        <v/>
      </c>
    </row>
    <row r="789" spans="1:12">
      <c r="A789" s="1" t="str">
        <f t="shared" si="89"/>
        <v/>
      </c>
      <c r="F789" s="42" t="str">
        <f t="shared" si="84"/>
        <v/>
      </c>
      <c r="G789" s="42" t="str">
        <f t="shared" si="90"/>
        <v/>
      </c>
      <c r="H789" s="43" t="str">
        <f>IF(C789="","",GETPIVOTDATA("WinPips",ProfitRpt!$A$9,"Trade Month",C789,"Trade Year",B789))</f>
        <v/>
      </c>
      <c r="I789" s="42" t="str">
        <f t="shared" si="85"/>
        <v/>
      </c>
      <c r="J789" s="43" t="str">
        <f t="shared" si="86"/>
        <v/>
      </c>
      <c r="K789" s="44" t="str">
        <f t="shared" si="87"/>
        <v/>
      </c>
      <c r="L789" s="44" t="str">
        <f t="shared" si="88"/>
        <v/>
      </c>
    </row>
    <row r="790" spans="1:12">
      <c r="A790" s="1" t="str">
        <f t="shared" si="89"/>
        <v/>
      </c>
      <c r="F790" s="42" t="str">
        <f t="shared" si="84"/>
        <v/>
      </c>
      <c r="G790" s="42" t="str">
        <f t="shared" si="90"/>
        <v/>
      </c>
      <c r="H790" s="43" t="str">
        <f>IF(C790="","",GETPIVOTDATA("WinPips",ProfitRpt!$A$9,"Trade Month",C790,"Trade Year",B790))</f>
        <v/>
      </c>
      <c r="I790" s="42" t="str">
        <f t="shared" si="85"/>
        <v/>
      </c>
      <c r="J790" s="43" t="str">
        <f t="shared" si="86"/>
        <v/>
      </c>
      <c r="K790" s="44" t="str">
        <f t="shared" si="87"/>
        <v/>
      </c>
      <c r="L790" s="44" t="str">
        <f t="shared" si="88"/>
        <v/>
      </c>
    </row>
    <row r="791" spans="1:12">
      <c r="A791" s="1" t="str">
        <f t="shared" si="89"/>
        <v/>
      </c>
      <c r="F791" s="42" t="str">
        <f t="shared" si="84"/>
        <v/>
      </c>
      <c r="G791" s="42" t="str">
        <f t="shared" si="90"/>
        <v/>
      </c>
      <c r="H791" s="43" t="str">
        <f>IF(C791="","",GETPIVOTDATA("WinPips",ProfitRpt!$A$9,"Trade Month",C791,"Trade Year",B791))</f>
        <v/>
      </c>
      <c r="I791" s="42" t="str">
        <f t="shared" si="85"/>
        <v/>
      </c>
      <c r="J791" s="43" t="str">
        <f t="shared" si="86"/>
        <v/>
      </c>
      <c r="K791" s="44" t="str">
        <f t="shared" si="87"/>
        <v/>
      </c>
      <c r="L791" s="44" t="str">
        <f t="shared" si="88"/>
        <v/>
      </c>
    </row>
    <row r="792" spans="1:12">
      <c r="A792" s="1" t="str">
        <f t="shared" si="89"/>
        <v/>
      </c>
      <c r="F792" s="42" t="str">
        <f t="shared" si="84"/>
        <v/>
      </c>
      <c r="G792" s="42" t="str">
        <f t="shared" si="90"/>
        <v/>
      </c>
      <c r="H792" s="43" t="str">
        <f>IF(C792="","",GETPIVOTDATA("WinPips",ProfitRpt!$A$9,"Trade Month",C792,"Trade Year",B792))</f>
        <v/>
      </c>
      <c r="I792" s="42" t="str">
        <f t="shared" si="85"/>
        <v/>
      </c>
      <c r="J792" s="43" t="str">
        <f t="shared" si="86"/>
        <v/>
      </c>
      <c r="K792" s="44" t="str">
        <f t="shared" si="87"/>
        <v/>
      </c>
      <c r="L792" s="44" t="str">
        <f t="shared" si="88"/>
        <v/>
      </c>
    </row>
    <row r="793" spans="1:12">
      <c r="A793" s="1" t="str">
        <f t="shared" si="89"/>
        <v/>
      </c>
      <c r="F793" s="42" t="str">
        <f t="shared" si="84"/>
        <v/>
      </c>
      <c r="G793" s="42" t="str">
        <f t="shared" si="90"/>
        <v/>
      </c>
      <c r="H793" s="43" t="str">
        <f>IF(C793="","",GETPIVOTDATA("WinPips",ProfitRpt!$A$9,"Trade Month",C793,"Trade Year",B793))</f>
        <v/>
      </c>
      <c r="I793" s="42" t="str">
        <f t="shared" si="85"/>
        <v/>
      </c>
      <c r="J793" s="43" t="str">
        <f t="shared" si="86"/>
        <v/>
      </c>
      <c r="K793" s="44" t="str">
        <f t="shared" si="87"/>
        <v/>
      </c>
      <c r="L793" s="44" t="str">
        <f t="shared" si="88"/>
        <v/>
      </c>
    </row>
    <row r="794" spans="1:12">
      <c r="A794" s="1" t="str">
        <f t="shared" si="89"/>
        <v/>
      </c>
      <c r="F794" s="42" t="str">
        <f t="shared" si="84"/>
        <v/>
      </c>
      <c r="G794" s="42" t="str">
        <f t="shared" si="90"/>
        <v/>
      </c>
      <c r="H794" s="43" t="str">
        <f>IF(C794="","",GETPIVOTDATA("WinPips",ProfitRpt!$A$9,"Trade Month",C794,"Trade Year",B794))</f>
        <v/>
      </c>
      <c r="I794" s="42" t="str">
        <f t="shared" si="85"/>
        <v/>
      </c>
      <c r="J794" s="43" t="str">
        <f t="shared" si="86"/>
        <v/>
      </c>
      <c r="K794" s="44" t="str">
        <f t="shared" si="87"/>
        <v/>
      </c>
      <c r="L794" s="44" t="str">
        <f t="shared" si="88"/>
        <v/>
      </c>
    </row>
    <row r="795" spans="1:12">
      <c r="A795" s="1" t="str">
        <f t="shared" si="89"/>
        <v/>
      </c>
      <c r="F795" s="42" t="str">
        <f t="shared" si="84"/>
        <v/>
      </c>
      <c r="G795" s="42" t="str">
        <f t="shared" si="90"/>
        <v/>
      </c>
      <c r="H795" s="43" t="str">
        <f>IF(C795="","",GETPIVOTDATA("WinPips",ProfitRpt!$A$9,"Trade Month",C795,"Trade Year",B795))</f>
        <v/>
      </c>
      <c r="I795" s="42" t="str">
        <f t="shared" si="85"/>
        <v/>
      </c>
      <c r="J795" s="43" t="str">
        <f t="shared" si="86"/>
        <v/>
      </c>
      <c r="K795" s="44" t="str">
        <f t="shared" si="87"/>
        <v/>
      </c>
      <c r="L795" s="44" t="str">
        <f t="shared" si="88"/>
        <v/>
      </c>
    </row>
    <row r="796" spans="1:12">
      <c r="A796" s="1" t="str">
        <f t="shared" si="89"/>
        <v/>
      </c>
      <c r="F796" s="42" t="str">
        <f t="shared" si="84"/>
        <v/>
      </c>
      <c r="G796" s="42" t="str">
        <f t="shared" si="90"/>
        <v/>
      </c>
      <c r="H796" s="43" t="str">
        <f>IF(C796="","",GETPIVOTDATA("WinPips",ProfitRpt!$A$9,"Trade Month",C796,"Trade Year",B796))</f>
        <v/>
      </c>
      <c r="I796" s="42" t="str">
        <f t="shared" si="85"/>
        <v/>
      </c>
      <c r="J796" s="43" t="str">
        <f t="shared" si="86"/>
        <v/>
      </c>
      <c r="K796" s="44" t="str">
        <f t="shared" si="87"/>
        <v/>
      </c>
      <c r="L796" s="44" t="str">
        <f t="shared" si="88"/>
        <v/>
      </c>
    </row>
    <row r="797" spans="1:12">
      <c r="A797" s="1" t="str">
        <f t="shared" si="89"/>
        <v/>
      </c>
      <c r="F797" s="42" t="str">
        <f t="shared" si="84"/>
        <v/>
      </c>
      <c r="G797" s="42" t="str">
        <f t="shared" si="90"/>
        <v/>
      </c>
      <c r="H797" s="43" t="str">
        <f>IF(C797="","",GETPIVOTDATA("WinPips",ProfitRpt!$A$9,"Trade Month",C797,"Trade Year",B797))</f>
        <v/>
      </c>
      <c r="I797" s="42" t="str">
        <f t="shared" si="85"/>
        <v/>
      </c>
      <c r="J797" s="43" t="str">
        <f t="shared" si="86"/>
        <v/>
      </c>
      <c r="K797" s="44" t="str">
        <f t="shared" si="87"/>
        <v/>
      </c>
      <c r="L797" s="44" t="str">
        <f t="shared" si="88"/>
        <v/>
      </c>
    </row>
    <row r="798" spans="1:12">
      <c r="A798" s="1" t="str">
        <f t="shared" si="89"/>
        <v/>
      </c>
      <c r="F798" s="42" t="str">
        <f t="shared" si="84"/>
        <v/>
      </c>
      <c r="G798" s="42" t="str">
        <f t="shared" si="90"/>
        <v/>
      </c>
      <c r="H798" s="43" t="str">
        <f>IF(C798="","",GETPIVOTDATA("WinPips",ProfitRpt!$A$9,"Trade Month",C798,"Trade Year",B798))</f>
        <v/>
      </c>
      <c r="I798" s="42" t="str">
        <f t="shared" si="85"/>
        <v/>
      </c>
      <c r="J798" s="43" t="str">
        <f t="shared" si="86"/>
        <v/>
      </c>
      <c r="K798" s="44" t="str">
        <f t="shared" si="87"/>
        <v/>
      </c>
      <c r="L798" s="44" t="str">
        <f t="shared" si="88"/>
        <v/>
      </c>
    </row>
    <row r="799" spans="1:12">
      <c r="A799" s="1" t="str">
        <f t="shared" si="89"/>
        <v/>
      </c>
      <c r="F799" s="42" t="str">
        <f t="shared" si="84"/>
        <v/>
      </c>
      <c r="G799" s="42" t="str">
        <f t="shared" si="90"/>
        <v/>
      </c>
      <c r="H799" s="43" t="str">
        <f>IF(C799="","",GETPIVOTDATA("WinPips",ProfitRpt!$A$9,"Trade Month",C799,"Trade Year",B799))</f>
        <v/>
      </c>
      <c r="I799" s="42" t="str">
        <f t="shared" si="85"/>
        <v/>
      </c>
      <c r="J799" s="43" t="str">
        <f t="shared" si="86"/>
        <v/>
      </c>
      <c r="K799" s="44" t="str">
        <f t="shared" si="87"/>
        <v/>
      </c>
      <c r="L799" s="44" t="str">
        <f t="shared" si="88"/>
        <v/>
      </c>
    </row>
    <row r="800" spans="1:12">
      <c r="A800" s="1" t="str">
        <f t="shared" si="89"/>
        <v/>
      </c>
      <c r="F800" s="42" t="str">
        <f t="shared" si="84"/>
        <v/>
      </c>
      <c r="G800" s="42" t="str">
        <f t="shared" si="90"/>
        <v/>
      </c>
      <c r="H800" s="43" t="str">
        <f>IF(C800="","",GETPIVOTDATA("WinPips",ProfitRpt!$A$9,"Trade Month",C800,"Trade Year",B800))</f>
        <v/>
      </c>
      <c r="I800" s="42" t="str">
        <f t="shared" si="85"/>
        <v/>
      </c>
      <c r="J800" s="43" t="str">
        <f t="shared" si="86"/>
        <v/>
      </c>
      <c r="K800" s="44" t="str">
        <f t="shared" si="87"/>
        <v/>
      </c>
      <c r="L800" s="44" t="str">
        <f t="shared" si="88"/>
        <v/>
      </c>
    </row>
    <row r="801" spans="1:12">
      <c r="A801" s="1" t="str">
        <f t="shared" si="89"/>
        <v/>
      </c>
      <c r="F801" s="42" t="str">
        <f t="shared" si="84"/>
        <v/>
      </c>
      <c r="G801" s="42" t="str">
        <f t="shared" si="90"/>
        <v/>
      </c>
      <c r="H801" s="43" t="str">
        <f>IF(C801="","",GETPIVOTDATA("WinPips",ProfitRpt!$A$9,"Trade Month",C801,"Trade Year",B801))</f>
        <v/>
      </c>
      <c r="I801" s="42" t="str">
        <f t="shared" si="85"/>
        <v/>
      </c>
      <c r="J801" s="43" t="str">
        <f t="shared" si="86"/>
        <v/>
      </c>
      <c r="K801" s="44" t="str">
        <f t="shared" si="87"/>
        <v/>
      </c>
      <c r="L801" s="44" t="str">
        <f t="shared" si="88"/>
        <v/>
      </c>
    </row>
    <row r="802" spans="1:12">
      <c r="A802" s="1" t="str">
        <f t="shared" si="89"/>
        <v/>
      </c>
      <c r="F802" s="42" t="str">
        <f t="shared" si="84"/>
        <v/>
      </c>
      <c r="G802" s="42" t="str">
        <f t="shared" si="90"/>
        <v/>
      </c>
      <c r="H802" s="43" t="str">
        <f>IF(C802="","",GETPIVOTDATA("WinPips",ProfitRpt!$A$9,"Trade Month",C802,"Trade Year",B802))</f>
        <v/>
      </c>
      <c r="I802" s="42" t="str">
        <f t="shared" si="85"/>
        <v/>
      </c>
      <c r="J802" s="43" t="str">
        <f t="shared" si="86"/>
        <v/>
      </c>
      <c r="K802" s="44" t="str">
        <f t="shared" si="87"/>
        <v/>
      </c>
      <c r="L802" s="44" t="str">
        <f t="shared" si="88"/>
        <v/>
      </c>
    </row>
    <row r="803" spans="1:12">
      <c r="A803" s="1" t="str">
        <f t="shared" si="89"/>
        <v/>
      </c>
      <c r="F803" s="42" t="str">
        <f t="shared" si="84"/>
        <v/>
      </c>
      <c r="G803" s="42" t="str">
        <f t="shared" si="90"/>
        <v/>
      </c>
      <c r="H803" s="43" t="str">
        <f>IF(C803="","",GETPIVOTDATA("WinPips",ProfitRpt!$A$9,"Trade Month",C803,"Trade Year",B803))</f>
        <v/>
      </c>
      <c r="I803" s="42" t="str">
        <f t="shared" si="85"/>
        <v/>
      </c>
      <c r="J803" s="43" t="str">
        <f t="shared" si="86"/>
        <v/>
      </c>
      <c r="K803" s="44" t="str">
        <f t="shared" si="87"/>
        <v/>
      </c>
      <c r="L803" s="44" t="str">
        <f t="shared" si="88"/>
        <v/>
      </c>
    </row>
    <row r="804" spans="1:12">
      <c r="A804" s="1" t="str">
        <f t="shared" si="89"/>
        <v/>
      </c>
      <c r="F804" s="42" t="str">
        <f t="shared" si="84"/>
        <v/>
      </c>
      <c r="G804" s="42" t="str">
        <f t="shared" si="90"/>
        <v/>
      </c>
      <c r="H804" s="43" t="str">
        <f>IF(C804="","",GETPIVOTDATA("WinPips",ProfitRpt!$A$9,"Trade Month",C804,"Trade Year",B804))</f>
        <v/>
      </c>
      <c r="I804" s="42" t="str">
        <f t="shared" si="85"/>
        <v/>
      </c>
      <c r="J804" s="43" t="str">
        <f t="shared" si="86"/>
        <v/>
      </c>
      <c r="K804" s="44" t="str">
        <f t="shared" si="87"/>
        <v/>
      </c>
      <c r="L804" s="44" t="str">
        <f t="shared" si="88"/>
        <v/>
      </c>
    </row>
    <row r="805" spans="1:12">
      <c r="A805" s="1" t="str">
        <f t="shared" si="89"/>
        <v/>
      </c>
      <c r="F805" s="42" t="str">
        <f t="shared" si="84"/>
        <v/>
      </c>
      <c r="G805" s="42" t="str">
        <f t="shared" si="90"/>
        <v/>
      </c>
      <c r="H805" s="43" t="str">
        <f>IF(C805="","",GETPIVOTDATA("WinPips",ProfitRpt!$A$9,"Trade Month",C805,"Trade Year",B805))</f>
        <v/>
      </c>
      <c r="I805" s="42" t="str">
        <f t="shared" si="85"/>
        <v/>
      </c>
      <c r="J805" s="43" t="str">
        <f t="shared" si="86"/>
        <v/>
      </c>
      <c r="K805" s="44" t="str">
        <f t="shared" si="87"/>
        <v/>
      </c>
      <c r="L805" s="44" t="str">
        <f t="shared" si="88"/>
        <v/>
      </c>
    </row>
    <row r="806" spans="1:12">
      <c r="A806" s="1" t="str">
        <f t="shared" si="89"/>
        <v/>
      </c>
      <c r="F806" s="42" t="str">
        <f t="shared" si="84"/>
        <v/>
      </c>
      <c r="G806" s="42" t="str">
        <f t="shared" si="90"/>
        <v/>
      </c>
      <c r="H806" s="43" t="str">
        <f>IF(C806="","",GETPIVOTDATA("WinPips",ProfitRpt!$A$9,"Trade Month",C806,"Trade Year",B806))</f>
        <v/>
      </c>
      <c r="I806" s="42" t="str">
        <f t="shared" si="85"/>
        <v/>
      </c>
      <c r="J806" s="43" t="str">
        <f t="shared" si="86"/>
        <v/>
      </c>
      <c r="K806" s="44" t="str">
        <f t="shared" si="87"/>
        <v/>
      </c>
      <c r="L806" s="44" t="str">
        <f t="shared" si="88"/>
        <v/>
      </c>
    </row>
    <row r="807" spans="1:12">
      <c r="A807" s="1" t="str">
        <f t="shared" si="89"/>
        <v/>
      </c>
      <c r="F807" s="42" t="str">
        <f t="shared" si="84"/>
        <v/>
      </c>
      <c r="G807" s="42" t="str">
        <f t="shared" si="90"/>
        <v/>
      </c>
      <c r="H807" s="43" t="str">
        <f>IF(C807="","",GETPIVOTDATA("WinPips",ProfitRpt!$A$9,"Trade Month",C807,"Trade Year",B807))</f>
        <v/>
      </c>
      <c r="I807" s="42" t="str">
        <f t="shared" si="85"/>
        <v/>
      </c>
      <c r="J807" s="43" t="str">
        <f t="shared" si="86"/>
        <v/>
      </c>
      <c r="K807" s="44" t="str">
        <f t="shared" si="87"/>
        <v/>
      </c>
      <c r="L807" s="44" t="str">
        <f t="shared" si="88"/>
        <v/>
      </c>
    </row>
    <row r="808" spans="1:12">
      <c r="A808" s="1" t="str">
        <f t="shared" si="89"/>
        <v/>
      </c>
      <c r="F808" s="42" t="str">
        <f t="shared" si="84"/>
        <v/>
      </c>
      <c r="G808" s="42" t="str">
        <f t="shared" si="90"/>
        <v/>
      </c>
      <c r="H808" s="43" t="str">
        <f>IF(C808="","",GETPIVOTDATA("WinPips",ProfitRpt!$A$9,"Trade Month",C808,"Trade Year",B808))</f>
        <v/>
      </c>
      <c r="I808" s="42" t="str">
        <f t="shared" si="85"/>
        <v/>
      </c>
      <c r="J808" s="43" t="str">
        <f t="shared" si="86"/>
        <v/>
      </c>
      <c r="K808" s="44" t="str">
        <f t="shared" si="87"/>
        <v/>
      </c>
      <c r="L808" s="44" t="str">
        <f t="shared" si="88"/>
        <v/>
      </c>
    </row>
    <row r="809" spans="1:12">
      <c r="A809" s="1" t="str">
        <f t="shared" si="89"/>
        <v/>
      </c>
      <c r="F809" s="42" t="str">
        <f t="shared" si="84"/>
        <v/>
      </c>
      <c r="G809" s="42" t="str">
        <f t="shared" si="90"/>
        <v/>
      </c>
      <c r="H809" s="43" t="str">
        <f>IF(C809="","",GETPIVOTDATA("WinPips",ProfitRpt!$A$9,"Trade Month",C809,"Trade Year",B809))</f>
        <v/>
      </c>
      <c r="I809" s="42" t="str">
        <f t="shared" si="85"/>
        <v/>
      </c>
      <c r="J809" s="43" t="str">
        <f t="shared" si="86"/>
        <v/>
      </c>
      <c r="K809" s="44" t="str">
        <f t="shared" si="87"/>
        <v/>
      </c>
      <c r="L809" s="44" t="str">
        <f t="shared" si="88"/>
        <v/>
      </c>
    </row>
    <row r="810" spans="1:12">
      <c r="A810" s="1" t="str">
        <f t="shared" si="89"/>
        <v/>
      </c>
      <c r="F810" s="42" t="str">
        <f t="shared" si="84"/>
        <v/>
      </c>
      <c r="G810" s="42" t="str">
        <f t="shared" si="90"/>
        <v/>
      </c>
      <c r="H810" s="43" t="str">
        <f>IF(C810="","",GETPIVOTDATA("WinPips",ProfitRpt!$A$9,"Trade Month",C810,"Trade Year",B810))</f>
        <v/>
      </c>
      <c r="I810" s="42" t="str">
        <f t="shared" si="85"/>
        <v/>
      </c>
      <c r="J810" s="43" t="str">
        <f t="shared" si="86"/>
        <v/>
      </c>
      <c r="K810" s="44" t="str">
        <f t="shared" si="87"/>
        <v/>
      </c>
      <c r="L810" s="44" t="str">
        <f t="shared" si="88"/>
        <v/>
      </c>
    </row>
    <row r="811" spans="1:12">
      <c r="A811" s="1" t="str">
        <f t="shared" si="89"/>
        <v/>
      </c>
      <c r="F811" s="42" t="str">
        <f t="shared" si="84"/>
        <v/>
      </c>
      <c r="G811" s="42" t="str">
        <f t="shared" si="90"/>
        <v/>
      </c>
      <c r="H811" s="43" t="str">
        <f>IF(C811="","",GETPIVOTDATA("WinPips",ProfitRpt!$A$9,"Trade Month",C811,"Trade Year",B811))</f>
        <v/>
      </c>
      <c r="I811" s="42" t="str">
        <f t="shared" si="85"/>
        <v/>
      </c>
      <c r="J811" s="43" t="str">
        <f t="shared" si="86"/>
        <v/>
      </c>
      <c r="K811" s="44" t="str">
        <f t="shared" si="87"/>
        <v/>
      </c>
      <c r="L811" s="44" t="str">
        <f t="shared" si="88"/>
        <v/>
      </c>
    </row>
    <row r="812" spans="1:12">
      <c r="A812" s="1" t="str">
        <f t="shared" si="89"/>
        <v/>
      </c>
      <c r="F812" s="42" t="str">
        <f t="shared" si="84"/>
        <v/>
      </c>
      <c r="G812" s="42" t="str">
        <f t="shared" si="90"/>
        <v/>
      </c>
      <c r="H812" s="43" t="str">
        <f>IF(C812="","",GETPIVOTDATA("WinPips",ProfitRpt!$A$9,"Trade Month",C812,"Trade Year",B812))</f>
        <v/>
      </c>
      <c r="I812" s="42" t="str">
        <f t="shared" si="85"/>
        <v/>
      </c>
      <c r="J812" s="43" t="str">
        <f t="shared" si="86"/>
        <v/>
      </c>
      <c r="K812" s="44" t="str">
        <f t="shared" si="87"/>
        <v/>
      </c>
      <c r="L812" s="44" t="str">
        <f t="shared" si="88"/>
        <v/>
      </c>
    </row>
    <row r="813" spans="1:12">
      <c r="A813" s="1" t="str">
        <f t="shared" si="89"/>
        <v/>
      </c>
      <c r="F813" s="42" t="str">
        <f t="shared" si="84"/>
        <v/>
      </c>
      <c r="G813" s="42" t="str">
        <f t="shared" si="90"/>
        <v/>
      </c>
      <c r="H813" s="43" t="str">
        <f>IF(C813="","",GETPIVOTDATA("WinPips",ProfitRpt!$A$9,"Trade Month",C813,"Trade Year",B813))</f>
        <v/>
      </c>
      <c r="I813" s="42" t="str">
        <f t="shared" si="85"/>
        <v/>
      </c>
      <c r="J813" s="43" t="str">
        <f t="shared" si="86"/>
        <v/>
      </c>
      <c r="K813" s="44" t="str">
        <f t="shared" si="87"/>
        <v/>
      </c>
      <c r="L813" s="44" t="str">
        <f t="shared" si="88"/>
        <v/>
      </c>
    </row>
    <row r="814" spans="1:12">
      <c r="A814" s="1" t="str">
        <f t="shared" si="89"/>
        <v/>
      </c>
      <c r="F814" s="42" t="str">
        <f t="shared" si="84"/>
        <v/>
      </c>
      <c r="G814" s="42" t="str">
        <f t="shared" si="90"/>
        <v/>
      </c>
      <c r="H814" s="43" t="str">
        <f>IF(C814="","",GETPIVOTDATA("WinPips",ProfitRpt!$A$9,"Trade Month",C814,"Trade Year",B814))</f>
        <v/>
      </c>
      <c r="I814" s="42" t="str">
        <f t="shared" si="85"/>
        <v/>
      </c>
      <c r="J814" s="43" t="str">
        <f t="shared" si="86"/>
        <v/>
      </c>
      <c r="K814" s="44" t="str">
        <f t="shared" si="87"/>
        <v/>
      </c>
      <c r="L814" s="44" t="str">
        <f t="shared" si="88"/>
        <v/>
      </c>
    </row>
    <row r="815" spans="1:12">
      <c r="A815" s="1" t="str">
        <f t="shared" si="89"/>
        <v/>
      </c>
      <c r="F815" s="42" t="str">
        <f t="shared" si="84"/>
        <v/>
      </c>
      <c r="G815" s="42" t="str">
        <f t="shared" si="90"/>
        <v/>
      </c>
      <c r="H815" s="43" t="str">
        <f>IF(C815="","",GETPIVOTDATA("WinPips",ProfitRpt!$A$9,"Trade Month",C815,"Trade Year",B815))</f>
        <v/>
      </c>
      <c r="I815" s="42" t="str">
        <f t="shared" si="85"/>
        <v/>
      </c>
      <c r="J815" s="43" t="str">
        <f t="shared" si="86"/>
        <v/>
      </c>
      <c r="K815" s="44" t="str">
        <f t="shared" si="87"/>
        <v/>
      </c>
      <c r="L815" s="44" t="str">
        <f t="shared" si="88"/>
        <v/>
      </c>
    </row>
    <row r="816" spans="1:12">
      <c r="A816" s="1" t="str">
        <f t="shared" si="89"/>
        <v/>
      </c>
      <c r="F816" s="42" t="str">
        <f t="shared" si="84"/>
        <v/>
      </c>
      <c r="G816" s="42" t="str">
        <f t="shared" si="90"/>
        <v/>
      </c>
      <c r="H816" s="43" t="str">
        <f>IF(C816="","",GETPIVOTDATA("WinPips",ProfitRpt!$A$9,"Trade Month",C816,"Trade Year",B816))</f>
        <v/>
      </c>
      <c r="I816" s="42" t="str">
        <f t="shared" si="85"/>
        <v/>
      </c>
      <c r="J816" s="43" t="str">
        <f t="shared" si="86"/>
        <v/>
      </c>
      <c r="K816" s="44" t="str">
        <f t="shared" si="87"/>
        <v/>
      </c>
      <c r="L816" s="44" t="str">
        <f t="shared" si="88"/>
        <v/>
      </c>
    </row>
    <row r="817" spans="1:12">
      <c r="A817" s="1" t="str">
        <f t="shared" si="89"/>
        <v/>
      </c>
      <c r="F817" s="42" t="str">
        <f t="shared" si="84"/>
        <v/>
      </c>
      <c r="G817" s="42" t="str">
        <f t="shared" si="90"/>
        <v/>
      </c>
      <c r="H817" s="43" t="str">
        <f>IF(C817="","",GETPIVOTDATA("WinPips",ProfitRpt!$A$9,"Trade Month",C817,"Trade Year",B817))</f>
        <v/>
      </c>
      <c r="I817" s="42" t="str">
        <f t="shared" si="85"/>
        <v/>
      </c>
      <c r="J817" s="43" t="str">
        <f t="shared" si="86"/>
        <v/>
      </c>
      <c r="K817" s="44" t="str">
        <f t="shared" si="87"/>
        <v/>
      </c>
      <c r="L817" s="44" t="str">
        <f t="shared" si="88"/>
        <v/>
      </c>
    </row>
    <row r="818" spans="1:12">
      <c r="A818" s="1" t="str">
        <f t="shared" si="89"/>
        <v/>
      </c>
      <c r="F818" s="42" t="str">
        <f t="shared" si="84"/>
        <v/>
      </c>
      <c r="G818" s="42" t="str">
        <f t="shared" si="90"/>
        <v/>
      </c>
      <c r="H818" s="43" t="str">
        <f>IF(C818="","",GETPIVOTDATA("WinPips",ProfitRpt!$A$9,"Trade Month",C818,"Trade Year",B818))</f>
        <v/>
      </c>
      <c r="I818" s="42" t="str">
        <f t="shared" si="85"/>
        <v/>
      </c>
      <c r="J818" s="43" t="str">
        <f t="shared" si="86"/>
        <v/>
      </c>
      <c r="K818" s="44" t="str">
        <f t="shared" si="87"/>
        <v/>
      </c>
      <c r="L818" s="44" t="str">
        <f t="shared" si="88"/>
        <v/>
      </c>
    </row>
    <row r="819" spans="1:12">
      <c r="A819" s="1" t="str">
        <f t="shared" si="89"/>
        <v/>
      </c>
      <c r="F819" s="42" t="str">
        <f t="shared" si="84"/>
        <v/>
      </c>
      <c r="G819" s="42" t="str">
        <f t="shared" si="90"/>
        <v/>
      </c>
      <c r="H819" s="43" t="str">
        <f>IF(C819="","",GETPIVOTDATA("WinPips",ProfitRpt!$A$9,"Trade Month",C819,"Trade Year",B819))</f>
        <v/>
      </c>
      <c r="I819" s="42" t="str">
        <f t="shared" si="85"/>
        <v/>
      </c>
      <c r="J819" s="43" t="str">
        <f t="shared" si="86"/>
        <v/>
      </c>
      <c r="K819" s="44" t="str">
        <f t="shared" si="87"/>
        <v/>
      </c>
      <c r="L819" s="44" t="str">
        <f t="shared" si="88"/>
        <v/>
      </c>
    </row>
    <row r="820" spans="1:12">
      <c r="A820" s="1" t="str">
        <f t="shared" si="89"/>
        <v/>
      </c>
      <c r="F820" s="42" t="str">
        <f t="shared" si="84"/>
        <v/>
      </c>
      <c r="G820" s="42" t="str">
        <f t="shared" si="90"/>
        <v/>
      </c>
      <c r="H820" s="43" t="str">
        <f>IF(C820="","",GETPIVOTDATA("WinPips",ProfitRpt!$A$9,"Trade Month",C820,"Trade Year",B820))</f>
        <v/>
      </c>
      <c r="I820" s="42" t="str">
        <f t="shared" si="85"/>
        <v/>
      </c>
      <c r="J820" s="43" t="str">
        <f t="shared" si="86"/>
        <v/>
      </c>
      <c r="K820" s="44" t="str">
        <f t="shared" si="87"/>
        <v/>
      </c>
      <c r="L820" s="44" t="str">
        <f t="shared" si="88"/>
        <v/>
      </c>
    </row>
    <row r="821" spans="1:12">
      <c r="A821" s="1" t="str">
        <f t="shared" si="89"/>
        <v/>
      </c>
      <c r="F821" s="42" t="str">
        <f t="shared" si="84"/>
        <v/>
      </c>
      <c r="G821" s="42" t="str">
        <f t="shared" si="90"/>
        <v/>
      </c>
      <c r="H821" s="43" t="str">
        <f>IF(C821="","",GETPIVOTDATA("WinPips",ProfitRpt!$A$9,"Trade Month",C821,"Trade Year",B821))</f>
        <v/>
      </c>
      <c r="I821" s="42" t="str">
        <f t="shared" si="85"/>
        <v/>
      </c>
      <c r="J821" s="43" t="str">
        <f t="shared" si="86"/>
        <v/>
      </c>
      <c r="K821" s="44" t="str">
        <f t="shared" si="87"/>
        <v/>
      </c>
      <c r="L821" s="44" t="str">
        <f t="shared" si="88"/>
        <v/>
      </c>
    </row>
    <row r="822" spans="1:12">
      <c r="A822" s="1" t="str">
        <f t="shared" si="89"/>
        <v/>
      </c>
      <c r="F822" s="42" t="str">
        <f t="shared" si="84"/>
        <v/>
      </c>
      <c r="G822" s="42" t="str">
        <f t="shared" si="90"/>
        <v/>
      </c>
      <c r="H822" s="43" t="str">
        <f>IF(C822="","",GETPIVOTDATA("WinPips",ProfitRpt!$A$9,"Trade Month",C822,"Trade Year",B822))</f>
        <v/>
      </c>
      <c r="I822" s="42" t="str">
        <f t="shared" si="85"/>
        <v/>
      </c>
      <c r="J822" s="43" t="str">
        <f t="shared" si="86"/>
        <v/>
      </c>
      <c r="K822" s="44" t="str">
        <f t="shared" si="87"/>
        <v/>
      </c>
      <c r="L822" s="44" t="str">
        <f t="shared" si="88"/>
        <v/>
      </c>
    </row>
    <row r="823" spans="1:12">
      <c r="A823" s="1" t="str">
        <f t="shared" si="89"/>
        <v/>
      </c>
      <c r="F823" s="42" t="str">
        <f t="shared" si="84"/>
        <v/>
      </c>
      <c r="G823" s="42" t="str">
        <f t="shared" si="90"/>
        <v/>
      </c>
      <c r="H823" s="43" t="str">
        <f>IF(C823="","",GETPIVOTDATA("WinPips",ProfitRpt!$A$9,"Trade Month",C823,"Trade Year",B823))</f>
        <v/>
      </c>
      <c r="I823" s="42" t="str">
        <f t="shared" si="85"/>
        <v/>
      </c>
      <c r="J823" s="43" t="str">
        <f t="shared" si="86"/>
        <v/>
      </c>
      <c r="K823" s="44" t="str">
        <f t="shared" si="87"/>
        <v/>
      </c>
      <c r="L823" s="44" t="str">
        <f t="shared" si="88"/>
        <v/>
      </c>
    </row>
    <row r="824" spans="1:12">
      <c r="A824" s="1" t="str">
        <f t="shared" si="89"/>
        <v/>
      </c>
      <c r="F824" s="42" t="str">
        <f t="shared" si="84"/>
        <v/>
      </c>
      <c r="G824" s="42" t="str">
        <f t="shared" si="90"/>
        <v/>
      </c>
      <c r="H824" s="43" t="str">
        <f>IF(C824="","",GETPIVOTDATA("WinPips",ProfitRpt!$A$9,"Trade Month",C824,"Trade Year",B824))</f>
        <v/>
      </c>
      <c r="I824" s="42" t="str">
        <f t="shared" si="85"/>
        <v/>
      </c>
      <c r="J824" s="43" t="str">
        <f t="shared" si="86"/>
        <v/>
      </c>
      <c r="K824" s="44" t="str">
        <f t="shared" si="87"/>
        <v/>
      </c>
      <c r="L824" s="44" t="str">
        <f t="shared" si="88"/>
        <v/>
      </c>
    </row>
    <row r="825" spans="1:12">
      <c r="A825" s="1" t="str">
        <f t="shared" si="89"/>
        <v/>
      </c>
      <c r="F825" s="42" t="str">
        <f t="shared" si="84"/>
        <v/>
      </c>
      <c r="G825" s="42" t="str">
        <f t="shared" si="90"/>
        <v/>
      </c>
      <c r="H825" s="43" t="str">
        <f>IF(C825="","",GETPIVOTDATA("WinPips",ProfitRpt!$A$9,"Trade Month",C825,"Trade Year",B825))</f>
        <v/>
      </c>
      <c r="I825" s="42" t="str">
        <f t="shared" si="85"/>
        <v/>
      </c>
      <c r="J825" s="43" t="str">
        <f t="shared" si="86"/>
        <v/>
      </c>
      <c r="K825" s="44" t="str">
        <f t="shared" si="87"/>
        <v/>
      </c>
      <c r="L825" s="44" t="str">
        <f t="shared" si="88"/>
        <v/>
      </c>
    </row>
    <row r="826" spans="1:12">
      <c r="A826" s="1" t="str">
        <f t="shared" si="89"/>
        <v/>
      </c>
      <c r="F826" s="42" t="str">
        <f t="shared" si="84"/>
        <v/>
      </c>
      <c r="G826" s="42" t="str">
        <f t="shared" si="90"/>
        <v/>
      </c>
      <c r="H826" s="43" t="str">
        <f>IF(C826="","",GETPIVOTDATA("WinPips",ProfitRpt!$A$9,"Trade Month",C826,"Trade Year",B826))</f>
        <v/>
      </c>
      <c r="I826" s="42" t="str">
        <f t="shared" si="85"/>
        <v/>
      </c>
      <c r="J826" s="43" t="str">
        <f t="shared" si="86"/>
        <v/>
      </c>
      <c r="K826" s="44" t="str">
        <f t="shared" si="87"/>
        <v/>
      </c>
      <c r="L826" s="44" t="str">
        <f t="shared" si="88"/>
        <v/>
      </c>
    </row>
    <row r="827" spans="1:12">
      <c r="A827" s="1" t="str">
        <f t="shared" si="89"/>
        <v/>
      </c>
      <c r="F827" s="42" t="str">
        <f t="shared" si="84"/>
        <v/>
      </c>
      <c r="G827" s="42" t="str">
        <f t="shared" si="90"/>
        <v/>
      </c>
      <c r="H827" s="43" t="str">
        <f>IF(C827="","",GETPIVOTDATA("WinPips",ProfitRpt!$A$9,"Trade Month",C827,"Trade Year",B827))</f>
        <v/>
      </c>
      <c r="I827" s="42" t="str">
        <f t="shared" si="85"/>
        <v/>
      </c>
      <c r="J827" s="43" t="str">
        <f t="shared" si="86"/>
        <v/>
      </c>
      <c r="K827" s="44" t="str">
        <f t="shared" si="87"/>
        <v/>
      </c>
      <c r="L827" s="44" t="str">
        <f t="shared" si="88"/>
        <v/>
      </c>
    </row>
    <row r="828" spans="1:12">
      <c r="A828" s="1" t="str">
        <f t="shared" si="89"/>
        <v/>
      </c>
      <c r="F828" s="42" t="str">
        <f t="shared" si="84"/>
        <v/>
      </c>
      <c r="G828" s="42" t="str">
        <f t="shared" si="90"/>
        <v/>
      </c>
      <c r="H828" s="43" t="str">
        <f>IF(C828="","",GETPIVOTDATA("WinPips",ProfitRpt!$A$9,"Trade Month",C828,"Trade Year",B828))</f>
        <v/>
      </c>
      <c r="I828" s="42" t="str">
        <f t="shared" si="85"/>
        <v/>
      </c>
      <c r="J828" s="43" t="str">
        <f t="shared" si="86"/>
        <v/>
      </c>
      <c r="K828" s="44" t="str">
        <f t="shared" si="87"/>
        <v/>
      </c>
      <c r="L828" s="44" t="str">
        <f t="shared" si="88"/>
        <v/>
      </c>
    </row>
    <row r="829" spans="1:12">
      <c r="A829" s="1" t="str">
        <f t="shared" si="89"/>
        <v/>
      </c>
      <c r="F829" s="42" t="str">
        <f t="shared" si="84"/>
        <v/>
      </c>
      <c r="G829" s="42" t="str">
        <f t="shared" si="90"/>
        <v/>
      </c>
      <c r="H829" s="43" t="str">
        <f>IF(C829="","",GETPIVOTDATA("WinPips",ProfitRpt!$A$9,"Trade Month",C829,"Trade Year",B829))</f>
        <v/>
      </c>
      <c r="I829" s="42" t="str">
        <f t="shared" si="85"/>
        <v/>
      </c>
      <c r="J829" s="43" t="str">
        <f t="shared" si="86"/>
        <v/>
      </c>
      <c r="K829" s="44" t="str">
        <f t="shared" si="87"/>
        <v/>
      </c>
      <c r="L829" s="44" t="str">
        <f t="shared" si="88"/>
        <v/>
      </c>
    </row>
    <row r="830" spans="1:12">
      <c r="A830" s="1" t="str">
        <f t="shared" si="89"/>
        <v/>
      </c>
      <c r="F830" s="42" t="str">
        <f t="shared" si="84"/>
        <v/>
      </c>
      <c r="G830" s="42" t="str">
        <f t="shared" si="90"/>
        <v/>
      </c>
      <c r="H830" s="43" t="str">
        <f>IF(C830="","",GETPIVOTDATA("WinPips",ProfitRpt!$A$9,"Trade Month",C830,"Trade Year",B830))</f>
        <v/>
      </c>
      <c r="I830" s="42" t="str">
        <f t="shared" si="85"/>
        <v/>
      </c>
      <c r="J830" s="43" t="str">
        <f t="shared" si="86"/>
        <v/>
      </c>
      <c r="K830" s="44" t="str">
        <f t="shared" si="87"/>
        <v/>
      </c>
      <c r="L830" s="44" t="str">
        <f t="shared" si="88"/>
        <v/>
      </c>
    </row>
    <row r="831" spans="1:12">
      <c r="A831" s="1" t="str">
        <f t="shared" si="89"/>
        <v/>
      </c>
      <c r="F831" s="42" t="str">
        <f t="shared" si="84"/>
        <v/>
      </c>
      <c r="G831" s="42" t="str">
        <f t="shared" si="90"/>
        <v/>
      </c>
      <c r="H831" s="43" t="str">
        <f>IF(C831="","",GETPIVOTDATA("WinPips",ProfitRpt!$A$9,"Trade Month",C831,"Trade Year",B831))</f>
        <v/>
      </c>
      <c r="I831" s="42" t="str">
        <f t="shared" si="85"/>
        <v/>
      </c>
      <c r="J831" s="43" t="str">
        <f t="shared" si="86"/>
        <v/>
      </c>
      <c r="K831" s="44" t="str">
        <f t="shared" si="87"/>
        <v/>
      </c>
      <c r="L831" s="44" t="str">
        <f t="shared" si="88"/>
        <v/>
      </c>
    </row>
    <row r="832" spans="1:12">
      <c r="A832" s="1" t="str">
        <f t="shared" si="89"/>
        <v/>
      </c>
      <c r="F832" s="42" t="str">
        <f t="shared" si="84"/>
        <v/>
      </c>
      <c r="G832" s="42" t="str">
        <f t="shared" si="90"/>
        <v/>
      </c>
      <c r="H832" s="43" t="str">
        <f>IF(C832="","",GETPIVOTDATA("WinPips",ProfitRpt!$A$9,"Trade Month",C832,"Trade Year",B832))</f>
        <v/>
      </c>
      <c r="I832" s="42" t="str">
        <f t="shared" si="85"/>
        <v/>
      </c>
      <c r="J832" s="43" t="str">
        <f t="shared" si="86"/>
        <v/>
      </c>
      <c r="K832" s="44" t="str">
        <f t="shared" si="87"/>
        <v/>
      </c>
      <c r="L832" s="44" t="str">
        <f t="shared" si="88"/>
        <v/>
      </c>
    </row>
    <row r="833" spans="1:12">
      <c r="A833" s="1" t="str">
        <f t="shared" si="89"/>
        <v/>
      </c>
      <c r="F833" s="42" t="str">
        <f t="shared" si="84"/>
        <v/>
      </c>
      <c r="G833" s="42" t="str">
        <f t="shared" si="90"/>
        <v/>
      </c>
      <c r="H833" s="43" t="str">
        <f>IF(C833="","",GETPIVOTDATA("WinPips",ProfitRpt!$A$9,"Trade Month",C833,"Trade Year",B833))</f>
        <v/>
      </c>
      <c r="I833" s="42" t="str">
        <f t="shared" si="85"/>
        <v/>
      </c>
      <c r="J833" s="43" t="str">
        <f t="shared" si="86"/>
        <v/>
      </c>
      <c r="K833" s="44" t="str">
        <f t="shared" si="87"/>
        <v/>
      </c>
      <c r="L833" s="44" t="str">
        <f t="shared" si="88"/>
        <v/>
      </c>
    </row>
    <row r="834" spans="1:12">
      <c r="A834" s="1" t="str">
        <f t="shared" si="89"/>
        <v/>
      </c>
      <c r="F834" s="42" t="str">
        <f t="shared" si="84"/>
        <v/>
      </c>
      <c r="G834" s="42" t="str">
        <f t="shared" si="90"/>
        <v/>
      </c>
      <c r="H834" s="43" t="str">
        <f>IF(C834="","",GETPIVOTDATA("WinPips",ProfitRpt!$A$9,"Trade Month",C834,"Trade Year",B834))</f>
        <v/>
      </c>
      <c r="I834" s="42" t="str">
        <f t="shared" si="85"/>
        <v/>
      </c>
      <c r="J834" s="43" t="str">
        <f t="shared" si="86"/>
        <v/>
      </c>
      <c r="K834" s="44" t="str">
        <f t="shared" si="87"/>
        <v/>
      </c>
      <c r="L834" s="44" t="str">
        <f t="shared" si="88"/>
        <v/>
      </c>
    </row>
    <row r="835" spans="1:12">
      <c r="A835" s="1" t="str">
        <f t="shared" si="89"/>
        <v/>
      </c>
      <c r="F835" s="42" t="str">
        <f t="shared" si="84"/>
        <v/>
      </c>
      <c r="G835" s="42" t="str">
        <f t="shared" si="90"/>
        <v/>
      </c>
      <c r="H835" s="43" t="str">
        <f>IF(C835="","",GETPIVOTDATA("WinPips",ProfitRpt!$A$9,"Trade Month",C835,"Trade Year",B835))</f>
        <v/>
      </c>
      <c r="I835" s="42" t="str">
        <f t="shared" si="85"/>
        <v/>
      </c>
      <c r="J835" s="43" t="str">
        <f t="shared" si="86"/>
        <v/>
      </c>
      <c r="K835" s="44" t="str">
        <f t="shared" si="87"/>
        <v/>
      </c>
      <c r="L835" s="44" t="str">
        <f t="shared" si="88"/>
        <v/>
      </c>
    </row>
    <row r="836" spans="1:12">
      <c r="A836" s="1" t="str">
        <f t="shared" si="89"/>
        <v/>
      </c>
      <c r="F836" s="42" t="str">
        <f t="shared" si="84"/>
        <v/>
      </c>
      <c r="G836" s="42" t="str">
        <f t="shared" si="90"/>
        <v/>
      </c>
      <c r="H836" s="43" t="str">
        <f>IF(C836="","",GETPIVOTDATA("WinPips",ProfitRpt!$A$9,"Trade Month",C836,"Trade Year",B836))</f>
        <v/>
      </c>
      <c r="I836" s="42" t="str">
        <f t="shared" si="85"/>
        <v/>
      </c>
      <c r="J836" s="43" t="str">
        <f t="shared" si="86"/>
        <v/>
      </c>
      <c r="K836" s="44" t="str">
        <f t="shared" si="87"/>
        <v/>
      </c>
      <c r="L836" s="44" t="str">
        <f t="shared" si="88"/>
        <v/>
      </c>
    </row>
    <row r="837" spans="1:12">
      <c r="A837" s="1" t="str">
        <f t="shared" si="89"/>
        <v/>
      </c>
      <c r="F837" s="42" t="str">
        <f t="shared" si="84"/>
        <v/>
      </c>
      <c r="G837" s="42" t="str">
        <f t="shared" si="90"/>
        <v/>
      </c>
      <c r="H837" s="43" t="str">
        <f>IF(C837="","",GETPIVOTDATA("WinPips",ProfitRpt!$A$9,"Trade Month",C837,"Trade Year",B837))</f>
        <v/>
      </c>
      <c r="I837" s="42" t="str">
        <f t="shared" si="85"/>
        <v/>
      </c>
      <c r="J837" s="43" t="str">
        <f t="shared" si="86"/>
        <v/>
      </c>
      <c r="K837" s="44" t="str">
        <f t="shared" si="87"/>
        <v/>
      </c>
      <c r="L837" s="44" t="str">
        <f t="shared" si="88"/>
        <v/>
      </c>
    </row>
    <row r="838" spans="1:12">
      <c r="A838" s="1" t="str">
        <f t="shared" si="89"/>
        <v/>
      </c>
      <c r="F838" s="42" t="str">
        <f t="shared" si="84"/>
        <v/>
      </c>
      <c r="G838" s="42" t="str">
        <f t="shared" si="90"/>
        <v/>
      </c>
      <c r="H838" s="43" t="str">
        <f>IF(C838="","",GETPIVOTDATA("WinPips",ProfitRpt!$A$9,"Trade Month",C838,"Trade Year",B838))</f>
        <v/>
      </c>
      <c r="I838" s="42" t="str">
        <f t="shared" si="85"/>
        <v/>
      </c>
      <c r="J838" s="43" t="str">
        <f t="shared" si="86"/>
        <v/>
      </c>
      <c r="K838" s="44" t="str">
        <f t="shared" si="87"/>
        <v/>
      </c>
      <c r="L838" s="44" t="str">
        <f t="shared" si="88"/>
        <v/>
      </c>
    </row>
    <row r="839" spans="1:12">
      <c r="A839" s="1" t="str">
        <f t="shared" si="89"/>
        <v/>
      </c>
      <c r="F839" s="42" t="str">
        <f t="shared" ref="F839:F902" si="91">IF(G839="","",E839+G839)</f>
        <v/>
      </c>
      <c r="G839" s="42" t="str">
        <f t="shared" si="90"/>
        <v/>
      </c>
      <c r="H839" s="43" t="str">
        <f>IF(C839="","",GETPIVOTDATA("WinPips",ProfitRpt!$A$9,"Trade Month",C839,"Trade Year",B839))</f>
        <v/>
      </c>
      <c r="I839" s="42" t="str">
        <f t="shared" ref="I839:I902" si="92">IF(B839="","",IF(B839=B838,I838+G839,G839))</f>
        <v/>
      </c>
      <c r="J839" s="43" t="str">
        <f t="shared" ref="J839:J902" si="93">IF(B839="","",IF(B838=B839,J838+H839,H839))</f>
        <v/>
      </c>
      <c r="K839" s="44" t="str">
        <f t="shared" ref="K839:K902" si="94">IF(F839="","",IF(E839="","",(F839-E839)/E839))</f>
        <v/>
      </c>
      <c r="L839" s="44" t="str">
        <f t="shared" ref="L839:L902" si="95">IF(I839="","",IF(D839="","",I839/D839) )</f>
        <v/>
      </c>
    </row>
    <row r="840" spans="1:12">
      <c r="A840" s="1" t="str">
        <f t="shared" ref="A840:A903" si="96">IF(C840="","",A839+1)</f>
        <v/>
      </c>
      <c r="F840" s="42" t="str">
        <f t="shared" si="91"/>
        <v/>
      </c>
      <c r="G840" s="42" t="str">
        <f t="shared" ref="G840:G903" si="97">IF(C840="","",H840/10)</f>
        <v/>
      </c>
      <c r="H840" s="43" t="str">
        <f>IF(C840="","",GETPIVOTDATA("WinPips",ProfitRpt!$A$9,"Trade Month",C840,"Trade Year",B840))</f>
        <v/>
      </c>
      <c r="I840" s="42" t="str">
        <f t="shared" si="92"/>
        <v/>
      </c>
      <c r="J840" s="43" t="str">
        <f t="shared" si="93"/>
        <v/>
      </c>
      <c r="K840" s="44" t="str">
        <f t="shared" si="94"/>
        <v/>
      </c>
      <c r="L840" s="44" t="str">
        <f t="shared" si="95"/>
        <v/>
      </c>
    </row>
    <row r="841" spans="1:12">
      <c r="A841" s="1" t="str">
        <f t="shared" si="96"/>
        <v/>
      </c>
      <c r="F841" s="42" t="str">
        <f t="shared" si="91"/>
        <v/>
      </c>
      <c r="G841" s="42" t="str">
        <f t="shared" si="97"/>
        <v/>
      </c>
      <c r="H841" s="43" t="str">
        <f>IF(C841="","",GETPIVOTDATA("WinPips",ProfitRpt!$A$9,"Trade Month",C841,"Trade Year",B841))</f>
        <v/>
      </c>
      <c r="I841" s="42" t="str">
        <f t="shared" si="92"/>
        <v/>
      </c>
      <c r="J841" s="43" t="str">
        <f t="shared" si="93"/>
        <v/>
      </c>
      <c r="K841" s="44" t="str">
        <f t="shared" si="94"/>
        <v/>
      </c>
      <c r="L841" s="44" t="str">
        <f t="shared" si="95"/>
        <v/>
      </c>
    </row>
    <row r="842" spans="1:12">
      <c r="A842" s="1" t="str">
        <f t="shared" si="96"/>
        <v/>
      </c>
      <c r="F842" s="42" t="str">
        <f t="shared" si="91"/>
        <v/>
      </c>
      <c r="G842" s="42" t="str">
        <f t="shared" si="97"/>
        <v/>
      </c>
      <c r="H842" s="43" t="str">
        <f>IF(C842="","",GETPIVOTDATA("WinPips",ProfitRpt!$A$9,"Trade Month",C842,"Trade Year",B842))</f>
        <v/>
      </c>
      <c r="I842" s="42" t="str">
        <f t="shared" si="92"/>
        <v/>
      </c>
      <c r="J842" s="43" t="str">
        <f t="shared" si="93"/>
        <v/>
      </c>
      <c r="K842" s="44" t="str">
        <f t="shared" si="94"/>
        <v/>
      </c>
      <c r="L842" s="44" t="str">
        <f t="shared" si="95"/>
        <v/>
      </c>
    </row>
    <row r="843" spans="1:12">
      <c r="A843" s="1" t="str">
        <f t="shared" si="96"/>
        <v/>
      </c>
      <c r="F843" s="42" t="str">
        <f t="shared" si="91"/>
        <v/>
      </c>
      <c r="G843" s="42" t="str">
        <f t="shared" si="97"/>
        <v/>
      </c>
      <c r="H843" s="43" t="str">
        <f>IF(C843="","",GETPIVOTDATA("WinPips",ProfitRpt!$A$9,"Trade Month",C843,"Trade Year",B843))</f>
        <v/>
      </c>
      <c r="I843" s="42" t="str">
        <f t="shared" si="92"/>
        <v/>
      </c>
      <c r="J843" s="43" t="str">
        <f t="shared" si="93"/>
        <v/>
      </c>
      <c r="K843" s="44" t="str">
        <f t="shared" si="94"/>
        <v/>
      </c>
      <c r="L843" s="44" t="str">
        <f t="shared" si="95"/>
        <v/>
      </c>
    </row>
    <row r="844" spans="1:12">
      <c r="A844" s="1" t="str">
        <f t="shared" si="96"/>
        <v/>
      </c>
      <c r="F844" s="42" t="str">
        <f t="shared" si="91"/>
        <v/>
      </c>
      <c r="G844" s="42" t="str">
        <f t="shared" si="97"/>
        <v/>
      </c>
      <c r="H844" s="43" t="str">
        <f>IF(C844="","",GETPIVOTDATA("WinPips",ProfitRpt!$A$9,"Trade Month",C844,"Trade Year",B844))</f>
        <v/>
      </c>
      <c r="I844" s="42" t="str">
        <f t="shared" si="92"/>
        <v/>
      </c>
      <c r="J844" s="43" t="str">
        <f t="shared" si="93"/>
        <v/>
      </c>
      <c r="K844" s="44" t="str">
        <f t="shared" si="94"/>
        <v/>
      </c>
      <c r="L844" s="44" t="str">
        <f t="shared" si="95"/>
        <v/>
      </c>
    </row>
    <row r="845" spans="1:12">
      <c r="A845" s="1" t="str">
        <f t="shared" si="96"/>
        <v/>
      </c>
      <c r="F845" s="42" t="str">
        <f t="shared" si="91"/>
        <v/>
      </c>
      <c r="G845" s="42" t="str">
        <f t="shared" si="97"/>
        <v/>
      </c>
      <c r="H845" s="43" t="str">
        <f>IF(C845="","",GETPIVOTDATA("WinPips",ProfitRpt!$A$9,"Trade Month",C845,"Trade Year",B845))</f>
        <v/>
      </c>
      <c r="I845" s="42" t="str">
        <f t="shared" si="92"/>
        <v/>
      </c>
      <c r="J845" s="43" t="str">
        <f t="shared" si="93"/>
        <v/>
      </c>
      <c r="K845" s="44" t="str">
        <f t="shared" si="94"/>
        <v/>
      </c>
      <c r="L845" s="44" t="str">
        <f t="shared" si="95"/>
        <v/>
      </c>
    </row>
    <row r="846" spans="1:12">
      <c r="A846" s="1" t="str">
        <f t="shared" si="96"/>
        <v/>
      </c>
      <c r="F846" s="42" t="str">
        <f t="shared" si="91"/>
        <v/>
      </c>
      <c r="G846" s="42" t="str">
        <f t="shared" si="97"/>
        <v/>
      </c>
      <c r="H846" s="43" t="str">
        <f>IF(C846="","",GETPIVOTDATA("WinPips",ProfitRpt!$A$9,"Trade Month",C846,"Trade Year",B846))</f>
        <v/>
      </c>
      <c r="I846" s="42" t="str">
        <f t="shared" si="92"/>
        <v/>
      </c>
      <c r="J846" s="43" t="str">
        <f t="shared" si="93"/>
        <v/>
      </c>
      <c r="K846" s="44" t="str">
        <f t="shared" si="94"/>
        <v/>
      </c>
      <c r="L846" s="44" t="str">
        <f t="shared" si="95"/>
        <v/>
      </c>
    </row>
    <row r="847" spans="1:12">
      <c r="A847" s="1" t="str">
        <f t="shared" si="96"/>
        <v/>
      </c>
      <c r="F847" s="42" t="str">
        <f t="shared" si="91"/>
        <v/>
      </c>
      <c r="G847" s="42" t="str">
        <f t="shared" si="97"/>
        <v/>
      </c>
      <c r="H847" s="43" t="str">
        <f>IF(C847="","",GETPIVOTDATA("WinPips",ProfitRpt!$A$9,"Trade Month",C847,"Trade Year",B847))</f>
        <v/>
      </c>
      <c r="I847" s="42" t="str">
        <f t="shared" si="92"/>
        <v/>
      </c>
      <c r="J847" s="43" t="str">
        <f t="shared" si="93"/>
        <v/>
      </c>
      <c r="K847" s="44" t="str">
        <f t="shared" si="94"/>
        <v/>
      </c>
      <c r="L847" s="44" t="str">
        <f t="shared" si="95"/>
        <v/>
      </c>
    </row>
    <row r="848" spans="1:12">
      <c r="A848" s="1" t="str">
        <f t="shared" si="96"/>
        <v/>
      </c>
      <c r="F848" s="42" t="str">
        <f t="shared" si="91"/>
        <v/>
      </c>
      <c r="G848" s="42" t="str">
        <f t="shared" si="97"/>
        <v/>
      </c>
      <c r="H848" s="43" t="str">
        <f>IF(C848="","",GETPIVOTDATA("WinPips",ProfitRpt!$A$9,"Trade Month",C848,"Trade Year",B848))</f>
        <v/>
      </c>
      <c r="I848" s="42" t="str">
        <f t="shared" si="92"/>
        <v/>
      </c>
      <c r="J848" s="43" t="str">
        <f t="shared" si="93"/>
        <v/>
      </c>
      <c r="K848" s="44" t="str">
        <f t="shared" si="94"/>
        <v/>
      </c>
      <c r="L848" s="44" t="str">
        <f t="shared" si="95"/>
        <v/>
      </c>
    </row>
    <row r="849" spans="1:12">
      <c r="A849" s="1" t="str">
        <f t="shared" si="96"/>
        <v/>
      </c>
      <c r="F849" s="42" t="str">
        <f t="shared" si="91"/>
        <v/>
      </c>
      <c r="G849" s="42" t="str">
        <f t="shared" si="97"/>
        <v/>
      </c>
      <c r="H849" s="43" t="str">
        <f>IF(C849="","",GETPIVOTDATA("WinPips",ProfitRpt!$A$9,"Trade Month",C849,"Trade Year",B849))</f>
        <v/>
      </c>
      <c r="I849" s="42" t="str">
        <f t="shared" si="92"/>
        <v/>
      </c>
      <c r="J849" s="43" t="str">
        <f t="shared" si="93"/>
        <v/>
      </c>
      <c r="K849" s="44" t="str">
        <f t="shared" si="94"/>
        <v/>
      </c>
      <c r="L849" s="44" t="str">
        <f t="shared" si="95"/>
        <v/>
      </c>
    </row>
    <row r="850" spans="1:12">
      <c r="A850" s="1" t="str">
        <f t="shared" si="96"/>
        <v/>
      </c>
      <c r="F850" s="42" t="str">
        <f t="shared" si="91"/>
        <v/>
      </c>
      <c r="G850" s="42" t="str">
        <f t="shared" si="97"/>
        <v/>
      </c>
      <c r="H850" s="43" t="str">
        <f>IF(C850="","",GETPIVOTDATA("WinPips",ProfitRpt!$A$9,"Trade Month",C850,"Trade Year",B850))</f>
        <v/>
      </c>
      <c r="I850" s="42" t="str">
        <f t="shared" si="92"/>
        <v/>
      </c>
      <c r="J850" s="43" t="str">
        <f t="shared" si="93"/>
        <v/>
      </c>
      <c r="K850" s="44" t="str">
        <f t="shared" si="94"/>
        <v/>
      </c>
      <c r="L850" s="44" t="str">
        <f t="shared" si="95"/>
        <v/>
      </c>
    </row>
    <row r="851" spans="1:12">
      <c r="A851" s="1" t="str">
        <f t="shared" si="96"/>
        <v/>
      </c>
      <c r="F851" s="42" t="str">
        <f t="shared" si="91"/>
        <v/>
      </c>
      <c r="G851" s="42" t="str">
        <f t="shared" si="97"/>
        <v/>
      </c>
      <c r="H851" s="43" t="str">
        <f>IF(C851="","",GETPIVOTDATA("WinPips",ProfitRpt!$A$9,"Trade Month",C851,"Trade Year",B851))</f>
        <v/>
      </c>
      <c r="I851" s="42" t="str">
        <f t="shared" si="92"/>
        <v/>
      </c>
      <c r="J851" s="43" t="str">
        <f t="shared" si="93"/>
        <v/>
      </c>
      <c r="K851" s="44" t="str">
        <f t="shared" si="94"/>
        <v/>
      </c>
      <c r="L851" s="44" t="str">
        <f t="shared" si="95"/>
        <v/>
      </c>
    </row>
    <row r="852" spans="1:12">
      <c r="A852" s="1" t="str">
        <f t="shared" si="96"/>
        <v/>
      </c>
      <c r="F852" s="42" t="str">
        <f t="shared" si="91"/>
        <v/>
      </c>
      <c r="G852" s="42" t="str">
        <f t="shared" si="97"/>
        <v/>
      </c>
      <c r="H852" s="43" t="str">
        <f>IF(C852="","",GETPIVOTDATA("WinPips",ProfitRpt!$A$9,"Trade Month",C852,"Trade Year",B852))</f>
        <v/>
      </c>
      <c r="I852" s="42" t="str">
        <f t="shared" si="92"/>
        <v/>
      </c>
      <c r="J852" s="43" t="str">
        <f t="shared" si="93"/>
        <v/>
      </c>
      <c r="K852" s="44" t="str">
        <f t="shared" si="94"/>
        <v/>
      </c>
      <c r="L852" s="44" t="str">
        <f t="shared" si="95"/>
        <v/>
      </c>
    </row>
    <row r="853" spans="1:12">
      <c r="A853" s="1" t="str">
        <f t="shared" si="96"/>
        <v/>
      </c>
      <c r="F853" s="42" t="str">
        <f t="shared" si="91"/>
        <v/>
      </c>
      <c r="G853" s="42" t="str">
        <f t="shared" si="97"/>
        <v/>
      </c>
      <c r="H853" s="43" t="str">
        <f>IF(C853="","",GETPIVOTDATA("WinPips",ProfitRpt!$A$9,"Trade Month",C853,"Trade Year",B853))</f>
        <v/>
      </c>
      <c r="I853" s="42" t="str">
        <f t="shared" si="92"/>
        <v/>
      </c>
      <c r="J853" s="43" t="str">
        <f t="shared" si="93"/>
        <v/>
      </c>
      <c r="K853" s="44" t="str">
        <f t="shared" si="94"/>
        <v/>
      </c>
      <c r="L853" s="44" t="str">
        <f t="shared" si="95"/>
        <v/>
      </c>
    </row>
    <row r="854" spans="1:12">
      <c r="A854" s="1" t="str">
        <f t="shared" si="96"/>
        <v/>
      </c>
      <c r="F854" s="42" t="str">
        <f t="shared" si="91"/>
        <v/>
      </c>
      <c r="G854" s="42" t="str">
        <f t="shared" si="97"/>
        <v/>
      </c>
      <c r="H854" s="43" t="str">
        <f>IF(C854="","",GETPIVOTDATA("WinPips",ProfitRpt!$A$9,"Trade Month",C854,"Trade Year",B854))</f>
        <v/>
      </c>
      <c r="I854" s="42" t="str">
        <f t="shared" si="92"/>
        <v/>
      </c>
      <c r="J854" s="43" t="str">
        <f t="shared" si="93"/>
        <v/>
      </c>
      <c r="K854" s="44" t="str">
        <f t="shared" si="94"/>
        <v/>
      </c>
      <c r="L854" s="44" t="str">
        <f t="shared" si="95"/>
        <v/>
      </c>
    </row>
    <row r="855" spans="1:12">
      <c r="A855" s="1" t="str">
        <f t="shared" si="96"/>
        <v/>
      </c>
      <c r="F855" s="42" t="str">
        <f t="shared" si="91"/>
        <v/>
      </c>
      <c r="G855" s="42" t="str">
        <f t="shared" si="97"/>
        <v/>
      </c>
      <c r="H855" s="43" t="str">
        <f>IF(C855="","",GETPIVOTDATA("WinPips",ProfitRpt!$A$9,"Trade Month",C855,"Trade Year",B855))</f>
        <v/>
      </c>
      <c r="I855" s="42" t="str">
        <f t="shared" si="92"/>
        <v/>
      </c>
      <c r="J855" s="43" t="str">
        <f t="shared" si="93"/>
        <v/>
      </c>
      <c r="K855" s="44" t="str">
        <f t="shared" si="94"/>
        <v/>
      </c>
      <c r="L855" s="44" t="str">
        <f t="shared" si="95"/>
        <v/>
      </c>
    </row>
    <row r="856" spans="1:12">
      <c r="A856" s="1" t="str">
        <f t="shared" si="96"/>
        <v/>
      </c>
      <c r="F856" s="42" t="str">
        <f t="shared" si="91"/>
        <v/>
      </c>
      <c r="G856" s="42" t="str">
        <f t="shared" si="97"/>
        <v/>
      </c>
      <c r="H856" s="43" t="str">
        <f>IF(C856="","",GETPIVOTDATA("WinPips",ProfitRpt!$A$9,"Trade Month",C856,"Trade Year",B856))</f>
        <v/>
      </c>
      <c r="I856" s="42" t="str">
        <f t="shared" si="92"/>
        <v/>
      </c>
      <c r="J856" s="43" t="str">
        <f t="shared" si="93"/>
        <v/>
      </c>
      <c r="K856" s="44" t="str">
        <f t="shared" si="94"/>
        <v/>
      </c>
      <c r="L856" s="44" t="str">
        <f t="shared" si="95"/>
        <v/>
      </c>
    </row>
    <row r="857" spans="1:12">
      <c r="A857" s="1" t="str">
        <f t="shared" si="96"/>
        <v/>
      </c>
      <c r="F857" s="42" t="str">
        <f t="shared" si="91"/>
        <v/>
      </c>
      <c r="G857" s="42" t="str">
        <f t="shared" si="97"/>
        <v/>
      </c>
      <c r="H857" s="43" t="str">
        <f>IF(C857="","",GETPIVOTDATA("WinPips",ProfitRpt!$A$9,"Trade Month",C857,"Trade Year",B857))</f>
        <v/>
      </c>
      <c r="I857" s="42" t="str">
        <f t="shared" si="92"/>
        <v/>
      </c>
      <c r="J857" s="43" t="str">
        <f t="shared" si="93"/>
        <v/>
      </c>
      <c r="K857" s="44" t="str">
        <f t="shared" si="94"/>
        <v/>
      </c>
      <c r="L857" s="44" t="str">
        <f t="shared" si="95"/>
        <v/>
      </c>
    </row>
    <row r="858" spans="1:12">
      <c r="A858" s="1" t="str">
        <f t="shared" si="96"/>
        <v/>
      </c>
      <c r="F858" s="42" t="str">
        <f t="shared" si="91"/>
        <v/>
      </c>
      <c r="G858" s="42" t="str">
        <f t="shared" si="97"/>
        <v/>
      </c>
      <c r="H858" s="43" t="str">
        <f>IF(C858="","",GETPIVOTDATA("WinPips",ProfitRpt!$A$9,"Trade Month",C858,"Trade Year",B858))</f>
        <v/>
      </c>
      <c r="I858" s="42" t="str">
        <f t="shared" si="92"/>
        <v/>
      </c>
      <c r="J858" s="43" t="str">
        <f t="shared" si="93"/>
        <v/>
      </c>
      <c r="K858" s="44" t="str">
        <f t="shared" si="94"/>
        <v/>
      </c>
      <c r="L858" s="44" t="str">
        <f t="shared" si="95"/>
        <v/>
      </c>
    </row>
    <row r="859" spans="1:12">
      <c r="A859" s="1" t="str">
        <f t="shared" si="96"/>
        <v/>
      </c>
      <c r="F859" s="42" t="str">
        <f t="shared" si="91"/>
        <v/>
      </c>
      <c r="G859" s="42" t="str">
        <f t="shared" si="97"/>
        <v/>
      </c>
      <c r="H859" s="43" t="str">
        <f>IF(C859="","",GETPIVOTDATA("WinPips",ProfitRpt!$A$9,"Trade Month",C859,"Trade Year",B859))</f>
        <v/>
      </c>
      <c r="I859" s="42" t="str">
        <f t="shared" si="92"/>
        <v/>
      </c>
      <c r="J859" s="43" t="str">
        <f t="shared" si="93"/>
        <v/>
      </c>
      <c r="K859" s="44" t="str">
        <f t="shared" si="94"/>
        <v/>
      </c>
      <c r="L859" s="44" t="str">
        <f t="shared" si="95"/>
        <v/>
      </c>
    </row>
    <row r="860" spans="1:12">
      <c r="A860" s="1" t="str">
        <f t="shared" si="96"/>
        <v/>
      </c>
      <c r="F860" s="42" t="str">
        <f t="shared" si="91"/>
        <v/>
      </c>
      <c r="G860" s="42" t="str">
        <f t="shared" si="97"/>
        <v/>
      </c>
      <c r="H860" s="43" t="str">
        <f>IF(C860="","",GETPIVOTDATA("WinPips",ProfitRpt!$A$9,"Trade Month",C860,"Trade Year",B860))</f>
        <v/>
      </c>
      <c r="I860" s="42" t="str">
        <f t="shared" si="92"/>
        <v/>
      </c>
      <c r="J860" s="43" t="str">
        <f t="shared" si="93"/>
        <v/>
      </c>
      <c r="K860" s="44" t="str">
        <f t="shared" si="94"/>
        <v/>
      </c>
      <c r="L860" s="44" t="str">
        <f t="shared" si="95"/>
        <v/>
      </c>
    </row>
    <row r="861" spans="1:12">
      <c r="A861" s="1" t="str">
        <f t="shared" si="96"/>
        <v/>
      </c>
      <c r="F861" s="42" t="str">
        <f t="shared" si="91"/>
        <v/>
      </c>
      <c r="G861" s="42" t="str">
        <f t="shared" si="97"/>
        <v/>
      </c>
      <c r="H861" s="43" t="str">
        <f>IF(C861="","",GETPIVOTDATA("WinPips",ProfitRpt!$A$9,"Trade Month",C861,"Trade Year",B861))</f>
        <v/>
      </c>
      <c r="I861" s="42" t="str">
        <f t="shared" si="92"/>
        <v/>
      </c>
      <c r="J861" s="43" t="str">
        <f t="shared" si="93"/>
        <v/>
      </c>
      <c r="K861" s="44" t="str">
        <f t="shared" si="94"/>
        <v/>
      </c>
      <c r="L861" s="44" t="str">
        <f t="shared" si="95"/>
        <v/>
      </c>
    </row>
    <row r="862" spans="1:12">
      <c r="A862" s="1" t="str">
        <f t="shared" si="96"/>
        <v/>
      </c>
      <c r="F862" s="42" t="str">
        <f t="shared" si="91"/>
        <v/>
      </c>
      <c r="G862" s="42" t="str">
        <f t="shared" si="97"/>
        <v/>
      </c>
      <c r="H862" s="43" t="str">
        <f>IF(C862="","",GETPIVOTDATA("WinPips",ProfitRpt!$A$9,"Trade Month",C862,"Trade Year",B862))</f>
        <v/>
      </c>
      <c r="I862" s="42" t="str">
        <f t="shared" si="92"/>
        <v/>
      </c>
      <c r="J862" s="43" t="str">
        <f t="shared" si="93"/>
        <v/>
      </c>
      <c r="K862" s="44" t="str">
        <f t="shared" si="94"/>
        <v/>
      </c>
      <c r="L862" s="44" t="str">
        <f t="shared" si="95"/>
        <v/>
      </c>
    </row>
    <row r="863" spans="1:12">
      <c r="A863" s="1" t="str">
        <f t="shared" si="96"/>
        <v/>
      </c>
      <c r="F863" s="42" t="str">
        <f t="shared" si="91"/>
        <v/>
      </c>
      <c r="G863" s="42" t="str">
        <f t="shared" si="97"/>
        <v/>
      </c>
      <c r="H863" s="43" t="str">
        <f>IF(C863="","",GETPIVOTDATA("WinPips",ProfitRpt!$A$9,"Trade Month",C863,"Trade Year",B863))</f>
        <v/>
      </c>
      <c r="I863" s="42" t="str">
        <f t="shared" si="92"/>
        <v/>
      </c>
      <c r="J863" s="43" t="str">
        <f t="shared" si="93"/>
        <v/>
      </c>
      <c r="K863" s="44" t="str">
        <f t="shared" si="94"/>
        <v/>
      </c>
      <c r="L863" s="44" t="str">
        <f t="shared" si="95"/>
        <v/>
      </c>
    </row>
    <row r="864" spans="1:12">
      <c r="A864" s="1" t="str">
        <f t="shared" si="96"/>
        <v/>
      </c>
      <c r="F864" s="42" t="str">
        <f t="shared" si="91"/>
        <v/>
      </c>
      <c r="G864" s="42" t="str">
        <f t="shared" si="97"/>
        <v/>
      </c>
      <c r="H864" s="43" t="str">
        <f>IF(C864="","",GETPIVOTDATA("WinPips",ProfitRpt!$A$9,"Trade Month",C864,"Trade Year",B864))</f>
        <v/>
      </c>
      <c r="I864" s="42" t="str">
        <f t="shared" si="92"/>
        <v/>
      </c>
      <c r="J864" s="43" t="str">
        <f t="shared" si="93"/>
        <v/>
      </c>
      <c r="K864" s="44" t="str">
        <f t="shared" si="94"/>
        <v/>
      </c>
      <c r="L864" s="44" t="str">
        <f t="shared" si="95"/>
        <v/>
      </c>
    </row>
    <row r="865" spans="1:12">
      <c r="A865" s="1" t="str">
        <f t="shared" si="96"/>
        <v/>
      </c>
      <c r="F865" s="42" t="str">
        <f t="shared" si="91"/>
        <v/>
      </c>
      <c r="G865" s="42" t="str">
        <f t="shared" si="97"/>
        <v/>
      </c>
      <c r="H865" s="43" t="str">
        <f>IF(C865="","",GETPIVOTDATA("WinPips",ProfitRpt!$A$9,"Trade Month",C865,"Trade Year",B865))</f>
        <v/>
      </c>
      <c r="I865" s="42" t="str">
        <f t="shared" si="92"/>
        <v/>
      </c>
      <c r="J865" s="43" t="str">
        <f t="shared" si="93"/>
        <v/>
      </c>
      <c r="K865" s="44" t="str">
        <f t="shared" si="94"/>
        <v/>
      </c>
      <c r="L865" s="44" t="str">
        <f t="shared" si="95"/>
        <v/>
      </c>
    </row>
    <row r="866" spans="1:12">
      <c r="A866" s="1" t="str">
        <f t="shared" si="96"/>
        <v/>
      </c>
      <c r="F866" s="42" t="str">
        <f t="shared" si="91"/>
        <v/>
      </c>
      <c r="G866" s="42" t="str">
        <f t="shared" si="97"/>
        <v/>
      </c>
      <c r="H866" s="43" t="str">
        <f>IF(C866="","",GETPIVOTDATA("WinPips",ProfitRpt!$A$9,"Trade Month",C866,"Trade Year",B866))</f>
        <v/>
      </c>
      <c r="I866" s="42" t="str">
        <f t="shared" si="92"/>
        <v/>
      </c>
      <c r="J866" s="43" t="str">
        <f t="shared" si="93"/>
        <v/>
      </c>
      <c r="K866" s="44" t="str">
        <f t="shared" si="94"/>
        <v/>
      </c>
      <c r="L866" s="44" t="str">
        <f t="shared" si="95"/>
        <v/>
      </c>
    </row>
    <row r="867" spans="1:12">
      <c r="A867" s="1" t="str">
        <f t="shared" si="96"/>
        <v/>
      </c>
      <c r="F867" s="42" t="str">
        <f t="shared" si="91"/>
        <v/>
      </c>
      <c r="G867" s="42" t="str">
        <f t="shared" si="97"/>
        <v/>
      </c>
      <c r="H867" s="43" t="str">
        <f>IF(C867="","",GETPIVOTDATA("WinPips",ProfitRpt!$A$9,"Trade Month",C867,"Trade Year",B867))</f>
        <v/>
      </c>
      <c r="I867" s="42" t="str">
        <f t="shared" si="92"/>
        <v/>
      </c>
      <c r="J867" s="43" t="str">
        <f t="shared" si="93"/>
        <v/>
      </c>
      <c r="K867" s="44" t="str">
        <f t="shared" si="94"/>
        <v/>
      </c>
      <c r="L867" s="44" t="str">
        <f t="shared" si="95"/>
        <v/>
      </c>
    </row>
    <row r="868" spans="1:12">
      <c r="A868" s="1" t="str">
        <f t="shared" si="96"/>
        <v/>
      </c>
      <c r="F868" s="42" t="str">
        <f t="shared" si="91"/>
        <v/>
      </c>
      <c r="G868" s="42" t="str">
        <f t="shared" si="97"/>
        <v/>
      </c>
      <c r="H868" s="43" t="str">
        <f>IF(C868="","",GETPIVOTDATA("WinPips",ProfitRpt!$A$9,"Trade Month",C868,"Trade Year",B868))</f>
        <v/>
      </c>
      <c r="I868" s="42" t="str">
        <f t="shared" si="92"/>
        <v/>
      </c>
      <c r="J868" s="43" t="str">
        <f t="shared" si="93"/>
        <v/>
      </c>
      <c r="K868" s="44" t="str">
        <f t="shared" si="94"/>
        <v/>
      </c>
      <c r="L868" s="44" t="str">
        <f t="shared" si="95"/>
        <v/>
      </c>
    </row>
    <row r="869" spans="1:12">
      <c r="A869" s="1" t="str">
        <f t="shared" si="96"/>
        <v/>
      </c>
      <c r="F869" s="42" t="str">
        <f t="shared" si="91"/>
        <v/>
      </c>
      <c r="G869" s="42" t="str">
        <f t="shared" si="97"/>
        <v/>
      </c>
      <c r="H869" s="43" t="str">
        <f>IF(C869="","",GETPIVOTDATA("WinPips",ProfitRpt!$A$9,"Trade Month",C869,"Trade Year",B869))</f>
        <v/>
      </c>
      <c r="I869" s="42" t="str">
        <f t="shared" si="92"/>
        <v/>
      </c>
      <c r="J869" s="43" t="str">
        <f t="shared" si="93"/>
        <v/>
      </c>
      <c r="K869" s="44" t="str">
        <f t="shared" si="94"/>
        <v/>
      </c>
      <c r="L869" s="44" t="str">
        <f t="shared" si="95"/>
        <v/>
      </c>
    </row>
    <row r="870" spans="1:12">
      <c r="A870" s="1" t="str">
        <f t="shared" si="96"/>
        <v/>
      </c>
      <c r="F870" s="42" t="str">
        <f t="shared" si="91"/>
        <v/>
      </c>
      <c r="G870" s="42" t="str">
        <f t="shared" si="97"/>
        <v/>
      </c>
      <c r="H870" s="43" t="str">
        <f>IF(C870="","",GETPIVOTDATA("WinPips",ProfitRpt!$A$9,"Trade Month",C870,"Trade Year",B870))</f>
        <v/>
      </c>
      <c r="I870" s="42" t="str">
        <f t="shared" si="92"/>
        <v/>
      </c>
      <c r="J870" s="43" t="str">
        <f t="shared" si="93"/>
        <v/>
      </c>
      <c r="K870" s="44" t="str">
        <f t="shared" si="94"/>
        <v/>
      </c>
      <c r="L870" s="44" t="str">
        <f t="shared" si="95"/>
        <v/>
      </c>
    </row>
    <row r="871" spans="1:12">
      <c r="A871" s="1" t="str">
        <f t="shared" si="96"/>
        <v/>
      </c>
      <c r="F871" s="42" t="str">
        <f t="shared" si="91"/>
        <v/>
      </c>
      <c r="G871" s="42" t="str">
        <f t="shared" si="97"/>
        <v/>
      </c>
      <c r="H871" s="43" t="str">
        <f>IF(C871="","",GETPIVOTDATA("WinPips",ProfitRpt!$A$9,"Trade Month",C871,"Trade Year",B871))</f>
        <v/>
      </c>
      <c r="I871" s="42" t="str">
        <f t="shared" si="92"/>
        <v/>
      </c>
      <c r="J871" s="43" t="str">
        <f t="shared" si="93"/>
        <v/>
      </c>
      <c r="K871" s="44" t="str">
        <f t="shared" si="94"/>
        <v/>
      </c>
      <c r="L871" s="44" t="str">
        <f t="shared" si="95"/>
        <v/>
      </c>
    </row>
    <row r="872" spans="1:12">
      <c r="A872" s="1" t="str">
        <f t="shared" si="96"/>
        <v/>
      </c>
      <c r="F872" s="42" t="str">
        <f t="shared" si="91"/>
        <v/>
      </c>
      <c r="G872" s="42" t="str">
        <f t="shared" si="97"/>
        <v/>
      </c>
      <c r="H872" s="43" t="str">
        <f>IF(C872="","",GETPIVOTDATA("WinPips",ProfitRpt!$A$9,"Trade Month",C872,"Trade Year",B872))</f>
        <v/>
      </c>
      <c r="I872" s="42" t="str">
        <f t="shared" si="92"/>
        <v/>
      </c>
      <c r="J872" s="43" t="str">
        <f t="shared" si="93"/>
        <v/>
      </c>
      <c r="K872" s="44" t="str">
        <f t="shared" si="94"/>
        <v/>
      </c>
      <c r="L872" s="44" t="str">
        <f t="shared" si="95"/>
        <v/>
      </c>
    </row>
    <row r="873" spans="1:12">
      <c r="A873" s="1" t="str">
        <f t="shared" si="96"/>
        <v/>
      </c>
      <c r="F873" s="42" t="str">
        <f t="shared" si="91"/>
        <v/>
      </c>
      <c r="G873" s="42" t="str">
        <f t="shared" si="97"/>
        <v/>
      </c>
      <c r="H873" s="43" t="str">
        <f>IF(C873="","",GETPIVOTDATA("WinPips",ProfitRpt!$A$9,"Trade Month",C873,"Trade Year",B873))</f>
        <v/>
      </c>
      <c r="I873" s="42" t="str">
        <f t="shared" si="92"/>
        <v/>
      </c>
      <c r="J873" s="43" t="str">
        <f t="shared" si="93"/>
        <v/>
      </c>
      <c r="K873" s="44" t="str">
        <f t="shared" si="94"/>
        <v/>
      </c>
      <c r="L873" s="44" t="str">
        <f t="shared" si="95"/>
        <v/>
      </c>
    </row>
    <row r="874" spans="1:12">
      <c r="A874" s="1" t="str">
        <f t="shared" si="96"/>
        <v/>
      </c>
      <c r="F874" s="42" t="str">
        <f t="shared" si="91"/>
        <v/>
      </c>
      <c r="G874" s="42" t="str">
        <f t="shared" si="97"/>
        <v/>
      </c>
      <c r="H874" s="43" t="str">
        <f>IF(C874="","",GETPIVOTDATA("WinPips",ProfitRpt!$A$9,"Trade Month",C874,"Trade Year",B874))</f>
        <v/>
      </c>
      <c r="I874" s="42" t="str">
        <f t="shared" si="92"/>
        <v/>
      </c>
      <c r="J874" s="43" t="str">
        <f t="shared" si="93"/>
        <v/>
      </c>
      <c r="K874" s="44" t="str">
        <f t="shared" si="94"/>
        <v/>
      </c>
      <c r="L874" s="44" t="str">
        <f t="shared" si="95"/>
        <v/>
      </c>
    </row>
    <row r="875" spans="1:12">
      <c r="A875" s="1" t="str">
        <f t="shared" si="96"/>
        <v/>
      </c>
      <c r="F875" s="42" t="str">
        <f t="shared" si="91"/>
        <v/>
      </c>
      <c r="G875" s="42" t="str">
        <f t="shared" si="97"/>
        <v/>
      </c>
      <c r="H875" s="43" t="str">
        <f>IF(C875="","",GETPIVOTDATA("WinPips",ProfitRpt!$A$9,"Trade Month",C875,"Trade Year",B875))</f>
        <v/>
      </c>
      <c r="I875" s="42" t="str">
        <f t="shared" si="92"/>
        <v/>
      </c>
      <c r="J875" s="43" t="str">
        <f t="shared" si="93"/>
        <v/>
      </c>
      <c r="K875" s="44" t="str">
        <f t="shared" si="94"/>
        <v/>
      </c>
      <c r="L875" s="44" t="str">
        <f t="shared" si="95"/>
        <v/>
      </c>
    </row>
    <row r="876" spans="1:12">
      <c r="A876" s="1" t="str">
        <f t="shared" si="96"/>
        <v/>
      </c>
      <c r="F876" s="42" t="str">
        <f t="shared" si="91"/>
        <v/>
      </c>
      <c r="G876" s="42" t="str">
        <f t="shared" si="97"/>
        <v/>
      </c>
      <c r="H876" s="43" t="str">
        <f>IF(C876="","",GETPIVOTDATA("WinPips",ProfitRpt!$A$9,"Trade Month",C876,"Trade Year",B876))</f>
        <v/>
      </c>
      <c r="I876" s="42" t="str">
        <f t="shared" si="92"/>
        <v/>
      </c>
      <c r="J876" s="43" t="str">
        <f t="shared" si="93"/>
        <v/>
      </c>
      <c r="K876" s="44" t="str">
        <f t="shared" si="94"/>
        <v/>
      </c>
      <c r="L876" s="44" t="str">
        <f t="shared" si="95"/>
        <v/>
      </c>
    </row>
    <row r="877" spans="1:12">
      <c r="A877" s="1" t="str">
        <f t="shared" si="96"/>
        <v/>
      </c>
      <c r="F877" s="42" t="str">
        <f t="shared" si="91"/>
        <v/>
      </c>
      <c r="G877" s="42" t="str">
        <f t="shared" si="97"/>
        <v/>
      </c>
      <c r="H877" s="43" t="str">
        <f>IF(C877="","",GETPIVOTDATA("WinPips",ProfitRpt!$A$9,"Trade Month",C877,"Trade Year",B877))</f>
        <v/>
      </c>
      <c r="I877" s="42" t="str">
        <f t="shared" si="92"/>
        <v/>
      </c>
      <c r="J877" s="43" t="str">
        <f t="shared" si="93"/>
        <v/>
      </c>
      <c r="K877" s="44" t="str">
        <f t="shared" si="94"/>
        <v/>
      </c>
      <c r="L877" s="44" t="str">
        <f t="shared" si="95"/>
        <v/>
      </c>
    </row>
    <row r="878" spans="1:12">
      <c r="A878" s="1" t="str">
        <f t="shared" si="96"/>
        <v/>
      </c>
      <c r="F878" s="42" t="str">
        <f t="shared" si="91"/>
        <v/>
      </c>
      <c r="G878" s="42" t="str">
        <f t="shared" si="97"/>
        <v/>
      </c>
      <c r="H878" s="43" t="str">
        <f>IF(C878="","",GETPIVOTDATA("WinPips",ProfitRpt!$A$9,"Trade Month",C878,"Trade Year",B878))</f>
        <v/>
      </c>
      <c r="I878" s="42" t="str">
        <f t="shared" si="92"/>
        <v/>
      </c>
      <c r="J878" s="43" t="str">
        <f t="shared" si="93"/>
        <v/>
      </c>
      <c r="K878" s="44" t="str">
        <f t="shared" si="94"/>
        <v/>
      </c>
      <c r="L878" s="44" t="str">
        <f t="shared" si="95"/>
        <v/>
      </c>
    </row>
    <row r="879" spans="1:12">
      <c r="A879" s="1" t="str">
        <f t="shared" si="96"/>
        <v/>
      </c>
      <c r="F879" s="42" t="str">
        <f t="shared" si="91"/>
        <v/>
      </c>
      <c r="G879" s="42" t="str">
        <f t="shared" si="97"/>
        <v/>
      </c>
      <c r="H879" s="43" t="str">
        <f>IF(C879="","",GETPIVOTDATA("WinPips",ProfitRpt!$A$9,"Trade Month",C879,"Trade Year",B879))</f>
        <v/>
      </c>
      <c r="I879" s="42" t="str">
        <f t="shared" si="92"/>
        <v/>
      </c>
      <c r="J879" s="43" t="str">
        <f t="shared" si="93"/>
        <v/>
      </c>
      <c r="K879" s="44" t="str">
        <f t="shared" si="94"/>
        <v/>
      </c>
      <c r="L879" s="44" t="str">
        <f t="shared" si="95"/>
        <v/>
      </c>
    </row>
    <row r="880" spans="1:12">
      <c r="A880" s="1" t="str">
        <f t="shared" si="96"/>
        <v/>
      </c>
      <c r="F880" s="42" t="str">
        <f t="shared" si="91"/>
        <v/>
      </c>
      <c r="G880" s="42" t="str">
        <f t="shared" si="97"/>
        <v/>
      </c>
      <c r="H880" s="43" t="str">
        <f>IF(C880="","",GETPIVOTDATA("WinPips",ProfitRpt!$A$9,"Trade Month",C880,"Trade Year",B880))</f>
        <v/>
      </c>
      <c r="I880" s="42" t="str">
        <f t="shared" si="92"/>
        <v/>
      </c>
      <c r="J880" s="43" t="str">
        <f t="shared" si="93"/>
        <v/>
      </c>
      <c r="K880" s="44" t="str">
        <f t="shared" si="94"/>
        <v/>
      </c>
      <c r="L880" s="44" t="str">
        <f t="shared" si="95"/>
        <v/>
      </c>
    </row>
    <row r="881" spans="1:12">
      <c r="A881" s="1" t="str">
        <f t="shared" si="96"/>
        <v/>
      </c>
      <c r="F881" s="42" t="str">
        <f t="shared" si="91"/>
        <v/>
      </c>
      <c r="G881" s="42" t="str">
        <f t="shared" si="97"/>
        <v/>
      </c>
      <c r="H881" s="43" t="str">
        <f>IF(C881="","",GETPIVOTDATA("WinPips",ProfitRpt!$A$9,"Trade Month",C881,"Trade Year",B881))</f>
        <v/>
      </c>
      <c r="I881" s="42" t="str">
        <f t="shared" si="92"/>
        <v/>
      </c>
      <c r="J881" s="43" t="str">
        <f t="shared" si="93"/>
        <v/>
      </c>
      <c r="K881" s="44" t="str">
        <f t="shared" si="94"/>
        <v/>
      </c>
      <c r="L881" s="44" t="str">
        <f t="shared" si="95"/>
        <v/>
      </c>
    </row>
    <row r="882" spans="1:12">
      <c r="A882" s="1" t="str">
        <f t="shared" si="96"/>
        <v/>
      </c>
      <c r="F882" s="42" t="str">
        <f t="shared" si="91"/>
        <v/>
      </c>
      <c r="G882" s="42" t="str">
        <f t="shared" si="97"/>
        <v/>
      </c>
      <c r="H882" s="43" t="str">
        <f>IF(C882="","",GETPIVOTDATA("WinPips",ProfitRpt!$A$9,"Trade Month",C882,"Trade Year",B882))</f>
        <v/>
      </c>
      <c r="I882" s="42" t="str">
        <f t="shared" si="92"/>
        <v/>
      </c>
      <c r="J882" s="43" t="str">
        <f t="shared" si="93"/>
        <v/>
      </c>
      <c r="K882" s="44" t="str">
        <f t="shared" si="94"/>
        <v/>
      </c>
      <c r="L882" s="44" t="str">
        <f t="shared" si="95"/>
        <v/>
      </c>
    </row>
    <row r="883" spans="1:12">
      <c r="A883" s="1" t="str">
        <f t="shared" si="96"/>
        <v/>
      </c>
      <c r="F883" s="42" t="str">
        <f t="shared" si="91"/>
        <v/>
      </c>
      <c r="G883" s="42" t="str">
        <f t="shared" si="97"/>
        <v/>
      </c>
      <c r="H883" s="43" t="str">
        <f>IF(C883="","",GETPIVOTDATA("WinPips",ProfitRpt!$A$9,"Trade Month",C883,"Trade Year",B883))</f>
        <v/>
      </c>
      <c r="I883" s="42" t="str">
        <f t="shared" si="92"/>
        <v/>
      </c>
      <c r="J883" s="43" t="str">
        <f t="shared" si="93"/>
        <v/>
      </c>
      <c r="K883" s="44" t="str">
        <f t="shared" si="94"/>
        <v/>
      </c>
      <c r="L883" s="44" t="str">
        <f t="shared" si="95"/>
        <v/>
      </c>
    </row>
    <row r="884" spans="1:12">
      <c r="A884" s="1" t="str">
        <f t="shared" si="96"/>
        <v/>
      </c>
      <c r="F884" s="42" t="str">
        <f t="shared" si="91"/>
        <v/>
      </c>
      <c r="G884" s="42" t="str">
        <f t="shared" si="97"/>
        <v/>
      </c>
      <c r="H884" s="43" t="str">
        <f>IF(C884="","",GETPIVOTDATA("WinPips",ProfitRpt!$A$9,"Trade Month",C884,"Trade Year",B884))</f>
        <v/>
      </c>
      <c r="I884" s="42" t="str">
        <f t="shared" si="92"/>
        <v/>
      </c>
      <c r="J884" s="43" t="str">
        <f t="shared" si="93"/>
        <v/>
      </c>
      <c r="K884" s="44" t="str">
        <f t="shared" si="94"/>
        <v/>
      </c>
      <c r="L884" s="44" t="str">
        <f t="shared" si="95"/>
        <v/>
      </c>
    </row>
    <row r="885" spans="1:12">
      <c r="A885" s="1" t="str">
        <f t="shared" si="96"/>
        <v/>
      </c>
      <c r="F885" s="42" t="str">
        <f t="shared" si="91"/>
        <v/>
      </c>
      <c r="G885" s="42" t="str">
        <f t="shared" si="97"/>
        <v/>
      </c>
      <c r="H885" s="43" t="str">
        <f>IF(C885="","",GETPIVOTDATA("WinPips",ProfitRpt!$A$9,"Trade Month",C885,"Trade Year",B885))</f>
        <v/>
      </c>
      <c r="I885" s="42" t="str">
        <f t="shared" si="92"/>
        <v/>
      </c>
      <c r="J885" s="43" t="str">
        <f t="shared" si="93"/>
        <v/>
      </c>
      <c r="K885" s="44" t="str">
        <f t="shared" si="94"/>
        <v/>
      </c>
      <c r="L885" s="44" t="str">
        <f t="shared" si="95"/>
        <v/>
      </c>
    </row>
    <row r="886" spans="1:12">
      <c r="A886" s="1" t="str">
        <f t="shared" si="96"/>
        <v/>
      </c>
      <c r="F886" s="42" t="str">
        <f t="shared" si="91"/>
        <v/>
      </c>
      <c r="G886" s="42" t="str">
        <f t="shared" si="97"/>
        <v/>
      </c>
      <c r="H886" s="43" t="str">
        <f>IF(C886="","",GETPIVOTDATA("WinPips",ProfitRpt!$A$9,"Trade Month",C886,"Trade Year",B886))</f>
        <v/>
      </c>
      <c r="I886" s="42" t="str">
        <f t="shared" si="92"/>
        <v/>
      </c>
      <c r="J886" s="43" t="str">
        <f t="shared" si="93"/>
        <v/>
      </c>
      <c r="K886" s="44" t="str">
        <f t="shared" si="94"/>
        <v/>
      </c>
      <c r="L886" s="44" t="str">
        <f t="shared" si="95"/>
        <v/>
      </c>
    </row>
    <row r="887" spans="1:12">
      <c r="A887" s="1" t="str">
        <f t="shared" si="96"/>
        <v/>
      </c>
      <c r="F887" s="42" t="str">
        <f t="shared" si="91"/>
        <v/>
      </c>
      <c r="G887" s="42" t="str">
        <f t="shared" si="97"/>
        <v/>
      </c>
      <c r="H887" s="43" t="str">
        <f>IF(C887="","",GETPIVOTDATA("WinPips",ProfitRpt!$A$9,"Trade Month",C887,"Trade Year",B887))</f>
        <v/>
      </c>
      <c r="I887" s="42" t="str">
        <f t="shared" si="92"/>
        <v/>
      </c>
      <c r="J887" s="43" t="str">
        <f t="shared" si="93"/>
        <v/>
      </c>
      <c r="K887" s="44" t="str">
        <f t="shared" si="94"/>
        <v/>
      </c>
      <c r="L887" s="44" t="str">
        <f t="shared" si="95"/>
        <v/>
      </c>
    </row>
    <row r="888" spans="1:12">
      <c r="A888" s="1" t="str">
        <f t="shared" si="96"/>
        <v/>
      </c>
      <c r="F888" s="42" t="str">
        <f t="shared" si="91"/>
        <v/>
      </c>
      <c r="G888" s="42" t="str">
        <f t="shared" si="97"/>
        <v/>
      </c>
      <c r="H888" s="43" t="str">
        <f>IF(C888="","",GETPIVOTDATA("WinPips",ProfitRpt!$A$9,"Trade Month",C888,"Trade Year",B888))</f>
        <v/>
      </c>
      <c r="I888" s="42" t="str">
        <f t="shared" si="92"/>
        <v/>
      </c>
      <c r="J888" s="43" t="str">
        <f t="shared" si="93"/>
        <v/>
      </c>
      <c r="K888" s="44" t="str">
        <f t="shared" si="94"/>
        <v/>
      </c>
      <c r="L888" s="44" t="str">
        <f t="shared" si="95"/>
        <v/>
      </c>
    </row>
    <row r="889" spans="1:12">
      <c r="A889" s="1" t="str">
        <f t="shared" si="96"/>
        <v/>
      </c>
      <c r="F889" s="42" t="str">
        <f t="shared" si="91"/>
        <v/>
      </c>
      <c r="G889" s="42" t="str">
        <f t="shared" si="97"/>
        <v/>
      </c>
      <c r="H889" s="43" t="str">
        <f>IF(C889="","",GETPIVOTDATA("WinPips",ProfitRpt!$A$9,"Trade Month",C889,"Trade Year",B889))</f>
        <v/>
      </c>
      <c r="I889" s="42" t="str">
        <f t="shared" si="92"/>
        <v/>
      </c>
      <c r="J889" s="43" t="str">
        <f t="shared" si="93"/>
        <v/>
      </c>
      <c r="K889" s="44" t="str">
        <f t="shared" si="94"/>
        <v/>
      </c>
      <c r="L889" s="44" t="str">
        <f t="shared" si="95"/>
        <v/>
      </c>
    </row>
    <row r="890" spans="1:12">
      <c r="A890" s="1" t="str">
        <f t="shared" si="96"/>
        <v/>
      </c>
      <c r="F890" s="42" t="str">
        <f t="shared" si="91"/>
        <v/>
      </c>
      <c r="G890" s="42" t="str">
        <f t="shared" si="97"/>
        <v/>
      </c>
      <c r="H890" s="43" t="str">
        <f>IF(C890="","",GETPIVOTDATA("WinPips",ProfitRpt!$A$9,"Trade Month",C890,"Trade Year",B890))</f>
        <v/>
      </c>
      <c r="I890" s="42" t="str">
        <f t="shared" si="92"/>
        <v/>
      </c>
      <c r="J890" s="43" t="str">
        <f t="shared" si="93"/>
        <v/>
      </c>
      <c r="K890" s="44" t="str">
        <f t="shared" si="94"/>
        <v/>
      </c>
      <c r="L890" s="44" t="str">
        <f t="shared" si="95"/>
        <v/>
      </c>
    </row>
    <row r="891" spans="1:12">
      <c r="A891" s="1" t="str">
        <f t="shared" si="96"/>
        <v/>
      </c>
      <c r="F891" s="42" t="str">
        <f t="shared" si="91"/>
        <v/>
      </c>
      <c r="G891" s="42" t="str">
        <f t="shared" si="97"/>
        <v/>
      </c>
      <c r="H891" s="43" t="str">
        <f>IF(C891="","",GETPIVOTDATA("WinPips",ProfitRpt!$A$9,"Trade Month",C891,"Trade Year",B891))</f>
        <v/>
      </c>
      <c r="I891" s="42" t="str">
        <f t="shared" si="92"/>
        <v/>
      </c>
      <c r="J891" s="43" t="str">
        <f t="shared" si="93"/>
        <v/>
      </c>
      <c r="K891" s="44" t="str">
        <f t="shared" si="94"/>
        <v/>
      </c>
      <c r="L891" s="44" t="str">
        <f t="shared" si="95"/>
        <v/>
      </c>
    </row>
    <row r="892" spans="1:12">
      <c r="A892" s="1" t="str">
        <f t="shared" si="96"/>
        <v/>
      </c>
      <c r="F892" s="42" t="str">
        <f t="shared" si="91"/>
        <v/>
      </c>
      <c r="G892" s="42" t="str">
        <f t="shared" si="97"/>
        <v/>
      </c>
      <c r="H892" s="43" t="str">
        <f>IF(C892="","",GETPIVOTDATA("WinPips",ProfitRpt!$A$9,"Trade Month",C892,"Trade Year",B892))</f>
        <v/>
      </c>
      <c r="I892" s="42" t="str">
        <f t="shared" si="92"/>
        <v/>
      </c>
      <c r="J892" s="43" t="str">
        <f t="shared" si="93"/>
        <v/>
      </c>
      <c r="K892" s="44" t="str">
        <f t="shared" si="94"/>
        <v/>
      </c>
      <c r="L892" s="44" t="str">
        <f t="shared" si="95"/>
        <v/>
      </c>
    </row>
    <row r="893" spans="1:12">
      <c r="A893" s="1" t="str">
        <f t="shared" si="96"/>
        <v/>
      </c>
      <c r="F893" s="42" t="str">
        <f t="shared" si="91"/>
        <v/>
      </c>
      <c r="G893" s="42" t="str">
        <f t="shared" si="97"/>
        <v/>
      </c>
      <c r="H893" s="43" t="str">
        <f>IF(C893="","",GETPIVOTDATA("WinPips",ProfitRpt!$A$9,"Trade Month",C893,"Trade Year",B893))</f>
        <v/>
      </c>
      <c r="I893" s="42" t="str">
        <f t="shared" si="92"/>
        <v/>
      </c>
      <c r="J893" s="43" t="str">
        <f t="shared" si="93"/>
        <v/>
      </c>
      <c r="K893" s="44" t="str">
        <f t="shared" si="94"/>
        <v/>
      </c>
      <c r="L893" s="44" t="str">
        <f t="shared" si="95"/>
        <v/>
      </c>
    </row>
    <row r="894" spans="1:12">
      <c r="A894" s="1" t="str">
        <f t="shared" si="96"/>
        <v/>
      </c>
      <c r="F894" s="42" t="str">
        <f t="shared" si="91"/>
        <v/>
      </c>
      <c r="G894" s="42" t="str">
        <f t="shared" si="97"/>
        <v/>
      </c>
      <c r="H894" s="43" t="str">
        <f>IF(C894="","",GETPIVOTDATA("WinPips",ProfitRpt!$A$9,"Trade Month",C894,"Trade Year",B894))</f>
        <v/>
      </c>
      <c r="I894" s="42" t="str">
        <f t="shared" si="92"/>
        <v/>
      </c>
      <c r="J894" s="43" t="str">
        <f t="shared" si="93"/>
        <v/>
      </c>
      <c r="K894" s="44" t="str">
        <f t="shared" si="94"/>
        <v/>
      </c>
      <c r="L894" s="44" t="str">
        <f t="shared" si="95"/>
        <v/>
      </c>
    </row>
    <row r="895" spans="1:12">
      <c r="A895" s="1" t="str">
        <f t="shared" si="96"/>
        <v/>
      </c>
      <c r="F895" s="42" t="str">
        <f t="shared" si="91"/>
        <v/>
      </c>
      <c r="G895" s="42" t="str">
        <f t="shared" si="97"/>
        <v/>
      </c>
      <c r="H895" s="43" t="str">
        <f>IF(C895="","",GETPIVOTDATA("WinPips",ProfitRpt!$A$9,"Trade Month",C895,"Trade Year",B895))</f>
        <v/>
      </c>
      <c r="I895" s="42" t="str">
        <f t="shared" si="92"/>
        <v/>
      </c>
      <c r="J895" s="43" t="str">
        <f t="shared" si="93"/>
        <v/>
      </c>
      <c r="K895" s="44" t="str">
        <f t="shared" si="94"/>
        <v/>
      </c>
      <c r="L895" s="44" t="str">
        <f t="shared" si="95"/>
        <v/>
      </c>
    </row>
    <row r="896" spans="1:12">
      <c r="A896" s="1" t="str">
        <f t="shared" si="96"/>
        <v/>
      </c>
      <c r="F896" s="42" t="str">
        <f t="shared" si="91"/>
        <v/>
      </c>
      <c r="G896" s="42" t="str">
        <f t="shared" si="97"/>
        <v/>
      </c>
      <c r="H896" s="43" t="str">
        <f>IF(C896="","",GETPIVOTDATA("WinPips",ProfitRpt!$A$9,"Trade Month",C896,"Trade Year",B896))</f>
        <v/>
      </c>
      <c r="I896" s="42" t="str">
        <f t="shared" si="92"/>
        <v/>
      </c>
      <c r="J896" s="43" t="str">
        <f t="shared" si="93"/>
        <v/>
      </c>
      <c r="K896" s="44" t="str">
        <f t="shared" si="94"/>
        <v/>
      </c>
      <c r="L896" s="44" t="str">
        <f t="shared" si="95"/>
        <v/>
      </c>
    </row>
    <row r="897" spans="1:12">
      <c r="A897" s="1" t="str">
        <f t="shared" si="96"/>
        <v/>
      </c>
      <c r="F897" s="42" t="str">
        <f t="shared" si="91"/>
        <v/>
      </c>
      <c r="G897" s="42" t="str">
        <f t="shared" si="97"/>
        <v/>
      </c>
      <c r="H897" s="43" t="str">
        <f>IF(C897="","",GETPIVOTDATA("WinPips",ProfitRpt!$A$9,"Trade Month",C897,"Trade Year",B897))</f>
        <v/>
      </c>
      <c r="I897" s="42" t="str">
        <f t="shared" si="92"/>
        <v/>
      </c>
      <c r="J897" s="43" t="str">
        <f t="shared" si="93"/>
        <v/>
      </c>
      <c r="K897" s="44" t="str">
        <f t="shared" si="94"/>
        <v/>
      </c>
      <c r="L897" s="44" t="str">
        <f t="shared" si="95"/>
        <v/>
      </c>
    </row>
    <row r="898" spans="1:12">
      <c r="A898" s="1" t="str">
        <f t="shared" si="96"/>
        <v/>
      </c>
      <c r="F898" s="42" t="str">
        <f t="shared" si="91"/>
        <v/>
      </c>
      <c r="G898" s="42" t="str">
        <f t="shared" si="97"/>
        <v/>
      </c>
      <c r="H898" s="43" t="str">
        <f>IF(C898="","",GETPIVOTDATA("WinPips",ProfitRpt!$A$9,"Trade Month",C898,"Trade Year",B898))</f>
        <v/>
      </c>
      <c r="I898" s="42" t="str">
        <f t="shared" si="92"/>
        <v/>
      </c>
      <c r="J898" s="43" t="str">
        <f t="shared" si="93"/>
        <v/>
      </c>
      <c r="K898" s="44" t="str">
        <f t="shared" si="94"/>
        <v/>
      </c>
      <c r="L898" s="44" t="str">
        <f t="shared" si="95"/>
        <v/>
      </c>
    </row>
    <row r="899" spans="1:12">
      <c r="A899" s="1" t="str">
        <f t="shared" si="96"/>
        <v/>
      </c>
      <c r="F899" s="42" t="str">
        <f t="shared" si="91"/>
        <v/>
      </c>
      <c r="G899" s="42" t="str">
        <f t="shared" si="97"/>
        <v/>
      </c>
      <c r="H899" s="43" t="str">
        <f>IF(C899="","",GETPIVOTDATA("WinPips",ProfitRpt!$A$9,"Trade Month",C899,"Trade Year",B899))</f>
        <v/>
      </c>
      <c r="I899" s="42" t="str">
        <f t="shared" si="92"/>
        <v/>
      </c>
      <c r="J899" s="43" t="str">
        <f t="shared" si="93"/>
        <v/>
      </c>
      <c r="K899" s="44" t="str">
        <f t="shared" si="94"/>
        <v/>
      </c>
      <c r="L899" s="44" t="str">
        <f t="shared" si="95"/>
        <v/>
      </c>
    </row>
    <row r="900" spans="1:12">
      <c r="A900" s="1" t="str">
        <f t="shared" si="96"/>
        <v/>
      </c>
      <c r="F900" s="42" t="str">
        <f t="shared" si="91"/>
        <v/>
      </c>
      <c r="G900" s="42" t="str">
        <f t="shared" si="97"/>
        <v/>
      </c>
      <c r="H900" s="43" t="str">
        <f>IF(C900="","",GETPIVOTDATA("WinPips",ProfitRpt!$A$9,"Trade Month",C900,"Trade Year",B900))</f>
        <v/>
      </c>
      <c r="I900" s="42" t="str">
        <f t="shared" si="92"/>
        <v/>
      </c>
      <c r="J900" s="43" t="str">
        <f t="shared" si="93"/>
        <v/>
      </c>
      <c r="K900" s="44" t="str">
        <f t="shared" si="94"/>
        <v/>
      </c>
      <c r="L900" s="44" t="str">
        <f t="shared" si="95"/>
        <v/>
      </c>
    </row>
    <row r="901" spans="1:12">
      <c r="A901" s="1" t="str">
        <f t="shared" si="96"/>
        <v/>
      </c>
      <c r="F901" s="42" t="str">
        <f t="shared" si="91"/>
        <v/>
      </c>
      <c r="G901" s="42" t="str">
        <f t="shared" si="97"/>
        <v/>
      </c>
      <c r="H901" s="43" t="str">
        <f>IF(C901="","",GETPIVOTDATA("WinPips",ProfitRpt!$A$9,"Trade Month",C901,"Trade Year",B901))</f>
        <v/>
      </c>
      <c r="I901" s="42" t="str">
        <f t="shared" si="92"/>
        <v/>
      </c>
      <c r="J901" s="43" t="str">
        <f t="shared" si="93"/>
        <v/>
      </c>
      <c r="K901" s="44" t="str">
        <f t="shared" si="94"/>
        <v/>
      </c>
      <c r="L901" s="44" t="str">
        <f t="shared" si="95"/>
        <v/>
      </c>
    </row>
    <row r="902" spans="1:12">
      <c r="A902" s="1" t="str">
        <f t="shared" si="96"/>
        <v/>
      </c>
      <c r="F902" s="42" t="str">
        <f t="shared" si="91"/>
        <v/>
      </c>
      <c r="G902" s="42" t="str">
        <f t="shared" si="97"/>
        <v/>
      </c>
      <c r="H902" s="43" t="str">
        <f>IF(C902="","",GETPIVOTDATA("WinPips",ProfitRpt!$A$9,"Trade Month",C902,"Trade Year",B902))</f>
        <v/>
      </c>
      <c r="I902" s="42" t="str">
        <f t="shared" si="92"/>
        <v/>
      </c>
      <c r="J902" s="43" t="str">
        <f t="shared" si="93"/>
        <v/>
      </c>
      <c r="K902" s="44" t="str">
        <f t="shared" si="94"/>
        <v/>
      </c>
      <c r="L902" s="44" t="str">
        <f t="shared" si="95"/>
        <v/>
      </c>
    </row>
    <row r="903" spans="1:12">
      <c r="A903" s="1" t="str">
        <f t="shared" si="96"/>
        <v/>
      </c>
      <c r="F903" s="42" t="str">
        <f t="shared" ref="F903:F966" si="98">IF(G903="","",E903+G903)</f>
        <v/>
      </c>
      <c r="G903" s="42" t="str">
        <f t="shared" si="97"/>
        <v/>
      </c>
      <c r="H903" s="43" t="str">
        <f>IF(C903="","",GETPIVOTDATA("WinPips",ProfitRpt!$A$9,"Trade Month",C903,"Trade Year",B903))</f>
        <v/>
      </c>
      <c r="I903" s="42" t="str">
        <f t="shared" ref="I903:I966" si="99">IF(B903="","",IF(B903=B902,I902+G903,G903))</f>
        <v/>
      </c>
      <c r="J903" s="43" t="str">
        <f t="shared" ref="J903:J966" si="100">IF(B903="","",IF(B902=B903,J902+H903,H903))</f>
        <v/>
      </c>
      <c r="K903" s="44" t="str">
        <f t="shared" ref="K903:K966" si="101">IF(F903="","",IF(E903="","",(F903-E903)/E903))</f>
        <v/>
      </c>
      <c r="L903" s="44" t="str">
        <f t="shared" ref="L903:L966" si="102">IF(I903="","",IF(D903="","",I903/D903) )</f>
        <v/>
      </c>
    </row>
    <row r="904" spans="1:12">
      <c r="A904" s="1" t="str">
        <f t="shared" ref="A904:A967" si="103">IF(C904="","",A903+1)</f>
        <v/>
      </c>
      <c r="F904" s="42" t="str">
        <f t="shared" si="98"/>
        <v/>
      </c>
      <c r="G904" s="42" t="str">
        <f t="shared" ref="G904:G967" si="104">IF(C904="","",H904/10)</f>
        <v/>
      </c>
      <c r="H904" s="43" t="str">
        <f>IF(C904="","",GETPIVOTDATA("WinPips",ProfitRpt!$A$9,"Trade Month",C904,"Trade Year",B904))</f>
        <v/>
      </c>
      <c r="I904" s="42" t="str">
        <f t="shared" si="99"/>
        <v/>
      </c>
      <c r="J904" s="43" t="str">
        <f t="shared" si="100"/>
        <v/>
      </c>
      <c r="K904" s="44" t="str">
        <f t="shared" si="101"/>
        <v/>
      </c>
      <c r="L904" s="44" t="str">
        <f t="shared" si="102"/>
        <v/>
      </c>
    </row>
    <row r="905" spans="1:12">
      <c r="A905" s="1" t="str">
        <f t="shared" si="103"/>
        <v/>
      </c>
      <c r="F905" s="42" t="str">
        <f t="shared" si="98"/>
        <v/>
      </c>
      <c r="G905" s="42" t="str">
        <f t="shared" si="104"/>
        <v/>
      </c>
      <c r="H905" s="43" t="str">
        <f>IF(C905="","",GETPIVOTDATA("WinPips",ProfitRpt!$A$9,"Trade Month",C905,"Trade Year",B905))</f>
        <v/>
      </c>
      <c r="I905" s="42" t="str">
        <f t="shared" si="99"/>
        <v/>
      </c>
      <c r="J905" s="43" t="str">
        <f t="shared" si="100"/>
        <v/>
      </c>
      <c r="K905" s="44" t="str">
        <f t="shared" si="101"/>
        <v/>
      </c>
      <c r="L905" s="44" t="str">
        <f t="shared" si="102"/>
        <v/>
      </c>
    </row>
    <row r="906" spans="1:12">
      <c r="A906" s="1" t="str">
        <f t="shared" si="103"/>
        <v/>
      </c>
      <c r="F906" s="42" t="str">
        <f t="shared" si="98"/>
        <v/>
      </c>
      <c r="G906" s="42" t="str">
        <f t="shared" si="104"/>
        <v/>
      </c>
      <c r="H906" s="43" t="str">
        <f>IF(C906="","",GETPIVOTDATA("WinPips",ProfitRpt!$A$9,"Trade Month",C906,"Trade Year",B906))</f>
        <v/>
      </c>
      <c r="I906" s="42" t="str">
        <f t="shared" si="99"/>
        <v/>
      </c>
      <c r="J906" s="43" t="str">
        <f t="shared" si="100"/>
        <v/>
      </c>
      <c r="K906" s="44" t="str">
        <f t="shared" si="101"/>
        <v/>
      </c>
      <c r="L906" s="44" t="str">
        <f t="shared" si="102"/>
        <v/>
      </c>
    </row>
    <row r="907" spans="1:12">
      <c r="A907" s="1" t="str">
        <f t="shared" si="103"/>
        <v/>
      </c>
      <c r="F907" s="42" t="str">
        <f t="shared" si="98"/>
        <v/>
      </c>
      <c r="G907" s="42" t="str">
        <f t="shared" si="104"/>
        <v/>
      </c>
      <c r="H907" s="43" t="str">
        <f>IF(C907="","",GETPIVOTDATA("WinPips",ProfitRpt!$A$9,"Trade Month",C907,"Trade Year",B907))</f>
        <v/>
      </c>
      <c r="I907" s="42" t="str">
        <f t="shared" si="99"/>
        <v/>
      </c>
      <c r="J907" s="43" t="str">
        <f t="shared" si="100"/>
        <v/>
      </c>
      <c r="K907" s="44" t="str">
        <f t="shared" si="101"/>
        <v/>
      </c>
      <c r="L907" s="44" t="str">
        <f t="shared" si="102"/>
        <v/>
      </c>
    </row>
    <row r="908" spans="1:12">
      <c r="A908" s="1" t="str">
        <f t="shared" si="103"/>
        <v/>
      </c>
      <c r="F908" s="42" t="str">
        <f t="shared" si="98"/>
        <v/>
      </c>
      <c r="G908" s="42" t="str">
        <f t="shared" si="104"/>
        <v/>
      </c>
      <c r="H908" s="43" t="str">
        <f>IF(C908="","",GETPIVOTDATA("WinPips",ProfitRpt!$A$9,"Trade Month",C908,"Trade Year",B908))</f>
        <v/>
      </c>
      <c r="I908" s="42" t="str">
        <f t="shared" si="99"/>
        <v/>
      </c>
      <c r="J908" s="43" t="str">
        <f t="shared" si="100"/>
        <v/>
      </c>
      <c r="K908" s="44" t="str">
        <f t="shared" si="101"/>
        <v/>
      </c>
      <c r="L908" s="44" t="str">
        <f t="shared" si="102"/>
        <v/>
      </c>
    </row>
    <row r="909" spans="1:12">
      <c r="A909" s="1" t="str">
        <f t="shared" si="103"/>
        <v/>
      </c>
      <c r="F909" s="42" t="str">
        <f t="shared" si="98"/>
        <v/>
      </c>
      <c r="G909" s="42" t="str">
        <f t="shared" si="104"/>
        <v/>
      </c>
      <c r="H909" s="43" t="str">
        <f>IF(C909="","",GETPIVOTDATA("WinPips",ProfitRpt!$A$9,"Trade Month",C909,"Trade Year",B909))</f>
        <v/>
      </c>
      <c r="I909" s="42" t="str">
        <f t="shared" si="99"/>
        <v/>
      </c>
      <c r="J909" s="43" t="str">
        <f t="shared" si="100"/>
        <v/>
      </c>
      <c r="K909" s="44" t="str">
        <f t="shared" si="101"/>
        <v/>
      </c>
      <c r="L909" s="44" t="str">
        <f t="shared" si="102"/>
        <v/>
      </c>
    </row>
    <row r="910" spans="1:12">
      <c r="A910" s="1" t="str">
        <f t="shared" si="103"/>
        <v/>
      </c>
      <c r="F910" s="42" t="str">
        <f t="shared" si="98"/>
        <v/>
      </c>
      <c r="G910" s="42" t="str">
        <f t="shared" si="104"/>
        <v/>
      </c>
      <c r="H910" s="43" t="str">
        <f>IF(C910="","",GETPIVOTDATA("WinPips",ProfitRpt!$A$9,"Trade Month",C910,"Trade Year",B910))</f>
        <v/>
      </c>
      <c r="I910" s="42" t="str">
        <f t="shared" si="99"/>
        <v/>
      </c>
      <c r="J910" s="43" t="str">
        <f t="shared" si="100"/>
        <v/>
      </c>
      <c r="K910" s="44" t="str">
        <f t="shared" si="101"/>
        <v/>
      </c>
      <c r="L910" s="44" t="str">
        <f t="shared" si="102"/>
        <v/>
      </c>
    </row>
    <row r="911" spans="1:12">
      <c r="A911" s="1" t="str">
        <f t="shared" si="103"/>
        <v/>
      </c>
      <c r="F911" s="42" t="str">
        <f t="shared" si="98"/>
        <v/>
      </c>
      <c r="G911" s="42" t="str">
        <f t="shared" si="104"/>
        <v/>
      </c>
      <c r="H911" s="43" t="str">
        <f>IF(C911="","",GETPIVOTDATA("WinPips",ProfitRpt!$A$9,"Trade Month",C911,"Trade Year",B911))</f>
        <v/>
      </c>
      <c r="I911" s="42" t="str">
        <f t="shared" si="99"/>
        <v/>
      </c>
      <c r="J911" s="43" t="str">
        <f t="shared" si="100"/>
        <v/>
      </c>
      <c r="K911" s="44" t="str">
        <f t="shared" si="101"/>
        <v/>
      </c>
      <c r="L911" s="44" t="str">
        <f t="shared" si="102"/>
        <v/>
      </c>
    </row>
    <row r="912" spans="1:12">
      <c r="A912" s="1" t="str">
        <f t="shared" si="103"/>
        <v/>
      </c>
      <c r="F912" s="42" t="str">
        <f t="shared" si="98"/>
        <v/>
      </c>
      <c r="G912" s="42" t="str">
        <f t="shared" si="104"/>
        <v/>
      </c>
      <c r="H912" s="43" t="str">
        <f>IF(C912="","",GETPIVOTDATA("WinPips",ProfitRpt!$A$9,"Trade Month",C912,"Trade Year",B912))</f>
        <v/>
      </c>
      <c r="I912" s="42" t="str">
        <f t="shared" si="99"/>
        <v/>
      </c>
      <c r="J912" s="43" t="str">
        <f t="shared" si="100"/>
        <v/>
      </c>
      <c r="K912" s="44" t="str">
        <f t="shared" si="101"/>
        <v/>
      </c>
      <c r="L912" s="44" t="str">
        <f t="shared" si="102"/>
        <v/>
      </c>
    </row>
    <row r="913" spans="1:12">
      <c r="A913" s="1" t="str">
        <f t="shared" si="103"/>
        <v/>
      </c>
      <c r="F913" s="42" t="str">
        <f t="shared" si="98"/>
        <v/>
      </c>
      <c r="G913" s="42" t="str">
        <f t="shared" si="104"/>
        <v/>
      </c>
      <c r="H913" s="43" t="str">
        <f>IF(C913="","",GETPIVOTDATA("WinPips",ProfitRpt!$A$9,"Trade Month",C913,"Trade Year",B913))</f>
        <v/>
      </c>
      <c r="I913" s="42" t="str">
        <f t="shared" si="99"/>
        <v/>
      </c>
      <c r="J913" s="43" t="str">
        <f t="shared" si="100"/>
        <v/>
      </c>
      <c r="K913" s="44" t="str">
        <f t="shared" si="101"/>
        <v/>
      </c>
      <c r="L913" s="44" t="str">
        <f t="shared" si="102"/>
        <v/>
      </c>
    </row>
    <row r="914" spans="1:12">
      <c r="A914" s="1" t="str">
        <f t="shared" si="103"/>
        <v/>
      </c>
      <c r="F914" s="42" t="str">
        <f t="shared" si="98"/>
        <v/>
      </c>
      <c r="G914" s="42" t="str">
        <f t="shared" si="104"/>
        <v/>
      </c>
      <c r="H914" s="43" t="str">
        <f>IF(C914="","",GETPIVOTDATA("WinPips",ProfitRpt!$A$9,"Trade Month",C914,"Trade Year",B914))</f>
        <v/>
      </c>
      <c r="I914" s="42" t="str">
        <f t="shared" si="99"/>
        <v/>
      </c>
      <c r="J914" s="43" t="str">
        <f t="shared" si="100"/>
        <v/>
      </c>
      <c r="K914" s="44" t="str">
        <f t="shared" si="101"/>
        <v/>
      </c>
      <c r="L914" s="44" t="str">
        <f t="shared" si="102"/>
        <v/>
      </c>
    </row>
    <row r="915" spans="1:12">
      <c r="A915" s="1" t="str">
        <f t="shared" si="103"/>
        <v/>
      </c>
      <c r="F915" s="42" t="str">
        <f t="shared" si="98"/>
        <v/>
      </c>
      <c r="G915" s="42" t="str">
        <f t="shared" si="104"/>
        <v/>
      </c>
      <c r="H915" s="43" t="str">
        <f>IF(C915="","",GETPIVOTDATA("WinPips",ProfitRpt!$A$9,"Trade Month",C915,"Trade Year",B915))</f>
        <v/>
      </c>
      <c r="I915" s="42" t="str">
        <f t="shared" si="99"/>
        <v/>
      </c>
      <c r="J915" s="43" t="str">
        <f t="shared" si="100"/>
        <v/>
      </c>
      <c r="K915" s="44" t="str">
        <f t="shared" si="101"/>
        <v/>
      </c>
      <c r="L915" s="44" t="str">
        <f t="shared" si="102"/>
        <v/>
      </c>
    </row>
    <row r="916" spans="1:12">
      <c r="A916" s="1" t="str">
        <f t="shared" si="103"/>
        <v/>
      </c>
      <c r="F916" s="42" t="str">
        <f t="shared" si="98"/>
        <v/>
      </c>
      <c r="G916" s="42" t="str">
        <f t="shared" si="104"/>
        <v/>
      </c>
      <c r="H916" s="43" t="str">
        <f>IF(C916="","",GETPIVOTDATA("WinPips",ProfitRpt!$A$9,"Trade Month",C916,"Trade Year",B916))</f>
        <v/>
      </c>
      <c r="I916" s="42" t="str">
        <f t="shared" si="99"/>
        <v/>
      </c>
      <c r="J916" s="43" t="str">
        <f t="shared" si="100"/>
        <v/>
      </c>
      <c r="K916" s="44" t="str">
        <f t="shared" si="101"/>
        <v/>
      </c>
      <c r="L916" s="44" t="str">
        <f t="shared" si="102"/>
        <v/>
      </c>
    </row>
    <row r="917" spans="1:12">
      <c r="A917" s="1" t="str">
        <f t="shared" si="103"/>
        <v/>
      </c>
      <c r="F917" s="42" t="str">
        <f t="shared" si="98"/>
        <v/>
      </c>
      <c r="G917" s="42" t="str">
        <f t="shared" si="104"/>
        <v/>
      </c>
      <c r="H917" s="43" t="str">
        <f>IF(C917="","",GETPIVOTDATA("WinPips",ProfitRpt!$A$9,"Trade Month",C917,"Trade Year",B917))</f>
        <v/>
      </c>
      <c r="I917" s="42" t="str">
        <f t="shared" si="99"/>
        <v/>
      </c>
      <c r="J917" s="43" t="str">
        <f t="shared" si="100"/>
        <v/>
      </c>
      <c r="K917" s="44" t="str">
        <f t="shared" si="101"/>
        <v/>
      </c>
      <c r="L917" s="44" t="str">
        <f t="shared" si="102"/>
        <v/>
      </c>
    </row>
    <row r="918" spans="1:12">
      <c r="A918" s="1" t="str">
        <f t="shared" si="103"/>
        <v/>
      </c>
      <c r="F918" s="42" t="str">
        <f t="shared" si="98"/>
        <v/>
      </c>
      <c r="G918" s="42" t="str">
        <f t="shared" si="104"/>
        <v/>
      </c>
      <c r="H918" s="43" t="str">
        <f>IF(C918="","",GETPIVOTDATA("WinPips",ProfitRpt!$A$9,"Trade Month",C918,"Trade Year",B918))</f>
        <v/>
      </c>
      <c r="I918" s="42" t="str">
        <f t="shared" si="99"/>
        <v/>
      </c>
      <c r="J918" s="43" t="str">
        <f t="shared" si="100"/>
        <v/>
      </c>
      <c r="K918" s="44" t="str">
        <f t="shared" si="101"/>
        <v/>
      </c>
      <c r="L918" s="44" t="str">
        <f t="shared" si="102"/>
        <v/>
      </c>
    </row>
    <row r="919" spans="1:12">
      <c r="A919" s="1" t="str">
        <f t="shared" si="103"/>
        <v/>
      </c>
      <c r="F919" s="42" t="str">
        <f t="shared" si="98"/>
        <v/>
      </c>
      <c r="G919" s="42" t="str">
        <f t="shared" si="104"/>
        <v/>
      </c>
      <c r="H919" s="43" t="str">
        <f>IF(C919="","",GETPIVOTDATA("WinPips",ProfitRpt!$A$9,"Trade Month",C919,"Trade Year",B919))</f>
        <v/>
      </c>
      <c r="I919" s="42" t="str">
        <f t="shared" si="99"/>
        <v/>
      </c>
      <c r="J919" s="43" t="str">
        <f t="shared" si="100"/>
        <v/>
      </c>
      <c r="K919" s="44" t="str">
        <f t="shared" si="101"/>
        <v/>
      </c>
      <c r="L919" s="44" t="str">
        <f t="shared" si="102"/>
        <v/>
      </c>
    </row>
    <row r="920" spans="1:12">
      <c r="A920" s="1" t="str">
        <f t="shared" si="103"/>
        <v/>
      </c>
      <c r="F920" s="42" t="str">
        <f t="shared" si="98"/>
        <v/>
      </c>
      <c r="G920" s="42" t="str">
        <f t="shared" si="104"/>
        <v/>
      </c>
      <c r="H920" s="43" t="str">
        <f>IF(C920="","",GETPIVOTDATA("WinPips",ProfitRpt!$A$9,"Trade Month",C920,"Trade Year",B920))</f>
        <v/>
      </c>
      <c r="I920" s="42" t="str">
        <f t="shared" si="99"/>
        <v/>
      </c>
      <c r="J920" s="43" t="str">
        <f t="shared" si="100"/>
        <v/>
      </c>
      <c r="K920" s="44" t="str">
        <f t="shared" si="101"/>
        <v/>
      </c>
      <c r="L920" s="44" t="str">
        <f t="shared" si="102"/>
        <v/>
      </c>
    </row>
    <row r="921" spans="1:12">
      <c r="A921" s="1" t="str">
        <f t="shared" si="103"/>
        <v/>
      </c>
      <c r="F921" s="42" t="str">
        <f t="shared" si="98"/>
        <v/>
      </c>
      <c r="G921" s="42" t="str">
        <f t="shared" si="104"/>
        <v/>
      </c>
      <c r="H921" s="43" t="str">
        <f>IF(C921="","",GETPIVOTDATA("WinPips",ProfitRpt!$A$9,"Trade Month",C921,"Trade Year",B921))</f>
        <v/>
      </c>
      <c r="I921" s="42" t="str">
        <f t="shared" si="99"/>
        <v/>
      </c>
      <c r="J921" s="43" t="str">
        <f t="shared" si="100"/>
        <v/>
      </c>
      <c r="K921" s="44" t="str">
        <f t="shared" si="101"/>
        <v/>
      </c>
      <c r="L921" s="44" t="str">
        <f t="shared" si="102"/>
        <v/>
      </c>
    </row>
    <row r="922" spans="1:12">
      <c r="A922" s="1" t="str">
        <f t="shared" si="103"/>
        <v/>
      </c>
      <c r="F922" s="42" t="str">
        <f t="shared" si="98"/>
        <v/>
      </c>
      <c r="G922" s="42" t="str">
        <f t="shared" si="104"/>
        <v/>
      </c>
      <c r="H922" s="43" t="str">
        <f>IF(C922="","",GETPIVOTDATA("WinPips",ProfitRpt!$A$9,"Trade Month",C922,"Trade Year",B922))</f>
        <v/>
      </c>
      <c r="I922" s="42" t="str">
        <f t="shared" si="99"/>
        <v/>
      </c>
      <c r="J922" s="43" t="str">
        <f t="shared" si="100"/>
        <v/>
      </c>
      <c r="K922" s="44" t="str">
        <f t="shared" si="101"/>
        <v/>
      </c>
      <c r="L922" s="44" t="str">
        <f t="shared" si="102"/>
        <v/>
      </c>
    </row>
    <row r="923" spans="1:12">
      <c r="A923" s="1" t="str">
        <f t="shared" si="103"/>
        <v/>
      </c>
      <c r="F923" s="42" t="str">
        <f t="shared" si="98"/>
        <v/>
      </c>
      <c r="G923" s="42" t="str">
        <f t="shared" si="104"/>
        <v/>
      </c>
      <c r="H923" s="43" t="str">
        <f>IF(C923="","",GETPIVOTDATA("WinPips",ProfitRpt!$A$9,"Trade Month",C923,"Trade Year",B923))</f>
        <v/>
      </c>
      <c r="I923" s="42" t="str">
        <f t="shared" si="99"/>
        <v/>
      </c>
      <c r="J923" s="43" t="str">
        <f t="shared" si="100"/>
        <v/>
      </c>
      <c r="K923" s="44" t="str">
        <f t="shared" si="101"/>
        <v/>
      </c>
      <c r="L923" s="44" t="str">
        <f t="shared" si="102"/>
        <v/>
      </c>
    </row>
    <row r="924" spans="1:12">
      <c r="A924" s="1" t="str">
        <f t="shared" si="103"/>
        <v/>
      </c>
      <c r="F924" s="42" t="str">
        <f t="shared" si="98"/>
        <v/>
      </c>
      <c r="G924" s="42" t="str">
        <f t="shared" si="104"/>
        <v/>
      </c>
      <c r="H924" s="43" t="str">
        <f>IF(C924="","",GETPIVOTDATA("WinPips",ProfitRpt!$A$9,"Trade Month",C924,"Trade Year",B924))</f>
        <v/>
      </c>
      <c r="I924" s="42" t="str">
        <f t="shared" si="99"/>
        <v/>
      </c>
      <c r="J924" s="43" t="str">
        <f t="shared" si="100"/>
        <v/>
      </c>
      <c r="K924" s="44" t="str">
        <f t="shared" si="101"/>
        <v/>
      </c>
      <c r="L924" s="44" t="str">
        <f t="shared" si="102"/>
        <v/>
      </c>
    </row>
    <row r="925" spans="1:12">
      <c r="A925" s="1" t="str">
        <f t="shared" si="103"/>
        <v/>
      </c>
      <c r="F925" s="42" t="str">
        <f t="shared" si="98"/>
        <v/>
      </c>
      <c r="G925" s="42" t="str">
        <f t="shared" si="104"/>
        <v/>
      </c>
      <c r="H925" s="43" t="str">
        <f>IF(C925="","",GETPIVOTDATA("WinPips",ProfitRpt!$A$9,"Trade Month",C925,"Trade Year",B925))</f>
        <v/>
      </c>
      <c r="I925" s="42" t="str">
        <f t="shared" si="99"/>
        <v/>
      </c>
      <c r="J925" s="43" t="str">
        <f t="shared" si="100"/>
        <v/>
      </c>
      <c r="K925" s="44" t="str">
        <f t="shared" si="101"/>
        <v/>
      </c>
      <c r="L925" s="44" t="str">
        <f t="shared" si="102"/>
        <v/>
      </c>
    </row>
    <row r="926" spans="1:12">
      <c r="A926" s="1" t="str">
        <f t="shared" si="103"/>
        <v/>
      </c>
      <c r="F926" s="42" t="str">
        <f t="shared" si="98"/>
        <v/>
      </c>
      <c r="G926" s="42" t="str">
        <f t="shared" si="104"/>
        <v/>
      </c>
      <c r="H926" s="43" t="str">
        <f>IF(C926="","",GETPIVOTDATA("WinPips",ProfitRpt!$A$9,"Trade Month",C926,"Trade Year",B926))</f>
        <v/>
      </c>
      <c r="I926" s="42" t="str">
        <f t="shared" si="99"/>
        <v/>
      </c>
      <c r="J926" s="43" t="str">
        <f t="shared" si="100"/>
        <v/>
      </c>
      <c r="K926" s="44" t="str">
        <f t="shared" si="101"/>
        <v/>
      </c>
      <c r="L926" s="44" t="str">
        <f t="shared" si="102"/>
        <v/>
      </c>
    </row>
    <row r="927" spans="1:12">
      <c r="A927" s="1" t="str">
        <f t="shared" si="103"/>
        <v/>
      </c>
      <c r="F927" s="42" t="str">
        <f t="shared" si="98"/>
        <v/>
      </c>
      <c r="G927" s="42" t="str">
        <f t="shared" si="104"/>
        <v/>
      </c>
      <c r="H927" s="43" t="str">
        <f>IF(C927="","",GETPIVOTDATA("WinPips",ProfitRpt!$A$9,"Trade Month",C927,"Trade Year",B927))</f>
        <v/>
      </c>
      <c r="I927" s="42" t="str">
        <f t="shared" si="99"/>
        <v/>
      </c>
      <c r="J927" s="43" t="str">
        <f t="shared" si="100"/>
        <v/>
      </c>
      <c r="K927" s="44" t="str">
        <f t="shared" si="101"/>
        <v/>
      </c>
      <c r="L927" s="44" t="str">
        <f t="shared" si="102"/>
        <v/>
      </c>
    </row>
    <row r="928" spans="1:12">
      <c r="A928" s="1" t="str">
        <f t="shared" si="103"/>
        <v/>
      </c>
      <c r="F928" s="42" t="str">
        <f t="shared" si="98"/>
        <v/>
      </c>
      <c r="G928" s="42" t="str">
        <f t="shared" si="104"/>
        <v/>
      </c>
      <c r="H928" s="43" t="str">
        <f>IF(C928="","",GETPIVOTDATA("WinPips",ProfitRpt!$A$9,"Trade Month",C928,"Trade Year",B928))</f>
        <v/>
      </c>
      <c r="I928" s="42" t="str">
        <f t="shared" si="99"/>
        <v/>
      </c>
      <c r="J928" s="43" t="str">
        <f t="shared" si="100"/>
        <v/>
      </c>
      <c r="K928" s="44" t="str">
        <f t="shared" si="101"/>
        <v/>
      </c>
      <c r="L928" s="44" t="str">
        <f t="shared" si="102"/>
        <v/>
      </c>
    </row>
    <row r="929" spans="1:12">
      <c r="A929" s="1" t="str">
        <f t="shared" si="103"/>
        <v/>
      </c>
      <c r="F929" s="42" t="str">
        <f t="shared" si="98"/>
        <v/>
      </c>
      <c r="G929" s="42" t="str">
        <f t="shared" si="104"/>
        <v/>
      </c>
      <c r="H929" s="43" t="str">
        <f>IF(C929="","",GETPIVOTDATA("WinPips",ProfitRpt!$A$9,"Trade Month",C929,"Trade Year",B929))</f>
        <v/>
      </c>
      <c r="I929" s="42" t="str">
        <f t="shared" si="99"/>
        <v/>
      </c>
      <c r="J929" s="43" t="str">
        <f t="shared" si="100"/>
        <v/>
      </c>
      <c r="K929" s="44" t="str">
        <f t="shared" si="101"/>
        <v/>
      </c>
      <c r="L929" s="44" t="str">
        <f t="shared" si="102"/>
        <v/>
      </c>
    </row>
    <row r="930" spans="1:12">
      <c r="A930" s="1" t="str">
        <f t="shared" si="103"/>
        <v/>
      </c>
      <c r="F930" s="42" t="str">
        <f t="shared" si="98"/>
        <v/>
      </c>
      <c r="G930" s="42" t="str">
        <f t="shared" si="104"/>
        <v/>
      </c>
      <c r="H930" s="43" t="str">
        <f>IF(C930="","",GETPIVOTDATA("WinPips",ProfitRpt!$A$9,"Trade Month",C930,"Trade Year",B930))</f>
        <v/>
      </c>
      <c r="I930" s="42" t="str">
        <f t="shared" si="99"/>
        <v/>
      </c>
      <c r="J930" s="43" t="str">
        <f t="shared" si="100"/>
        <v/>
      </c>
      <c r="K930" s="44" t="str">
        <f t="shared" si="101"/>
        <v/>
      </c>
      <c r="L930" s="44" t="str">
        <f t="shared" si="102"/>
        <v/>
      </c>
    </row>
    <row r="931" spans="1:12">
      <c r="A931" s="1" t="str">
        <f t="shared" si="103"/>
        <v/>
      </c>
      <c r="F931" s="42" t="str">
        <f t="shared" si="98"/>
        <v/>
      </c>
      <c r="G931" s="42" t="str">
        <f t="shared" si="104"/>
        <v/>
      </c>
      <c r="H931" s="43" t="str">
        <f>IF(C931="","",GETPIVOTDATA("WinPips",ProfitRpt!$A$9,"Trade Month",C931,"Trade Year",B931))</f>
        <v/>
      </c>
      <c r="I931" s="42" t="str">
        <f t="shared" si="99"/>
        <v/>
      </c>
      <c r="J931" s="43" t="str">
        <f t="shared" si="100"/>
        <v/>
      </c>
      <c r="K931" s="44" t="str">
        <f t="shared" si="101"/>
        <v/>
      </c>
      <c r="L931" s="44" t="str">
        <f t="shared" si="102"/>
        <v/>
      </c>
    </row>
    <row r="932" spans="1:12">
      <c r="A932" s="1" t="str">
        <f t="shared" si="103"/>
        <v/>
      </c>
      <c r="F932" s="42" t="str">
        <f t="shared" si="98"/>
        <v/>
      </c>
      <c r="G932" s="42" t="str">
        <f t="shared" si="104"/>
        <v/>
      </c>
      <c r="H932" s="43" t="str">
        <f>IF(C932="","",GETPIVOTDATA("WinPips",ProfitRpt!$A$9,"Trade Month",C932,"Trade Year",B932))</f>
        <v/>
      </c>
      <c r="I932" s="42" t="str">
        <f t="shared" si="99"/>
        <v/>
      </c>
      <c r="J932" s="43" t="str">
        <f t="shared" si="100"/>
        <v/>
      </c>
      <c r="K932" s="44" t="str">
        <f t="shared" si="101"/>
        <v/>
      </c>
      <c r="L932" s="44" t="str">
        <f t="shared" si="102"/>
        <v/>
      </c>
    </row>
    <row r="933" spans="1:12">
      <c r="A933" s="1" t="str">
        <f t="shared" si="103"/>
        <v/>
      </c>
      <c r="F933" s="42" t="str">
        <f t="shared" si="98"/>
        <v/>
      </c>
      <c r="G933" s="42" t="str">
        <f t="shared" si="104"/>
        <v/>
      </c>
      <c r="H933" s="43" t="str">
        <f>IF(C933="","",GETPIVOTDATA("WinPips",ProfitRpt!$A$9,"Trade Month",C933,"Trade Year",B933))</f>
        <v/>
      </c>
      <c r="I933" s="42" t="str">
        <f t="shared" si="99"/>
        <v/>
      </c>
      <c r="J933" s="43" t="str">
        <f t="shared" si="100"/>
        <v/>
      </c>
      <c r="K933" s="44" t="str">
        <f t="shared" si="101"/>
        <v/>
      </c>
      <c r="L933" s="44" t="str">
        <f t="shared" si="102"/>
        <v/>
      </c>
    </row>
    <row r="934" spans="1:12">
      <c r="A934" s="1" t="str">
        <f t="shared" si="103"/>
        <v/>
      </c>
      <c r="F934" s="42" t="str">
        <f t="shared" si="98"/>
        <v/>
      </c>
      <c r="G934" s="42" t="str">
        <f t="shared" si="104"/>
        <v/>
      </c>
      <c r="H934" s="43" t="str">
        <f>IF(C934="","",GETPIVOTDATA("WinPips",ProfitRpt!$A$9,"Trade Month",C934,"Trade Year",B934))</f>
        <v/>
      </c>
      <c r="I934" s="42" t="str">
        <f t="shared" si="99"/>
        <v/>
      </c>
      <c r="J934" s="43" t="str">
        <f t="shared" si="100"/>
        <v/>
      </c>
      <c r="K934" s="44" t="str">
        <f t="shared" si="101"/>
        <v/>
      </c>
      <c r="L934" s="44" t="str">
        <f t="shared" si="102"/>
        <v/>
      </c>
    </row>
    <row r="935" spans="1:12">
      <c r="A935" s="1" t="str">
        <f t="shared" si="103"/>
        <v/>
      </c>
      <c r="F935" s="42" t="str">
        <f t="shared" si="98"/>
        <v/>
      </c>
      <c r="G935" s="42" t="str">
        <f t="shared" si="104"/>
        <v/>
      </c>
      <c r="H935" s="43" t="str">
        <f>IF(C935="","",GETPIVOTDATA("WinPips",ProfitRpt!$A$9,"Trade Month",C935,"Trade Year",B935))</f>
        <v/>
      </c>
      <c r="I935" s="42" t="str">
        <f t="shared" si="99"/>
        <v/>
      </c>
      <c r="J935" s="43" t="str">
        <f t="shared" si="100"/>
        <v/>
      </c>
      <c r="K935" s="44" t="str">
        <f t="shared" si="101"/>
        <v/>
      </c>
      <c r="L935" s="44" t="str">
        <f t="shared" si="102"/>
        <v/>
      </c>
    </row>
    <row r="936" spans="1:12">
      <c r="A936" s="1" t="str">
        <f t="shared" si="103"/>
        <v/>
      </c>
      <c r="F936" s="42" t="str">
        <f t="shared" si="98"/>
        <v/>
      </c>
      <c r="G936" s="42" t="str">
        <f t="shared" si="104"/>
        <v/>
      </c>
      <c r="H936" s="43" t="str">
        <f>IF(C936="","",GETPIVOTDATA("WinPips",ProfitRpt!$A$9,"Trade Month",C936,"Trade Year",B936))</f>
        <v/>
      </c>
      <c r="I936" s="42" t="str">
        <f t="shared" si="99"/>
        <v/>
      </c>
      <c r="J936" s="43" t="str">
        <f t="shared" si="100"/>
        <v/>
      </c>
      <c r="K936" s="44" t="str">
        <f t="shared" si="101"/>
        <v/>
      </c>
      <c r="L936" s="44" t="str">
        <f t="shared" si="102"/>
        <v/>
      </c>
    </row>
    <row r="937" spans="1:12">
      <c r="A937" s="1" t="str">
        <f t="shared" si="103"/>
        <v/>
      </c>
      <c r="F937" s="42" t="str">
        <f t="shared" si="98"/>
        <v/>
      </c>
      <c r="G937" s="42" t="str">
        <f t="shared" si="104"/>
        <v/>
      </c>
      <c r="H937" s="43" t="str">
        <f>IF(C937="","",GETPIVOTDATA("WinPips",ProfitRpt!$A$9,"Trade Month",C937,"Trade Year",B937))</f>
        <v/>
      </c>
      <c r="I937" s="42" t="str">
        <f t="shared" si="99"/>
        <v/>
      </c>
      <c r="J937" s="43" t="str">
        <f t="shared" si="100"/>
        <v/>
      </c>
      <c r="K937" s="44" t="str">
        <f t="shared" si="101"/>
        <v/>
      </c>
      <c r="L937" s="44" t="str">
        <f t="shared" si="102"/>
        <v/>
      </c>
    </row>
    <row r="938" spans="1:12">
      <c r="A938" s="1" t="str">
        <f t="shared" si="103"/>
        <v/>
      </c>
      <c r="F938" s="42" t="str">
        <f t="shared" si="98"/>
        <v/>
      </c>
      <c r="G938" s="42" t="str">
        <f t="shared" si="104"/>
        <v/>
      </c>
      <c r="H938" s="43" t="str">
        <f>IF(C938="","",GETPIVOTDATA("WinPips",ProfitRpt!$A$9,"Trade Month",C938,"Trade Year",B938))</f>
        <v/>
      </c>
      <c r="I938" s="42" t="str">
        <f t="shared" si="99"/>
        <v/>
      </c>
      <c r="J938" s="43" t="str">
        <f t="shared" si="100"/>
        <v/>
      </c>
      <c r="K938" s="44" t="str">
        <f t="shared" si="101"/>
        <v/>
      </c>
      <c r="L938" s="44" t="str">
        <f t="shared" si="102"/>
        <v/>
      </c>
    </row>
    <row r="939" spans="1:12">
      <c r="A939" s="1" t="str">
        <f t="shared" si="103"/>
        <v/>
      </c>
      <c r="F939" s="42" t="str">
        <f t="shared" si="98"/>
        <v/>
      </c>
      <c r="G939" s="42" t="str">
        <f t="shared" si="104"/>
        <v/>
      </c>
      <c r="H939" s="43" t="str">
        <f>IF(C939="","",GETPIVOTDATA("WinPips",ProfitRpt!$A$9,"Trade Month",C939,"Trade Year",B939))</f>
        <v/>
      </c>
      <c r="I939" s="42" t="str">
        <f t="shared" si="99"/>
        <v/>
      </c>
      <c r="J939" s="43" t="str">
        <f t="shared" si="100"/>
        <v/>
      </c>
      <c r="K939" s="44" t="str">
        <f t="shared" si="101"/>
        <v/>
      </c>
      <c r="L939" s="44" t="str">
        <f t="shared" si="102"/>
        <v/>
      </c>
    </row>
    <row r="940" spans="1:12">
      <c r="A940" s="1" t="str">
        <f t="shared" si="103"/>
        <v/>
      </c>
      <c r="F940" s="42" t="str">
        <f t="shared" si="98"/>
        <v/>
      </c>
      <c r="G940" s="42" t="str">
        <f t="shared" si="104"/>
        <v/>
      </c>
      <c r="H940" s="43" t="str">
        <f>IF(C940="","",GETPIVOTDATA("WinPips",ProfitRpt!$A$9,"Trade Month",C940,"Trade Year",B940))</f>
        <v/>
      </c>
      <c r="I940" s="42" t="str">
        <f t="shared" si="99"/>
        <v/>
      </c>
      <c r="J940" s="43" t="str">
        <f t="shared" si="100"/>
        <v/>
      </c>
      <c r="K940" s="44" t="str">
        <f t="shared" si="101"/>
        <v/>
      </c>
      <c r="L940" s="44" t="str">
        <f t="shared" si="102"/>
        <v/>
      </c>
    </row>
    <row r="941" spans="1:12">
      <c r="A941" s="1" t="str">
        <f t="shared" si="103"/>
        <v/>
      </c>
      <c r="F941" s="42" t="str">
        <f t="shared" si="98"/>
        <v/>
      </c>
      <c r="G941" s="42" t="str">
        <f t="shared" si="104"/>
        <v/>
      </c>
      <c r="H941" s="43" t="str">
        <f>IF(C941="","",GETPIVOTDATA("WinPips",ProfitRpt!$A$9,"Trade Month",C941,"Trade Year",B941))</f>
        <v/>
      </c>
      <c r="I941" s="42" t="str">
        <f t="shared" si="99"/>
        <v/>
      </c>
      <c r="J941" s="43" t="str">
        <f t="shared" si="100"/>
        <v/>
      </c>
      <c r="K941" s="44" t="str">
        <f t="shared" si="101"/>
        <v/>
      </c>
      <c r="L941" s="44" t="str">
        <f t="shared" si="102"/>
        <v/>
      </c>
    </row>
    <row r="942" spans="1:12">
      <c r="A942" s="1" t="str">
        <f t="shared" si="103"/>
        <v/>
      </c>
      <c r="F942" s="42" t="str">
        <f t="shared" si="98"/>
        <v/>
      </c>
      <c r="G942" s="42" t="str">
        <f t="shared" si="104"/>
        <v/>
      </c>
      <c r="H942" s="43" t="str">
        <f>IF(C942="","",GETPIVOTDATA("WinPips",ProfitRpt!$A$9,"Trade Month",C942,"Trade Year",B942))</f>
        <v/>
      </c>
      <c r="I942" s="42" t="str">
        <f t="shared" si="99"/>
        <v/>
      </c>
      <c r="J942" s="43" t="str">
        <f t="shared" si="100"/>
        <v/>
      </c>
      <c r="K942" s="44" t="str">
        <f t="shared" si="101"/>
        <v/>
      </c>
      <c r="L942" s="44" t="str">
        <f t="shared" si="102"/>
        <v/>
      </c>
    </row>
    <row r="943" spans="1:12">
      <c r="A943" s="1" t="str">
        <f t="shared" si="103"/>
        <v/>
      </c>
      <c r="F943" s="42" t="str">
        <f t="shared" si="98"/>
        <v/>
      </c>
      <c r="G943" s="42" t="str">
        <f t="shared" si="104"/>
        <v/>
      </c>
      <c r="H943" s="43" t="str">
        <f>IF(C943="","",GETPIVOTDATA("WinPips",ProfitRpt!$A$9,"Trade Month",C943,"Trade Year",B943))</f>
        <v/>
      </c>
      <c r="I943" s="42" t="str">
        <f t="shared" si="99"/>
        <v/>
      </c>
      <c r="J943" s="43" t="str">
        <f t="shared" si="100"/>
        <v/>
      </c>
      <c r="K943" s="44" t="str">
        <f t="shared" si="101"/>
        <v/>
      </c>
      <c r="L943" s="44" t="str">
        <f t="shared" si="102"/>
        <v/>
      </c>
    </row>
    <row r="944" spans="1:12">
      <c r="A944" s="1" t="str">
        <f t="shared" si="103"/>
        <v/>
      </c>
      <c r="F944" s="42" t="str">
        <f t="shared" si="98"/>
        <v/>
      </c>
      <c r="G944" s="42" t="str">
        <f t="shared" si="104"/>
        <v/>
      </c>
      <c r="H944" s="43" t="str">
        <f>IF(C944="","",GETPIVOTDATA("WinPips",ProfitRpt!$A$9,"Trade Month",C944,"Trade Year",B944))</f>
        <v/>
      </c>
      <c r="I944" s="42" t="str">
        <f t="shared" si="99"/>
        <v/>
      </c>
      <c r="J944" s="43" t="str">
        <f t="shared" si="100"/>
        <v/>
      </c>
      <c r="K944" s="44" t="str">
        <f t="shared" si="101"/>
        <v/>
      </c>
      <c r="L944" s="44" t="str">
        <f t="shared" si="102"/>
        <v/>
      </c>
    </row>
    <row r="945" spans="1:12">
      <c r="A945" s="1" t="str">
        <f t="shared" si="103"/>
        <v/>
      </c>
      <c r="F945" s="42" t="str">
        <f t="shared" si="98"/>
        <v/>
      </c>
      <c r="G945" s="42" t="str">
        <f t="shared" si="104"/>
        <v/>
      </c>
      <c r="H945" s="43" t="str">
        <f>IF(C945="","",GETPIVOTDATA("WinPips",ProfitRpt!$A$9,"Trade Month",C945,"Trade Year",B945))</f>
        <v/>
      </c>
      <c r="I945" s="42" t="str">
        <f t="shared" si="99"/>
        <v/>
      </c>
      <c r="J945" s="43" t="str">
        <f t="shared" si="100"/>
        <v/>
      </c>
      <c r="K945" s="44" t="str">
        <f t="shared" si="101"/>
        <v/>
      </c>
      <c r="L945" s="44" t="str">
        <f t="shared" si="102"/>
        <v/>
      </c>
    </row>
    <row r="946" spans="1:12">
      <c r="A946" s="1" t="str">
        <f t="shared" si="103"/>
        <v/>
      </c>
      <c r="F946" s="42" t="str">
        <f t="shared" si="98"/>
        <v/>
      </c>
      <c r="G946" s="42" t="str">
        <f t="shared" si="104"/>
        <v/>
      </c>
      <c r="H946" s="43" t="str">
        <f>IF(C946="","",GETPIVOTDATA("WinPips",ProfitRpt!$A$9,"Trade Month",C946,"Trade Year",B946))</f>
        <v/>
      </c>
      <c r="I946" s="42" t="str">
        <f t="shared" si="99"/>
        <v/>
      </c>
      <c r="J946" s="43" t="str">
        <f t="shared" si="100"/>
        <v/>
      </c>
      <c r="K946" s="44" t="str">
        <f t="shared" si="101"/>
        <v/>
      </c>
      <c r="L946" s="44" t="str">
        <f t="shared" si="102"/>
        <v/>
      </c>
    </row>
    <row r="947" spans="1:12">
      <c r="A947" s="1" t="str">
        <f t="shared" si="103"/>
        <v/>
      </c>
      <c r="F947" s="42" t="str">
        <f t="shared" si="98"/>
        <v/>
      </c>
      <c r="G947" s="42" t="str">
        <f t="shared" si="104"/>
        <v/>
      </c>
      <c r="H947" s="43" t="str">
        <f>IF(C947="","",GETPIVOTDATA("WinPips",ProfitRpt!$A$9,"Trade Month",C947,"Trade Year",B947))</f>
        <v/>
      </c>
      <c r="I947" s="42" t="str">
        <f t="shared" si="99"/>
        <v/>
      </c>
      <c r="J947" s="43" t="str">
        <f t="shared" si="100"/>
        <v/>
      </c>
      <c r="K947" s="44" t="str">
        <f t="shared" si="101"/>
        <v/>
      </c>
      <c r="L947" s="44" t="str">
        <f t="shared" si="102"/>
        <v/>
      </c>
    </row>
    <row r="948" spans="1:12">
      <c r="A948" s="1" t="str">
        <f t="shared" si="103"/>
        <v/>
      </c>
      <c r="F948" s="42" t="str">
        <f t="shared" si="98"/>
        <v/>
      </c>
      <c r="G948" s="42" t="str">
        <f t="shared" si="104"/>
        <v/>
      </c>
      <c r="H948" s="43" t="str">
        <f>IF(C948="","",GETPIVOTDATA("WinPips",ProfitRpt!$A$9,"Trade Month",C948,"Trade Year",B948))</f>
        <v/>
      </c>
      <c r="I948" s="42" t="str">
        <f t="shared" si="99"/>
        <v/>
      </c>
      <c r="J948" s="43" t="str">
        <f t="shared" si="100"/>
        <v/>
      </c>
      <c r="K948" s="44" t="str">
        <f t="shared" si="101"/>
        <v/>
      </c>
      <c r="L948" s="44" t="str">
        <f t="shared" si="102"/>
        <v/>
      </c>
    </row>
    <row r="949" spans="1:12">
      <c r="A949" s="1" t="str">
        <f t="shared" si="103"/>
        <v/>
      </c>
      <c r="F949" s="42" t="str">
        <f t="shared" si="98"/>
        <v/>
      </c>
      <c r="G949" s="42" t="str">
        <f t="shared" si="104"/>
        <v/>
      </c>
      <c r="H949" s="43" t="str">
        <f>IF(C949="","",GETPIVOTDATA("WinPips",ProfitRpt!$A$9,"Trade Month",C949,"Trade Year",B949))</f>
        <v/>
      </c>
      <c r="I949" s="42" t="str">
        <f t="shared" si="99"/>
        <v/>
      </c>
      <c r="J949" s="43" t="str">
        <f t="shared" si="100"/>
        <v/>
      </c>
      <c r="K949" s="44" t="str">
        <f t="shared" si="101"/>
        <v/>
      </c>
      <c r="L949" s="44" t="str">
        <f t="shared" si="102"/>
        <v/>
      </c>
    </row>
    <row r="950" spans="1:12">
      <c r="A950" s="1" t="str">
        <f t="shared" si="103"/>
        <v/>
      </c>
      <c r="F950" s="42" t="str">
        <f t="shared" si="98"/>
        <v/>
      </c>
      <c r="G950" s="42" t="str">
        <f t="shared" si="104"/>
        <v/>
      </c>
      <c r="H950" s="43" t="str">
        <f>IF(C950="","",GETPIVOTDATA("WinPips",ProfitRpt!$A$9,"Trade Month",C950,"Trade Year",B950))</f>
        <v/>
      </c>
      <c r="I950" s="42" t="str">
        <f t="shared" si="99"/>
        <v/>
      </c>
      <c r="J950" s="43" t="str">
        <f t="shared" si="100"/>
        <v/>
      </c>
      <c r="K950" s="44" t="str">
        <f t="shared" si="101"/>
        <v/>
      </c>
      <c r="L950" s="44" t="str">
        <f t="shared" si="102"/>
        <v/>
      </c>
    </row>
    <row r="951" spans="1:12">
      <c r="A951" s="1" t="str">
        <f t="shared" si="103"/>
        <v/>
      </c>
      <c r="F951" s="42" t="str">
        <f t="shared" si="98"/>
        <v/>
      </c>
      <c r="G951" s="42" t="str">
        <f t="shared" si="104"/>
        <v/>
      </c>
      <c r="H951" s="43" t="str">
        <f>IF(C951="","",GETPIVOTDATA("WinPips",ProfitRpt!$A$9,"Trade Month",C951,"Trade Year",B951))</f>
        <v/>
      </c>
      <c r="I951" s="42" t="str">
        <f t="shared" si="99"/>
        <v/>
      </c>
      <c r="J951" s="43" t="str">
        <f t="shared" si="100"/>
        <v/>
      </c>
      <c r="K951" s="44" t="str">
        <f t="shared" si="101"/>
        <v/>
      </c>
      <c r="L951" s="44" t="str">
        <f t="shared" si="102"/>
        <v/>
      </c>
    </row>
    <row r="952" spans="1:12">
      <c r="A952" s="1" t="str">
        <f t="shared" si="103"/>
        <v/>
      </c>
      <c r="F952" s="42" t="str">
        <f t="shared" si="98"/>
        <v/>
      </c>
      <c r="G952" s="42" t="str">
        <f t="shared" si="104"/>
        <v/>
      </c>
      <c r="H952" s="43" t="str">
        <f>IF(C952="","",GETPIVOTDATA("WinPips",ProfitRpt!$A$9,"Trade Month",C952,"Trade Year",B952))</f>
        <v/>
      </c>
      <c r="I952" s="42" t="str">
        <f t="shared" si="99"/>
        <v/>
      </c>
      <c r="J952" s="43" t="str">
        <f t="shared" si="100"/>
        <v/>
      </c>
      <c r="K952" s="44" t="str">
        <f t="shared" si="101"/>
        <v/>
      </c>
      <c r="L952" s="44" t="str">
        <f t="shared" si="102"/>
        <v/>
      </c>
    </row>
    <row r="953" spans="1:12">
      <c r="A953" s="1" t="str">
        <f t="shared" si="103"/>
        <v/>
      </c>
      <c r="F953" s="42" t="str">
        <f t="shared" si="98"/>
        <v/>
      </c>
      <c r="G953" s="42" t="str">
        <f t="shared" si="104"/>
        <v/>
      </c>
      <c r="H953" s="43" t="str">
        <f>IF(C953="","",GETPIVOTDATA("WinPips",ProfitRpt!$A$9,"Trade Month",C953,"Trade Year",B953))</f>
        <v/>
      </c>
      <c r="I953" s="42" t="str">
        <f t="shared" si="99"/>
        <v/>
      </c>
      <c r="J953" s="43" t="str">
        <f t="shared" si="100"/>
        <v/>
      </c>
      <c r="K953" s="44" t="str">
        <f t="shared" si="101"/>
        <v/>
      </c>
      <c r="L953" s="44" t="str">
        <f t="shared" si="102"/>
        <v/>
      </c>
    </row>
    <row r="954" spans="1:12">
      <c r="A954" s="1" t="str">
        <f t="shared" si="103"/>
        <v/>
      </c>
      <c r="F954" s="42" t="str">
        <f t="shared" si="98"/>
        <v/>
      </c>
      <c r="G954" s="42" t="str">
        <f t="shared" si="104"/>
        <v/>
      </c>
      <c r="H954" s="43" t="str">
        <f>IF(C954="","",GETPIVOTDATA("WinPips",ProfitRpt!$A$9,"Trade Month",C954,"Trade Year",B954))</f>
        <v/>
      </c>
      <c r="I954" s="42" t="str">
        <f t="shared" si="99"/>
        <v/>
      </c>
      <c r="J954" s="43" t="str">
        <f t="shared" si="100"/>
        <v/>
      </c>
      <c r="K954" s="44" t="str">
        <f t="shared" si="101"/>
        <v/>
      </c>
      <c r="L954" s="44" t="str">
        <f t="shared" si="102"/>
        <v/>
      </c>
    </row>
    <row r="955" spans="1:12">
      <c r="A955" s="1" t="str">
        <f t="shared" si="103"/>
        <v/>
      </c>
      <c r="F955" s="42" t="str">
        <f t="shared" si="98"/>
        <v/>
      </c>
      <c r="G955" s="42" t="str">
        <f t="shared" si="104"/>
        <v/>
      </c>
      <c r="H955" s="43" t="str">
        <f>IF(C955="","",GETPIVOTDATA("WinPips",ProfitRpt!$A$9,"Trade Month",C955,"Trade Year",B955))</f>
        <v/>
      </c>
      <c r="I955" s="42" t="str">
        <f t="shared" si="99"/>
        <v/>
      </c>
      <c r="J955" s="43" t="str">
        <f t="shared" si="100"/>
        <v/>
      </c>
      <c r="K955" s="44" t="str">
        <f t="shared" si="101"/>
        <v/>
      </c>
      <c r="L955" s="44" t="str">
        <f t="shared" si="102"/>
        <v/>
      </c>
    </row>
    <row r="956" spans="1:12">
      <c r="A956" s="1" t="str">
        <f t="shared" si="103"/>
        <v/>
      </c>
      <c r="F956" s="42" t="str">
        <f t="shared" si="98"/>
        <v/>
      </c>
      <c r="G956" s="42" t="str">
        <f t="shared" si="104"/>
        <v/>
      </c>
      <c r="H956" s="43" t="str">
        <f>IF(C956="","",GETPIVOTDATA("WinPips",ProfitRpt!$A$9,"Trade Month",C956,"Trade Year",B956))</f>
        <v/>
      </c>
      <c r="I956" s="42" t="str">
        <f t="shared" si="99"/>
        <v/>
      </c>
      <c r="J956" s="43" t="str">
        <f t="shared" si="100"/>
        <v/>
      </c>
      <c r="K956" s="44" t="str">
        <f t="shared" si="101"/>
        <v/>
      </c>
      <c r="L956" s="44" t="str">
        <f t="shared" si="102"/>
        <v/>
      </c>
    </row>
    <row r="957" spans="1:12">
      <c r="A957" s="1" t="str">
        <f t="shared" si="103"/>
        <v/>
      </c>
      <c r="F957" s="42" t="str">
        <f t="shared" si="98"/>
        <v/>
      </c>
      <c r="G957" s="42" t="str">
        <f t="shared" si="104"/>
        <v/>
      </c>
      <c r="H957" s="43" t="str">
        <f>IF(C957="","",GETPIVOTDATA("WinPips",ProfitRpt!$A$9,"Trade Month",C957,"Trade Year",B957))</f>
        <v/>
      </c>
      <c r="I957" s="42" t="str">
        <f t="shared" si="99"/>
        <v/>
      </c>
      <c r="J957" s="43" t="str">
        <f t="shared" si="100"/>
        <v/>
      </c>
      <c r="K957" s="44" t="str">
        <f t="shared" si="101"/>
        <v/>
      </c>
      <c r="L957" s="44" t="str">
        <f t="shared" si="102"/>
        <v/>
      </c>
    </row>
    <row r="958" spans="1:12">
      <c r="A958" s="1" t="str">
        <f t="shared" si="103"/>
        <v/>
      </c>
      <c r="F958" s="42" t="str">
        <f t="shared" si="98"/>
        <v/>
      </c>
      <c r="G958" s="42" t="str">
        <f t="shared" si="104"/>
        <v/>
      </c>
      <c r="H958" s="43" t="str">
        <f>IF(C958="","",GETPIVOTDATA("WinPips",ProfitRpt!$A$9,"Trade Month",C958,"Trade Year",B958))</f>
        <v/>
      </c>
      <c r="I958" s="42" t="str">
        <f t="shared" si="99"/>
        <v/>
      </c>
      <c r="J958" s="43" t="str">
        <f t="shared" si="100"/>
        <v/>
      </c>
      <c r="K958" s="44" t="str">
        <f t="shared" si="101"/>
        <v/>
      </c>
      <c r="L958" s="44" t="str">
        <f t="shared" si="102"/>
        <v/>
      </c>
    </row>
    <row r="959" spans="1:12">
      <c r="A959" s="1" t="str">
        <f t="shared" si="103"/>
        <v/>
      </c>
      <c r="F959" s="42" t="str">
        <f t="shared" si="98"/>
        <v/>
      </c>
      <c r="G959" s="42" t="str">
        <f t="shared" si="104"/>
        <v/>
      </c>
      <c r="H959" s="43" t="str">
        <f>IF(C959="","",GETPIVOTDATA("WinPips",ProfitRpt!$A$9,"Trade Month",C959,"Trade Year",B959))</f>
        <v/>
      </c>
      <c r="I959" s="42" t="str">
        <f t="shared" si="99"/>
        <v/>
      </c>
      <c r="J959" s="43" t="str">
        <f t="shared" si="100"/>
        <v/>
      </c>
      <c r="K959" s="44" t="str">
        <f t="shared" si="101"/>
        <v/>
      </c>
      <c r="L959" s="44" t="str">
        <f t="shared" si="102"/>
        <v/>
      </c>
    </row>
    <row r="960" spans="1:12">
      <c r="A960" s="1" t="str">
        <f t="shared" si="103"/>
        <v/>
      </c>
      <c r="F960" s="42" t="str">
        <f t="shared" si="98"/>
        <v/>
      </c>
      <c r="G960" s="42" t="str">
        <f t="shared" si="104"/>
        <v/>
      </c>
      <c r="H960" s="43" t="str">
        <f>IF(C960="","",GETPIVOTDATA("WinPips",ProfitRpt!$A$9,"Trade Month",C960,"Trade Year",B960))</f>
        <v/>
      </c>
      <c r="I960" s="42" t="str">
        <f t="shared" si="99"/>
        <v/>
      </c>
      <c r="J960" s="43" t="str">
        <f t="shared" si="100"/>
        <v/>
      </c>
      <c r="K960" s="44" t="str">
        <f t="shared" si="101"/>
        <v/>
      </c>
      <c r="L960" s="44" t="str">
        <f t="shared" si="102"/>
        <v/>
      </c>
    </row>
    <row r="961" spans="1:12">
      <c r="A961" s="1" t="str">
        <f t="shared" si="103"/>
        <v/>
      </c>
      <c r="F961" s="42" t="str">
        <f t="shared" si="98"/>
        <v/>
      </c>
      <c r="G961" s="42" t="str">
        <f t="shared" si="104"/>
        <v/>
      </c>
      <c r="H961" s="43" t="str">
        <f>IF(C961="","",GETPIVOTDATA("WinPips",ProfitRpt!$A$9,"Trade Month",C961,"Trade Year",B961))</f>
        <v/>
      </c>
      <c r="I961" s="42" t="str">
        <f t="shared" si="99"/>
        <v/>
      </c>
      <c r="J961" s="43" t="str">
        <f t="shared" si="100"/>
        <v/>
      </c>
      <c r="K961" s="44" t="str">
        <f t="shared" si="101"/>
        <v/>
      </c>
      <c r="L961" s="44" t="str">
        <f t="shared" si="102"/>
        <v/>
      </c>
    </row>
    <row r="962" spans="1:12">
      <c r="A962" s="1" t="str">
        <f t="shared" si="103"/>
        <v/>
      </c>
      <c r="F962" s="42" t="str">
        <f t="shared" si="98"/>
        <v/>
      </c>
      <c r="G962" s="42" t="str">
        <f t="shared" si="104"/>
        <v/>
      </c>
      <c r="H962" s="43" t="str">
        <f>IF(C962="","",GETPIVOTDATA("WinPips",ProfitRpt!$A$9,"Trade Month",C962,"Trade Year",B962))</f>
        <v/>
      </c>
      <c r="I962" s="42" t="str">
        <f t="shared" si="99"/>
        <v/>
      </c>
      <c r="J962" s="43" t="str">
        <f t="shared" si="100"/>
        <v/>
      </c>
      <c r="K962" s="44" t="str">
        <f t="shared" si="101"/>
        <v/>
      </c>
      <c r="L962" s="44" t="str">
        <f t="shared" si="102"/>
        <v/>
      </c>
    </row>
    <row r="963" spans="1:12">
      <c r="A963" s="1" t="str">
        <f t="shared" si="103"/>
        <v/>
      </c>
      <c r="F963" s="42" t="str">
        <f t="shared" si="98"/>
        <v/>
      </c>
      <c r="G963" s="42" t="str">
        <f t="shared" si="104"/>
        <v/>
      </c>
      <c r="H963" s="43" t="str">
        <f>IF(C963="","",GETPIVOTDATA("WinPips",ProfitRpt!$A$9,"Trade Month",C963,"Trade Year",B963))</f>
        <v/>
      </c>
      <c r="I963" s="42" t="str">
        <f t="shared" si="99"/>
        <v/>
      </c>
      <c r="J963" s="43" t="str">
        <f t="shared" si="100"/>
        <v/>
      </c>
      <c r="K963" s="44" t="str">
        <f t="shared" si="101"/>
        <v/>
      </c>
      <c r="L963" s="44" t="str">
        <f t="shared" si="102"/>
        <v/>
      </c>
    </row>
    <row r="964" spans="1:12">
      <c r="A964" s="1" t="str">
        <f t="shared" si="103"/>
        <v/>
      </c>
      <c r="F964" s="42" t="str">
        <f t="shared" si="98"/>
        <v/>
      </c>
      <c r="G964" s="42" t="str">
        <f t="shared" si="104"/>
        <v/>
      </c>
      <c r="H964" s="43" t="str">
        <f>IF(C964="","",GETPIVOTDATA("WinPips",ProfitRpt!$A$9,"Trade Month",C964,"Trade Year",B964))</f>
        <v/>
      </c>
      <c r="I964" s="42" t="str">
        <f t="shared" si="99"/>
        <v/>
      </c>
      <c r="J964" s="43" t="str">
        <f t="shared" si="100"/>
        <v/>
      </c>
      <c r="K964" s="44" t="str">
        <f t="shared" si="101"/>
        <v/>
      </c>
      <c r="L964" s="44" t="str">
        <f t="shared" si="102"/>
        <v/>
      </c>
    </row>
    <row r="965" spans="1:12">
      <c r="A965" s="1" t="str">
        <f t="shared" si="103"/>
        <v/>
      </c>
      <c r="F965" s="42" t="str">
        <f t="shared" si="98"/>
        <v/>
      </c>
      <c r="G965" s="42" t="str">
        <f t="shared" si="104"/>
        <v/>
      </c>
      <c r="H965" s="43" t="str">
        <f>IF(C965="","",GETPIVOTDATA("WinPips",ProfitRpt!$A$9,"Trade Month",C965,"Trade Year",B965))</f>
        <v/>
      </c>
      <c r="I965" s="42" t="str">
        <f t="shared" si="99"/>
        <v/>
      </c>
      <c r="J965" s="43" t="str">
        <f t="shared" si="100"/>
        <v/>
      </c>
      <c r="K965" s="44" t="str">
        <f t="shared" si="101"/>
        <v/>
      </c>
      <c r="L965" s="44" t="str">
        <f t="shared" si="102"/>
        <v/>
      </c>
    </row>
    <row r="966" spans="1:12">
      <c r="A966" s="1" t="str">
        <f t="shared" si="103"/>
        <v/>
      </c>
      <c r="F966" s="42" t="str">
        <f t="shared" si="98"/>
        <v/>
      </c>
      <c r="G966" s="42" t="str">
        <f t="shared" si="104"/>
        <v/>
      </c>
      <c r="H966" s="43" t="str">
        <f>IF(C966="","",GETPIVOTDATA("WinPips",ProfitRpt!$A$9,"Trade Month",C966,"Trade Year",B966))</f>
        <v/>
      </c>
      <c r="I966" s="42" t="str">
        <f t="shared" si="99"/>
        <v/>
      </c>
      <c r="J966" s="43" t="str">
        <f t="shared" si="100"/>
        <v/>
      </c>
      <c r="K966" s="44" t="str">
        <f t="shared" si="101"/>
        <v/>
      </c>
      <c r="L966" s="44" t="str">
        <f t="shared" si="102"/>
        <v/>
      </c>
    </row>
    <row r="967" spans="1:12">
      <c r="A967" s="1" t="str">
        <f t="shared" si="103"/>
        <v/>
      </c>
      <c r="F967" s="42" t="str">
        <f t="shared" ref="F967:F1000" si="105">IF(G967="","",E967+G967)</f>
        <v/>
      </c>
      <c r="G967" s="42" t="str">
        <f t="shared" si="104"/>
        <v/>
      </c>
      <c r="H967" s="43" t="str">
        <f>IF(C967="","",GETPIVOTDATA("WinPips",ProfitRpt!$A$9,"Trade Month",C967,"Trade Year",B967))</f>
        <v/>
      </c>
      <c r="I967" s="42" t="str">
        <f t="shared" ref="I967:I1000" si="106">IF(B967="","",IF(B967=B966,I966+G967,G967))</f>
        <v/>
      </c>
      <c r="J967" s="43" t="str">
        <f t="shared" ref="J967:J1000" si="107">IF(B967="","",IF(B966=B967,J966+H967,H967))</f>
        <v/>
      </c>
      <c r="K967" s="44" t="str">
        <f t="shared" ref="K967:K1000" si="108">IF(F967="","",IF(E967="","",(F967-E967)/E967))</f>
        <v/>
      </c>
      <c r="L967" s="44" t="str">
        <f t="shared" ref="L967:L1000" si="109">IF(I967="","",IF(D967="","",I967/D967) )</f>
        <v/>
      </c>
    </row>
    <row r="968" spans="1:12">
      <c r="A968" s="1" t="str">
        <f t="shared" ref="A968:A1000" si="110">IF(C968="","",A967+1)</f>
        <v/>
      </c>
      <c r="F968" s="42" t="str">
        <f t="shared" si="105"/>
        <v/>
      </c>
      <c r="G968" s="42" t="str">
        <f t="shared" ref="G968:G999" si="111">IF(C968="","",H968/10)</f>
        <v/>
      </c>
      <c r="H968" s="43" t="str">
        <f>IF(C968="","",GETPIVOTDATA("WinPips",ProfitRpt!$A$9,"Trade Month",C968,"Trade Year",B968))</f>
        <v/>
      </c>
      <c r="I968" s="42" t="str">
        <f t="shared" si="106"/>
        <v/>
      </c>
      <c r="J968" s="43" t="str">
        <f t="shared" si="107"/>
        <v/>
      </c>
      <c r="K968" s="44" t="str">
        <f t="shared" si="108"/>
        <v/>
      </c>
      <c r="L968" s="44" t="str">
        <f t="shared" si="109"/>
        <v/>
      </c>
    </row>
    <row r="969" spans="1:12">
      <c r="A969" s="1" t="str">
        <f t="shared" si="110"/>
        <v/>
      </c>
      <c r="F969" s="42" t="str">
        <f t="shared" si="105"/>
        <v/>
      </c>
      <c r="G969" s="42" t="str">
        <f t="shared" si="111"/>
        <v/>
      </c>
      <c r="H969" s="43" t="str">
        <f>IF(C969="","",GETPIVOTDATA("WinPips",ProfitRpt!$A$9,"Trade Month",C969,"Trade Year",B969))</f>
        <v/>
      </c>
      <c r="I969" s="42" t="str">
        <f t="shared" si="106"/>
        <v/>
      </c>
      <c r="J969" s="43" t="str">
        <f t="shared" si="107"/>
        <v/>
      </c>
      <c r="K969" s="44" t="str">
        <f t="shared" si="108"/>
        <v/>
      </c>
      <c r="L969" s="44" t="str">
        <f t="shared" si="109"/>
        <v/>
      </c>
    </row>
    <row r="970" spans="1:12">
      <c r="A970" s="1" t="str">
        <f t="shared" si="110"/>
        <v/>
      </c>
      <c r="F970" s="42" t="str">
        <f t="shared" si="105"/>
        <v/>
      </c>
      <c r="G970" s="42" t="str">
        <f t="shared" si="111"/>
        <v/>
      </c>
      <c r="H970" s="43" t="str">
        <f>IF(C970="","",GETPIVOTDATA("WinPips",ProfitRpt!$A$9,"Trade Month",C970,"Trade Year",B970))</f>
        <v/>
      </c>
      <c r="I970" s="42" t="str">
        <f t="shared" si="106"/>
        <v/>
      </c>
      <c r="J970" s="43" t="str">
        <f t="shared" si="107"/>
        <v/>
      </c>
      <c r="K970" s="44" t="str">
        <f t="shared" si="108"/>
        <v/>
      </c>
      <c r="L970" s="44" t="str">
        <f t="shared" si="109"/>
        <v/>
      </c>
    </row>
    <row r="971" spans="1:12">
      <c r="A971" s="1" t="str">
        <f t="shared" si="110"/>
        <v/>
      </c>
      <c r="F971" s="42" t="str">
        <f t="shared" si="105"/>
        <v/>
      </c>
      <c r="G971" s="42" t="str">
        <f t="shared" si="111"/>
        <v/>
      </c>
      <c r="H971" s="43" t="str">
        <f>IF(C971="","",GETPIVOTDATA("WinPips",ProfitRpt!$A$9,"Trade Month",C971,"Trade Year",B971))</f>
        <v/>
      </c>
      <c r="I971" s="42" t="str">
        <f t="shared" si="106"/>
        <v/>
      </c>
      <c r="J971" s="43" t="str">
        <f t="shared" si="107"/>
        <v/>
      </c>
      <c r="K971" s="44" t="str">
        <f t="shared" si="108"/>
        <v/>
      </c>
      <c r="L971" s="44" t="str">
        <f t="shared" si="109"/>
        <v/>
      </c>
    </row>
    <row r="972" spans="1:12">
      <c r="A972" s="1" t="str">
        <f t="shared" si="110"/>
        <v/>
      </c>
      <c r="F972" s="42" t="str">
        <f t="shared" si="105"/>
        <v/>
      </c>
      <c r="G972" s="42" t="str">
        <f t="shared" si="111"/>
        <v/>
      </c>
      <c r="H972" s="43" t="str">
        <f>IF(C972="","",GETPIVOTDATA("WinPips",ProfitRpt!$A$9,"Trade Month",C972,"Trade Year",B972))</f>
        <v/>
      </c>
      <c r="I972" s="42" t="str">
        <f t="shared" si="106"/>
        <v/>
      </c>
      <c r="J972" s="43" t="str">
        <f t="shared" si="107"/>
        <v/>
      </c>
      <c r="K972" s="44" t="str">
        <f t="shared" si="108"/>
        <v/>
      </c>
      <c r="L972" s="44" t="str">
        <f t="shared" si="109"/>
        <v/>
      </c>
    </row>
    <row r="973" spans="1:12">
      <c r="A973" s="1" t="str">
        <f t="shared" si="110"/>
        <v/>
      </c>
      <c r="F973" s="42" t="str">
        <f t="shared" si="105"/>
        <v/>
      </c>
      <c r="G973" s="42" t="str">
        <f t="shared" si="111"/>
        <v/>
      </c>
      <c r="H973" s="43" t="str">
        <f>IF(C973="","",GETPIVOTDATA("WinPips",ProfitRpt!$A$9,"Trade Month",C973,"Trade Year",B973))</f>
        <v/>
      </c>
      <c r="I973" s="42" t="str">
        <f t="shared" si="106"/>
        <v/>
      </c>
      <c r="J973" s="43" t="str">
        <f t="shared" si="107"/>
        <v/>
      </c>
      <c r="K973" s="44" t="str">
        <f t="shared" si="108"/>
        <v/>
      </c>
      <c r="L973" s="44" t="str">
        <f t="shared" si="109"/>
        <v/>
      </c>
    </row>
    <row r="974" spans="1:12">
      <c r="A974" s="1" t="str">
        <f t="shared" si="110"/>
        <v/>
      </c>
      <c r="F974" s="42" t="str">
        <f t="shared" si="105"/>
        <v/>
      </c>
      <c r="G974" s="42" t="str">
        <f t="shared" si="111"/>
        <v/>
      </c>
      <c r="H974" s="43" t="str">
        <f>IF(C974="","",GETPIVOTDATA("WinPips",ProfitRpt!$A$9,"Trade Month",C974,"Trade Year",B974))</f>
        <v/>
      </c>
      <c r="I974" s="42" t="str">
        <f t="shared" si="106"/>
        <v/>
      </c>
      <c r="J974" s="43" t="str">
        <f t="shared" si="107"/>
        <v/>
      </c>
      <c r="K974" s="44" t="str">
        <f t="shared" si="108"/>
        <v/>
      </c>
      <c r="L974" s="44" t="str">
        <f t="shared" si="109"/>
        <v/>
      </c>
    </row>
    <row r="975" spans="1:12">
      <c r="A975" s="1" t="str">
        <f t="shared" si="110"/>
        <v/>
      </c>
      <c r="F975" s="42" t="str">
        <f t="shared" si="105"/>
        <v/>
      </c>
      <c r="G975" s="42" t="str">
        <f t="shared" si="111"/>
        <v/>
      </c>
      <c r="H975" s="43" t="str">
        <f>IF(C975="","",GETPIVOTDATA("WinPips",ProfitRpt!$A$9,"Trade Month",C975,"Trade Year",B975))</f>
        <v/>
      </c>
      <c r="I975" s="42" t="str">
        <f t="shared" si="106"/>
        <v/>
      </c>
      <c r="J975" s="43" t="str">
        <f t="shared" si="107"/>
        <v/>
      </c>
      <c r="K975" s="44" t="str">
        <f t="shared" si="108"/>
        <v/>
      </c>
      <c r="L975" s="44" t="str">
        <f t="shared" si="109"/>
        <v/>
      </c>
    </row>
    <row r="976" spans="1:12">
      <c r="A976" s="1" t="str">
        <f t="shared" si="110"/>
        <v/>
      </c>
      <c r="F976" s="42" t="str">
        <f t="shared" si="105"/>
        <v/>
      </c>
      <c r="G976" s="42" t="str">
        <f t="shared" si="111"/>
        <v/>
      </c>
      <c r="H976" s="43" t="str">
        <f>IF(C976="","",GETPIVOTDATA("WinPips",ProfitRpt!$A$9,"Trade Month",C976,"Trade Year",B976))</f>
        <v/>
      </c>
      <c r="I976" s="42" t="str">
        <f t="shared" si="106"/>
        <v/>
      </c>
      <c r="J976" s="43" t="str">
        <f t="shared" si="107"/>
        <v/>
      </c>
      <c r="K976" s="44" t="str">
        <f t="shared" si="108"/>
        <v/>
      </c>
      <c r="L976" s="44" t="str">
        <f t="shared" si="109"/>
        <v/>
      </c>
    </row>
    <row r="977" spans="1:12">
      <c r="A977" s="1" t="str">
        <f t="shared" si="110"/>
        <v/>
      </c>
      <c r="F977" s="42" t="str">
        <f t="shared" si="105"/>
        <v/>
      </c>
      <c r="G977" s="42" t="str">
        <f t="shared" si="111"/>
        <v/>
      </c>
      <c r="H977" s="43" t="str">
        <f>IF(C977="","",GETPIVOTDATA("WinPips",ProfitRpt!$A$9,"Trade Month",C977,"Trade Year",B977))</f>
        <v/>
      </c>
      <c r="I977" s="42" t="str">
        <f t="shared" si="106"/>
        <v/>
      </c>
      <c r="J977" s="43" t="str">
        <f t="shared" si="107"/>
        <v/>
      </c>
      <c r="K977" s="44" t="str">
        <f t="shared" si="108"/>
        <v/>
      </c>
      <c r="L977" s="44" t="str">
        <f t="shared" si="109"/>
        <v/>
      </c>
    </row>
    <row r="978" spans="1:12">
      <c r="A978" s="1" t="str">
        <f t="shared" si="110"/>
        <v/>
      </c>
      <c r="F978" s="42" t="str">
        <f t="shared" si="105"/>
        <v/>
      </c>
      <c r="G978" s="42" t="str">
        <f t="shared" si="111"/>
        <v/>
      </c>
      <c r="H978" s="43" t="str">
        <f>IF(C978="","",GETPIVOTDATA("WinPips",ProfitRpt!$A$9,"Trade Month",C978,"Trade Year",B978))</f>
        <v/>
      </c>
      <c r="I978" s="42" t="str">
        <f t="shared" si="106"/>
        <v/>
      </c>
      <c r="J978" s="43" t="str">
        <f t="shared" si="107"/>
        <v/>
      </c>
      <c r="K978" s="44" t="str">
        <f t="shared" si="108"/>
        <v/>
      </c>
      <c r="L978" s="44" t="str">
        <f t="shared" si="109"/>
        <v/>
      </c>
    </row>
    <row r="979" spans="1:12">
      <c r="A979" s="1" t="str">
        <f t="shared" si="110"/>
        <v/>
      </c>
      <c r="F979" s="42" t="str">
        <f t="shared" si="105"/>
        <v/>
      </c>
      <c r="G979" s="42" t="str">
        <f t="shared" si="111"/>
        <v/>
      </c>
      <c r="H979" s="43" t="str">
        <f>IF(C979="","",GETPIVOTDATA("WinPips",ProfitRpt!$A$9,"Trade Month",C979,"Trade Year",B979))</f>
        <v/>
      </c>
      <c r="I979" s="42" t="str">
        <f t="shared" si="106"/>
        <v/>
      </c>
      <c r="J979" s="43" t="str">
        <f t="shared" si="107"/>
        <v/>
      </c>
      <c r="K979" s="44" t="str">
        <f t="shared" si="108"/>
        <v/>
      </c>
      <c r="L979" s="44" t="str">
        <f t="shared" si="109"/>
        <v/>
      </c>
    </row>
    <row r="980" spans="1:12">
      <c r="A980" s="1" t="str">
        <f t="shared" si="110"/>
        <v/>
      </c>
      <c r="F980" s="42" t="str">
        <f t="shared" si="105"/>
        <v/>
      </c>
      <c r="G980" s="42" t="str">
        <f t="shared" si="111"/>
        <v/>
      </c>
      <c r="H980" s="43" t="str">
        <f>IF(C980="","",GETPIVOTDATA("WinPips",ProfitRpt!$A$9,"Trade Month",C980,"Trade Year",B980))</f>
        <v/>
      </c>
      <c r="I980" s="42" t="str">
        <f t="shared" si="106"/>
        <v/>
      </c>
      <c r="J980" s="43" t="str">
        <f t="shared" si="107"/>
        <v/>
      </c>
      <c r="K980" s="44" t="str">
        <f t="shared" si="108"/>
        <v/>
      </c>
      <c r="L980" s="44" t="str">
        <f t="shared" si="109"/>
        <v/>
      </c>
    </row>
    <row r="981" spans="1:12">
      <c r="A981" s="1" t="str">
        <f t="shared" si="110"/>
        <v/>
      </c>
      <c r="F981" s="42" t="str">
        <f t="shared" si="105"/>
        <v/>
      </c>
      <c r="G981" s="42" t="str">
        <f t="shared" si="111"/>
        <v/>
      </c>
      <c r="H981" s="43" t="str">
        <f>IF(C981="","",GETPIVOTDATA("WinPips",ProfitRpt!$A$9,"Trade Month",C981,"Trade Year",B981))</f>
        <v/>
      </c>
      <c r="I981" s="42" t="str">
        <f t="shared" si="106"/>
        <v/>
      </c>
      <c r="J981" s="43" t="str">
        <f t="shared" si="107"/>
        <v/>
      </c>
      <c r="K981" s="44" t="str">
        <f t="shared" si="108"/>
        <v/>
      </c>
      <c r="L981" s="44" t="str">
        <f t="shared" si="109"/>
        <v/>
      </c>
    </row>
    <row r="982" spans="1:12">
      <c r="A982" s="1" t="str">
        <f t="shared" si="110"/>
        <v/>
      </c>
      <c r="F982" s="42" t="str">
        <f t="shared" si="105"/>
        <v/>
      </c>
      <c r="G982" s="42" t="str">
        <f t="shared" si="111"/>
        <v/>
      </c>
      <c r="H982" s="43" t="str">
        <f>IF(C982="","",GETPIVOTDATA("WinPips",ProfitRpt!$A$9,"Trade Month",C982,"Trade Year",B982))</f>
        <v/>
      </c>
      <c r="I982" s="42" t="str">
        <f t="shared" si="106"/>
        <v/>
      </c>
      <c r="J982" s="43" t="str">
        <f t="shared" si="107"/>
        <v/>
      </c>
      <c r="K982" s="44" t="str">
        <f t="shared" si="108"/>
        <v/>
      </c>
      <c r="L982" s="44" t="str">
        <f t="shared" si="109"/>
        <v/>
      </c>
    </row>
    <row r="983" spans="1:12">
      <c r="A983" s="1" t="str">
        <f t="shared" si="110"/>
        <v/>
      </c>
      <c r="F983" s="42" t="str">
        <f t="shared" si="105"/>
        <v/>
      </c>
      <c r="G983" s="42" t="str">
        <f t="shared" si="111"/>
        <v/>
      </c>
      <c r="H983" s="43" t="str">
        <f>IF(C983="","",GETPIVOTDATA("WinPips",ProfitRpt!$A$9,"Trade Month",C983,"Trade Year",B983))</f>
        <v/>
      </c>
      <c r="I983" s="42" t="str">
        <f t="shared" si="106"/>
        <v/>
      </c>
      <c r="J983" s="43" t="str">
        <f t="shared" si="107"/>
        <v/>
      </c>
      <c r="K983" s="44" t="str">
        <f t="shared" si="108"/>
        <v/>
      </c>
      <c r="L983" s="44" t="str">
        <f t="shared" si="109"/>
        <v/>
      </c>
    </row>
    <row r="984" spans="1:12">
      <c r="A984" s="1" t="str">
        <f t="shared" si="110"/>
        <v/>
      </c>
      <c r="F984" s="42" t="str">
        <f t="shared" si="105"/>
        <v/>
      </c>
      <c r="G984" s="42" t="str">
        <f t="shared" si="111"/>
        <v/>
      </c>
      <c r="H984" s="43" t="str">
        <f>IF(C984="","",GETPIVOTDATA("WinPips",ProfitRpt!$A$9,"Trade Month",C984,"Trade Year",B984))</f>
        <v/>
      </c>
      <c r="I984" s="42" t="str">
        <f t="shared" si="106"/>
        <v/>
      </c>
      <c r="J984" s="43" t="str">
        <f t="shared" si="107"/>
        <v/>
      </c>
      <c r="K984" s="44" t="str">
        <f t="shared" si="108"/>
        <v/>
      </c>
      <c r="L984" s="44" t="str">
        <f t="shared" si="109"/>
        <v/>
      </c>
    </row>
    <row r="985" spans="1:12">
      <c r="A985" s="1" t="str">
        <f t="shared" si="110"/>
        <v/>
      </c>
      <c r="F985" s="42" t="str">
        <f t="shared" si="105"/>
        <v/>
      </c>
      <c r="G985" s="42" t="str">
        <f t="shared" si="111"/>
        <v/>
      </c>
      <c r="H985" s="43" t="str">
        <f>IF(C985="","",GETPIVOTDATA("WinPips",ProfitRpt!$A$9,"Trade Month",C985,"Trade Year",B985))</f>
        <v/>
      </c>
      <c r="I985" s="42" t="str">
        <f t="shared" si="106"/>
        <v/>
      </c>
      <c r="J985" s="43" t="str">
        <f t="shared" si="107"/>
        <v/>
      </c>
      <c r="K985" s="44" t="str">
        <f t="shared" si="108"/>
        <v/>
      </c>
      <c r="L985" s="44" t="str">
        <f t="shared" si="109"/>
        <v/>
      </c>
    </row>
    <row r="986" spans="1:12">
      <c r="A986" s="1" t="str">
        <f t="shared" si="110"/>
        <v/>
      </c>
      <c r="F986" s="42" t="str">
        <f t="shared" si="105"/>
        <v/>
      </c>
      <c r="G986" s="42" t="str">
        <f t="shared" si="111"/>
        <v/>
      </c>
      <c r="H986" s="43" t="str">
        <f>IF(C986="","",GETPIVOTDATA("WinPips",ProfitRpt!$A$9,"Trade Month",C986,"Trade Year",B986))</f>
        <v/>
      </c>
      <c r="I986" s="42" t="str">
        <f t="shared" si="106"/>
        <v/>
      </c>
      <c r="J986" s="43" t="str">
        <f t="shared" si="107"/>
        <v/>
      </c>
      <c r="K986" s="44" t="str">
        <f t="shared" si="108"/>
        <v/>
      </c>
      <c r="L986" s="44" t="str">
        <f t="shared" si="109"/>
        <v/>
      </c>
    </row>
    <row r="987" spans="1:12">
      <c r="A987" s="1" t="str">
        <f t="shared" si="110"/>
        <v/>
      </c>
      <c r="F987" s="42" t="str">
        <f t="shared" si="105"/>
        <v/>
      </c>
      <c r="G987" s="42" t="str">
        <f t="shared" si="111"/>
        <v/>
      </c>
      <c r="H987" s="43" t="str">
        <f>IF(C987="","",GETPIVOTDATA("WinPips",ProfitRpt!$A$9,"Trade Month",C987,"Trade Year",B987))</f>
        <v/>
      </c>
      <c r="I987" s="42" t="str">
        <f t="shared" si="106"/>
        <v/>
      </c>
      <c r="J987" s="43" t="str">
        <f t="shared" si="107"/>
        <v/>
      </c>
      <c r="K987" s="44" t="str">
        <f t="shared" si="108"/>
        <v/>
      </c>
      <c r="L987" s="44" t="str">
        <f t="shared" si="109"/>
        <v/>
      </c>
    </row>
    <row r="988" spans="1:12">
      <c r="A988" s="1" t="str">
        <f t="shared" si="110"/>
        <v/>
      </c>
      <c r="F988" s="42" t="str">
        <f t="shared" si="105"/>
        <v/>
      </c>
      <c r="G988" s="42" t="str">
        <f t="shared" si="111"/>
        <v/>
      </c>
      <c r="H988" s="43" t="str">
        <f>IF(C988="","",GETPIVOTDATA("WinPips",ProfitRpt!$A$9,"Trade Month",C988,"Trade Year",B988))</f>
        <v/>
      </c>
      <c r="I988" s="42" t="str">
        <f t="shared" si="106"/>
        <v/>
      </c>
      <c r="J988" s="43" t="str">
        <f t="shared" si="107"/>
        <v/>
      </c>
      <c r="K988" s="44" t="str">
        <f t="shared" si="108"/>
        <v/>
      </c>
      <c r="L988" s="44" t="str">
        <f t="shared" si="109"/>
        <v/>
      </c>
    </row>
    <row r="989" spans="1:12">
      <c r="A989" s="1" t="str">
        <f t="shared" si="110"/>
        <v/>
      </c>
      <c r="F989" s="42" t="str">
        <f t="shared" si="105"/>
        <v/>
      </c>
      <c r="G989" s="42" t="str">
        <f t="shared" si="111"/>
        <v/>
      </c>
      <c r="H989" s="43" t="str">
        <f>IF(C989="","",GETPIVOTDATA("WinPips",ProfitRpt!$A$9,"Trade Month",C989,"Trade Year",B989))</f>
        <v/>
      </c>
      <c r="I989" s="42" t="str">
        <f t="shared" si="106"/>
        <v/>
      </c>
      <c r="J989" s="43" t="str">
        <f t="shared" si="107"/>
        <v/>
      </c>
      <c r="K989" s="44" t="str">
        <f t="shared" si="108"/>
        <v/>
      </c>
      <c r="L989" s="44" t="str">
        <f t="shared" si="109"/>
        <v/>
      </c>
    </row>
    <row r="990" spans="1:12">
      <c r="A990" s="1" t="str">
        <f t="shared" si="110"/>
        <v/>
      </c>
      <c r="F990" s="42" t="str">
        <f t="shared" si="105"/>
        <v/>
      </c>
      <c r="G990" s="42" t="str">
        <f t="shared" si="111"/>
        <v/>
      </c>
      <c r="H990" s="43" t="str">
        <f>IF(C990="","",GETPIVOTDATA("WinPips",ProfitRpt!$A$9,"Trade Month",C990,"Trade Year",B990))</f>
        <v/>
      </c>
      <c r="I990" s="42" t="str">
        <f t="shared" si="106"/>
        <v/>
      </c>
      <c r="J990" s="43" t="str">
        <f t="shared" si="107"/>
        <v/>
      </c>
      <c r="K990" s="44" t="str">
        <f t="shared" si="108"/>
        <v/>
      </c>
      <c r="L990" s="44" t="str">
        <f t="shared" si="109"/>
        <v/>
      </c>
    </row>
    <row r="991" spans="1:12">
      <c r="A991" s="1" t="str">
        <f t="shared" si="110"/>
        <v/>
      </c>
      <c r="F991" s="42" t="str">
        <f t="shared" si="105"/>
        <v/>
      </c>
      <c r="G991" s="42" t="str">
        <f t="shared" si="111"/>
        <v/>
      </c>
      <c r="H991" s="43" t="str">
        <f>IF(C991="","",GETPIVOTDATA("WinPips",ProfitRpt!$A$9,"Trade Month",C991,"Trade Year",B991))</f>
        <v/>
      </c>
      <c r="I991" s="42" t="str">
        <f t="shared" si="106"/>
        <v/>
      </c>
      <c r="J991" s="43" t="str">
        <f t="shared" si="107"/>
        <v/>
      </c>
      <c r="K991" s="44" t="str">
        <f t="shared" si="108"/>
        <v/>
      </c>
      <c r="L991" s="44" t="str">
        <f t="shared" si="109"/>
        <v/>
      </c>
    </row>
    <row r="992" spans="1:12">
      <c r="A992" s="1" t="str">
        <f t="shared" si="110"/>
        <v/>
      </c>
      <c r="F992" s="42" t="str">
        <f t="shared" si="105"/>
        <v/>
      </c>
      <c r="G992" s="42" t="str">
        <f t="shared" si="111"/>
        <v/>
      </c>
      <c r="H992" s="43" t="str">
        <f>IF(C992="","",GETPIVOTDATA("WinPips",ProfitRpt!$A$9,"Trade Month",C992,"Trade Year",B992))</f>
        <v/>
      </c>
      <c r="I992" s="42" t="str">
        <f t="shared" si="106"/>
        <v/>
      </c>
      <c r="J992" s="43" t="str">
        <f t="shared" si="107"/>
        <v/>
      </c>
      <c r="K992" s="44" t="str">
        <f t="shared" si="108"/>
        <v/>
      </c>
      <c r="L992" s="44" t="str">
        <f t="shared" si="109"/>
        <v/>
      </c>
    </row>
    <row r="993" spans="1:12">
      <c r="A993" s="1" t="str">
        <f t="shared" si="110"/>
        <v/>
      </c>
      <c r="F993" s="42" t="str">
        <f t="shared" si="105"/>
        <v/>
      </c>
      <c r="G993" s="42" t="str">
        <f t="shared" si="111"/>
        <v/>
      </c>
      <c r="H993" s="43" t="str">
        <f>IF(C993="","",GETPIVOTDATA("WinPips",ProfitRpt!$A$9,"Trade Month",C993,"Trade Year",B993))</f>
        <v/>
      </c>
      <c r="I993" s="42" t="str">
        <f t="shared" si="106"/>
        <v/>
      </c>
      <c r="J993" s="43" t="str">
        <f t="shared" si="107"/>
        <v/>
      </c>
      <c r="K993" s="44" t="str">
        <f t="shared" si="108"/>
        <v/>
      </c>
      <c r="L993" s="44" t="str">
        <f t="shared" si="109"/>
        <v/>
      </c>
    </row>
    <row r="994" spans="1:12">
      <c r="A994" s="1" t="str">
        <f t="shared" si="110"/>
        <v/>
      </c>
      <c r="F994" s="42" t="str">
        <f t="shared" si="105"/>
        <v/>
      </c>
      <c r="G994" s="42" t="str">
        <f t="shared" si="111"/>
        <v/>
      </c>
      <c r="H994" s="43" t="str">
        <f>IF(C994="","",GETPIVOTDATA("WinPips",ProfitRpt!$A$9,"Trade Month",C994,"Trade Year",B994))</f>
        <v/>
      </c>
      <c r="I994" s="42" t="str">
        <f t="shared" si="106"/>
        <v/>
      </c>
      <c r="J994" s="43" t="str">
        <f t="shared" si="107"/>
        <v/>
      </c>
      <c r="K994" s="44" t="str">
        <f t="shared" si="108"/>
        <v/>
      </c>
      <c r="L994" s="44" t="str">
        <f t="shared" si="109"/>
        <v/>
      </c>
    </row>
    <row r="995" spans="1:12">
      <c r="A995" s="1" t="str">
        <f t="shared" si="110"/>
        <v/>
      </c>
      <c r="F995" s="42" t="str">
        <f t="shared" si="105"/>
        <v/>
      </c>
      <c r="G995" s="42" t="str">
        <f t="shared" si="111"/>
        <v/>
      </c>
      <c r="H995" s="43" t="str">
        <f>IF(C995="","",GETPIVOTDATA("WinPips",ProfitRpt!$A$9,"Trade Month",C995,"Trade Year",B995))</f>
        <v/>
      </c>
      <c r="I995" s="42" t="str">
        <f t="shared" si="106"/>
        <v/>
      </c>
      <c r="J995" s="43" t="str">
        <f t="shared" si="107"/>
        <v/>
      </c>
      <c r="K995" s="44" t="str">
        <f t="shared" si="108"/>
        <v/>
      </c>
      <c r="L995" s="44" t="str">
        <f t="shared" si="109"/>
        <v/>
      </c>
    </row>
    <row r="996" spans="1:12">
      <c r="A996" s="1" t="str">
        <f t="shared" si="110"/>
        <v/>
      </c>
      <c r="F996" s="42" t="str">
        <f t="shared" si="105"/>
        <v/>
      </c>
      <c r="G996" s="42" t="str">
        <f t="shared" si="111"/>
        <v/>
      </c>
      <c r="H996" s="43" t="str">
        <f>IF(C996="","",GETPIVOTDATA("WinPips",ProfitRpt!$A$9,"Trade Month",C996,"Trade Year",B996))</f>
        <v/>
      </c>
      <c r="I996" s="42" t="str">
        <f t="shared" si="106"/>
        <v/>
      </c>
      <c r="J996" s="43" t="str">
        <f t="shared" si="107"/>
        <v/>
      </c>
      <c r="K996" s="44" t="str">
        <f t="shared" si="108"/>
        <v/>
      </c>
      <c r="L996" s="44" t="str">
        <f t="shared" si="109"/>
        <v/>
      </c>
    </row>
    <row r="997" spans="1:12">
      <c r="A997" s="1" t="str">
        <f t="shared" si="110"/>
        <v/>
      </c>
      <c r="F997" s="42" t="str">
        <f t="shared" si="105"/>
        <v/>
      </c>
      <c r="G997" s="42" t="str">
        <f t="shared" si="111"/>
        <v/>
      </c>
      <c r="H997" s="43" t="str">
        <f>IF(C997="","",GETPIVOTDATA("WinPips",ProfitRpt!$A$9,"Trade Month",C997,"Trade Year",B997))</f>
        <v/>
      </c>
      <c r="I997" s="42" t="str">
        <f t="shared" si="106"/>
        <v/>
      </c>
      <c r="J997" s="43" t="str">
        <f t="shared" si="107"/>
        <v/>
      </c>
      <c r="K997" s="44" t="str">
        <f t="shared" si="108"/>
        <v/>
      </c>
      <c r="L997" s="44" t="str">
        <f t="shared" si="109"/>
        <v/>
      </c>
    </row>
    <row r="998" spans="1:12">
      <c r="A998" s="1" t="str">
        <f t="shared" si="110"/>
        <v/>
      </c>
      <c r="F998" s="42" t="str">
        <f t="shared" si="105"/>
        <v/>
      </c>
      <c r="G998" s="42" t="str">
        <f t="shared" si="111"/>
        <v/>
      </c>
      <c r="H998" s="43" t="str">
        <f>IF(C998="","",GETPIVOTDATA("WinPips",ProfitRpt!$A$9,"Trade Month",C998,"Trade Year",B998))</f>
        <v/>
      </c>
      <c r="I998" s="42" t="str">
        <f t="shared" si="106"/>
        <v/>
      </c>
      <c r="J998" s="43" t="str">
        <f t="shared" si="107"/>
        <v/>
      </c>
      <c r="K998" s="44" t="str">
        <f t="shared" si="108"/>
        <v/>
      </c>
      <c r="L998" s="44" t="str">
        <f t="shared" si="109"/>
        <v/>
      </c>
    </row>
    <row r="999" spans="1:12">
      <c r="A999" s="1" t="str">
        <f t="shared" si="110"/>
        <v/>
      </c>
      <c r="F999" s="42" t="str">
        <f t="shared" si="105"/>
        <v/>
      </c>
      <c r="G999" s="42" t="str">
        <f t="shared" si="111"/>
        <v/>
      </c>
      <c r="H999" s="43" t="str">
        <f>IF(C999="","",GETPIVOTDATA("WinPips",ProfitRpt!$A$9,"Trade Month",C999,"Trade Year",B999))</f>
        <v/>
      </c>
      <c r="I999" s="42" t="str">
        <f t="shared" si="106"/>
        <v/>
      </c>
      <c r="J999" s="43" t="str">
        <f t="shared" si="107"/>
        <v/>
      </c>
      <c r="K999" s="44" t="str">
        <f t="shared" si="108"/>
        <v/>
      </c>
      <c r="L999" s="44" t="str">
        <f t="shared" si="109"/>
        <v/>
      </c>
    </row>
    <row r="1000" spans="1:12">
      <c r="A1000" s="1" t="str">
        <f t="shared" si="110"/>
        <v/>
      </c>
      <c r="F1000" s="42" t="str">
        <f t="shared" si="105"/>
        <v/>
      </c>
      <c r="G1000" s="42" t="str">
        <f>IF(C1000="","",GETPIVOTDATA("Actual Profit/Loss By Pips",ProfitRpt!$C$7,"Trade Month",C1000,"Trade Year",B1000))</f>
        <v/>
      </c>
      <c r="H1000" s="43" t="str">
        <f>IF(C1000="","",GETPIVOTDATA("WinPips",ProfitRpt!$A$9,"Trade Month",C1000,"Trade Year",B1000))</f>
        <v/>
      </c>
      <c r="I1000" s="42" t="str">
        <f t="shared" si="106"/>
        <v/>
      </c>
      <c r="J1000" s="43" t="str">
        <f t="shared" si="107"/>
        <v/>
      </c>
      <c r="K1000" s="44" t="str">
        <f t="shared" si="108"/>
        <v/>
      </c>
      <c r="L1000" s="44" t="str">
        <f t="shared" si="109"/>
        <v/>
      </c>
    </row>
  </sheetData>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workbookViewId="0">
      <pane ySplit="5" topLeftCell="A7" activePane="bottomLeft" state="frozen"/>
      <selection pane="bottomLeft" activeCell="B11" sqref="B11"/>
    </sheetView>
  </sheetViews>
  <sheetFormatPr defaultColWidth="9" defaultRowHeight="13.2"/>
  <cols>
    <col min="1" max="1" width="11.3984375" style="32" customWidth="1"/>
    <col min="2" max="2" width="12.796875" style="32" customWidth="1"/>
    <col min="3" max="3" width="7.3984375" style="32" customWidth="1"/>
    <col min="4" max="4" width="14.796875" style="32" customWidth="1"/>
    <col min="5" max="5" width="11.5" style="32" customWidth="1"/>
    <col min="6" max="6" width="12.796875" style="32" customWidth="1"/>
    <col min="7" max="7" width="15" style="32" customWidth="1"/>
    <col min="8" max="8" width="21.19921875" style="32" customWidth="1"/>
    <col min="9" max="9" width="10.19921875" style="32" customWidth="1"/>
    <col min="10" max="10" width="20.59765625" style="32" bestFit="1" customWidth="1"/>
    <col min="11" max="16384" width="9" style="32"/>
  </cols>
  <sheetData>
    <row r="1" spans="1:31" s="8" customFormat="1" ht="25.5" customHeight="1">
      <c r="A1" s="70" t="s">
        <v>84</v>
      </c>
      <c r="B1" s="35"/>
      <c r="C1" s="35"/>
      <c r="D1" s="35"/>
      <c r="E1" s="35"/>
      <c r="F1" s="35"/>
      <c r="G1" s="35"/>
      <c r="H1" s="9"/>
      <c r="I1" s="9"/>
      <c r="J1" s="7"/>
      <c r="K1" s="10"/>
      <c r="L1" s="6"/>
      <c r="M1" s="18"/>
      <c r="N1" s="20"/>
      <c r="O1" s="18"/>
      <c r="P1" s="19"/>
      <c r="Q1" s="15"/>
      <c r="R1" s="20"/>
      <c r="S1" s="6"/>
      <c r="T1" s="6"/>
      <c r="U1" s="29"/>
      <c r="V1" s="18"/>
      <c r="W1" s="9"/>
      <c r="X1" s="9"/>
      <c r="Y1" s="13"/>
      <c r="Z1" s="13"/>
      <c r="AA1" s="13"/>
      <c r="AB1" s="13"/>
      <c r="AC1" s="13"/>
      <c r="AD1" s="13"/>
      <c r="AE1" s="13"/>
    </row>
    <row r="2" spans="1:31" s="8" customFormat="1" ht="13.5" customHeight="1">
      <c r="A2" s="35"/>
      <c r="B2" s="35"/>
      <c r="C2" s="35"/>
      <c r="D2" s="35"/>
      <c r="E2" s="35"/>
      <c r="F2" s="35"/>
      <c r="G2" s="35"/>
      <c r="H2" s="27"/>
      <c r="I2" s="27"/>
      <c r="J2" s="27"/>
      <c r="K2" s="27"/>
      <c r="L2" s="27"/>
      <c r="M2" s="27"/>
      <c r="N2" s="27"/>
      <c r="O2" s="18"/>
      <c r="P2" s="19"/>
      <c r="Q2" s="15"/>
      <c r="R2" s="20"/>
      <c r="S2" s="6"/>
      <c r="T2" s="6"/>
      <c r="U2" s="29"/>
      <c r="V2" s="18"/>
      <c r="W2" s="9"/>
      <c r="X2" s="9"/>
      <c r="Y2" s="13"/>
      <c r="Z2" s="13"/>
      <c r="AA2" s="13"/>
      <c r="AB2" s="13"/>
      <c r="AC2" s="13"/>
      <c r="AD2" s="13"/>
      <c r="AE2" s="13"/>
    </row>
    <row r="3" spans="1:31" s="8" customFormat="1" ht="15.6">
      <c r="A3" s="35"/>
      <c r="B3" s="35"/>
      <c r="C3" s="35"/>
      <c r="D3" s="35"/>
      <c r="E3" s="35"/>
      <c r="F3" s="35"/>
      <c r="G3" s="35"/>
      <c r="H3" s="16"/>
      <c r="I3" s="21"/>
      <c r="J3" s="7"/>
      <c r="K3" s="24"/>
      <c r="L3" s="23"/>
      <c r="M3" s="26"/>
      <c r="N3" s="17"/>
      <c r="O3" s="30"/>
      <c r="P3" s="19"/>
      <c r="Q3" s="15"/>
      <c r="R3" s="20"/>
      <c r="S3" s="6"/>
      <c r="T3" s="6"/>
      <c r="U3" s="29"/>
      <c r="V3" s="18"/>
      <c r="W3" s="9"/>
      <c r="X3" s="9"/>
      <c r="Y3" s="13"/>
      <c r="Z3" s="13"/>
      <c r="AA3" s="13"/>
      <c r="AB3" s="13"/>
      <c r="AC3" s="13"/>
      <c r="AD3" s="13"/>
      <c r="AE3" s="13"/>
    </row>
    <row r="4" spans="1:31" s="8" customFormat="1">
      <c r="A4" s="264" t="s">
        <v>85</v>
      </c>
      <c r="B4" s="265"/>
      <c r="C4" s="265"/>
      <c r="D4" s="265"/>
      <c r="E4" s="265"/>
      <c r="F4" s="265"/>
      <c r="G4" s="265"/>
      <c r="H4" s="16"/>
      <c r="I4" s="16"/>
      <c r="J4" s="14"/>
      <c r="K4" s="24"/>
      <c r="L4" s="22"/>
      <c r="M4" s="25"/>
      <c r="N4" s="17"/>
      <c r="O4" s="18"/>
      <c r="P4" s="19"/>
      <c r="Q4" s="15"/>
      <c r="R4" s="20"/>
      <c r="S4" s="6"/>
      <c r="T4" s="6"/>
      <c r="U4" s="29"/>
      <c r="V4" s="18"/>
      <c r="W4" s="9"/>
      <c r="X4" s="9"/>
      <c r="Y4" s="13"/>
      <c r="Z4" s="13"/>
      <c r="AA4" s="13"/>
      <c r="AB4" s="13"/>
      <c r="AC4" s="13"/>
      <c r="AD4" s="13"/>
      <c r="AE4" s="13"/>
    </row>
    <row r="5" spans="1:31" s="8" customFormat="1" ht="13.5" customHeight="1">
      <c r="A5" s="265"/>
      <c r="B5" s="265"/>
      <c r="C5" s="265"/>
      <c r="D5" s="265"/>
      <c r="E5" s="265"/>
      <c r="F5" s="265"/>
      <c r="G5" s="265"/>
      <c r="I5" s="9"/>
      <c r="J5" s="7"/>
      <c r="K5" s="10"/>
      <c r="L5" s="6"/>
      <c r="M5" s="18"/>
      <c r="N5" s="20"/>
      <c r="O5" s="18"/>
      <c r="P5" s="19"/>
      <c r="Q5" s="15"/>
      <c r="R5" s="20"/>
      <c r="S5" s="6"/>
      <c r="T5" s="6"/>
      <c r="U5" s="29"/>
      <c r="V5" s="18"/>
      <c r="W5" s="9"/>
      <c r="X5" s="9"/>
      <c r="Y5" s="13"/>
      <c r="Z5" s="13"/>
      <c r="AA5" s="13"/>
      <c r="AB5" s="13"/>
      <c r="AC5" s="13"/>
      <c r="AD5" s="13"/>
      <c r="AE5" s="13"/>
    </row>
    <row r="6" spans="1:31">
      <c r="E6" s="32" t="s">
        <v>31</v>
      </c>
    </row>
    <row r="7" spans="1:31" ht="15.6">
      <c r="C7"/>
      <c r="D7"/>
      <c r="H7"/>
      <c r="I7"/>
      <c r="J7"/>
      <c r="K7"/>
      <c r="L7"/>
    </row>
    <row r="8" spans="1:31" ht="15.6">
      <c r="C8"/>
      <c r="D8"/>
      <c r="H8"/>
      <c r="I8"/>
      <c r="J8"/>
      <c r="K8"/>
      <c r="L8"/>
    </row>
    <row r="9" spans="1:31" ht="15.6">
      <c r="A9" s="216" t="s">
        <v>26</v>
      </c>
      <c r="B9" s="216" t="s">
        <v>25</v>
      </c>
      <c r="C9" s="221" t="s">
        <v>132</v>
      </c>
      <c r="D9"/>
      <c r="E9" s="216" t="s">
        <v>26</v>
      </c>
      <c r="F9" s="216" t="s">
        <v>25</v>
      </c>
      <c r="G9" s="221" t="s">
        <v>139</v>
      </c>
      <c r="H9"/>
      <c r="I9"/>
      <c r="J9"/>
      <c r="K9"/>
      <c r="L9"/>
    </row>
    <row r="10" spans="1:31" ht="15.6">
      <c r="A10" s="222" t="s">
        <v>138</v>
      </c>
      <c r="B10" s="224"/>
      <c r="C10" s="225"/>
      <c r="D10"/>
      <c r="E10" s="217" t="s">
        <v>138</v>
      </c>
      <c r="F10" s="217"/>
      <c r="G10" s="223">
        <v>0</v>
      </c>
      <c r="H10"/>
      <c r="I10"/>
      <c r="J10"/>
      <c r="K10"/>
      <c r="L10"/>
    </row>
    <row r="11" spans="1:31" ht="15.6">
      <c r="A11" s="224"/>
      <c r="B11" s="224"/>
      <c r="C11" s="225">
        <v>0</v>
      </c>
      <c r="D11"/>
      <c r="E11" s="224"/>
      <c r="F11" s="224"/>
      <c r="G11" s="225"/>
      <c r="H11"/>
      <c r="I11"/>
      <c r="J11"/>
      <c r="K11"/>
      <c r="L11"/>
    </row>
    <row r="12" spans="1:31" ht="15.6">
      <c r="A12" s="224"/>
      <c r="B12" s="224"/>
      <c r="C12" s="225"/>
      <c r="D12"/>
      <c r="E12" s="218" t="s">
        <v>91</v>
      </c>
      <c r="F12" s="218"/>
      <c r="G12" s="219">
        <v>0</v>
      </c>
      <c r="H12"/>
      <c r="I12"/>
      <c r="J12"/>
      <c r="K12"/>
      <c r="L12"/>
    </row>
    <row r="13" spans="1:31" ht="15.6">
      <c r="A13" s="218" t="s">
        <v>91</v>
      </c>
      <c r="B13" s="218"/>
      <c r="C13" s="219">
        <v>0</v>
      </c>
      <c r="D13"/>
      <c r="E13"/>
      <c r="F13"/>
      <c r="G13"/>
      <c r="H13"/>
      <c r="I13"/>
      <c r="J13"/>
      <c r="K13"/>
      <c r="L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8"/>
      <c r="B23" s="28"/>
      <c r="C23" s="28"/>
      <c r="D23" s="31"/>
      <c r="E23" s="28"/>
      <c r="F23" s="28"/>
      <c r="G23" s="28"/>
    </row>
    <row r="24" spans="1:10" ht="15.6">
      <c r="A24" s="28"/>
      <c r="B24" s="28"/>
      <c r="C24" s="28"/>
      <c r="D24" s="31"/>
      <c r="E24" s="28"/>
      <c r="F24" s="28"/>
      <c r="G24" s="28"/>
    </row>
    <row r="25" spans="1:10" ht="15.6">
      <c r="A25" s="28"/>
      <c r="B25" s="28"/>
      <c r="C25" s="28"/>
      <c r="D25" s="31"/>
      <c r="E25" s="28"/>
      <c r="F25" s="28"/>
      <c r="G25" s="28"/>
    </row>
    <row r="26" spans="1:10" ht="15.6">
      <c r="A26" s="28"/>
      <c r="B26" s="28"/>
      <c r="C26" s="28"/>
      <c r="D26" s="31"/>
      <c r="E26" s="28"/>
      <c r="F26" s="28"/>
      <c r="G26" s="28"/>
    </row>
    <row r="27" spans="1:10" ht="15.6">
      <c r="A27" s="28"/>
      <c r="B27" s="28"/>
      <c r="C27" s="28"/>
      <c r="D27" s="31"/>
      <c r="E27" s="28"/>
      <c r="F27" s="28"/>
      <c r="G27" s="28"/>
    </row>
    <row r="28" spans="1:10" ht="15.6">
      <c r="A28" s="28"/>
      <c r="B28" s="28"/>
      <c r="C28" s="28"/>
      <c r="D28" s="31"/>
      <c r="E28" s="28"/>
      <c r="F28" s="28"/>
      <c r="G28" s="28"/>
    </row>
    <row r="29" spans="1:10" s="33" customFormat="1" ht="15.6">
      <c r="A29" s="28"/>
      <c r="B29" s="28"/>
      <c r="C29" s="28"/>
      <c r="D29" s="34"/>
      <c r="E29" s="28"/>
      <c r="F29" s="28"/>
      <c r="G29" s="28"/>
    </row>
    <row r="30" spans="1:10" ht="15.6">
      <c r="A30" s="28"/>
      <c r="B30" s="28"/>
      <c r="C30" s="28"/>
      <c r="D30" s="31"/>
      <c r="E30" s="28"/>
      <c r="F30" s="28"/>
      <c r="G30" s="28"/>
    </row>
    <row r="31" spans="1:10" ht="15.6">
      <c r="A31" s="28"/>
      <c r="B31" s="28"/>
      <c r="C31" s="28"/>
      <c r="E31" s="28"/>
      <c r="F31" s="28"/>
      <c r="G31" s="28"/>
    </row>
    <row r="32" spans="1:10" ht="15.6">
      <c r="A32" s="28"/>
      <c r="B32" s="28"/>
      <c r="C32" s="28"/>
      <c r="E32" s="28"/>
      <c r="F32" s="28"/>
      <c r="G32" s="28"/>
    </row>
    <row r="33" spans="1:7" ht="15.6">
      <c r="A33" s="28"/>
      <c r="B33" s="28"/>
      <c r="C33" s="28"/>
      <c r="E33" s="28"/>
      <c r="F33" s="28"/>
      <c r="G33" s="28"/>
    </row>
    <row r="34" spans="1:7" ht="15.6">
      <c r="A34" s="28"/>
      <c r="B34" s="28"/>
      <c r="C34" s="28"/>
      <c r="E34" s="28"/>
      <c r="F34" s="28"/>
      <c r="G34" s="28"/>
    </row>
    <row r="35" spans="1:7" ht="15.6">
      <c r="A35" s="28"/>
      <c r="B35" s="28"/>
      <c r="C35" s="28"/>
      <c r="E35" s="28"/>
      <c r="F35" s="28"/>
      <c r="G35" s="28"/>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8" sqref="F8"/>
    </sheetView>
  </sheetViews>
  <sheetFormatPr defaultColWidth="9" defaultRowHeight="13.2"/>
  <cols>
    <col min="1" max="1" width="12" style="32" customWidth="1"/>
    <col min="2" max="2" width="12.796875" style="32" customWidth="1"/>
    <col min="3" max="3" width="7.3984375" style="32" customWidth="1"/>
    <col min="4" max="4" width="14.796875" style="32" customWidth="1"/>
    <col min="5" max="6" width="12.59765625" style="32" customWidth="1"/>
    <col min="7" max="7" width="12.796875" style="32" customWidth="1"/>
    <col min="8" max="8" width="21.19921875" style="32" customWidth="1"/>
    <col min="9" max="9" width="20.59765625" style="32" customWidth="1"/>
    <col min="10" max="10" width="22.8984375" style="32" customWidth="1"/>
    <col min="11" max="16384" width="9" style="32"/>
  </cols>
  <sheetData>
    <row r="1" spans="1:34" s="8" customFormat="1" ht="34.5" customHeight="1">
      <c r="A1" s="70" t="s">
        <v>36</v>
      </c>
      <c r="B1" s="35"/>
      <c r="C1" s="35"/>
      <c r="D1" s="35"/>
      <c r="E1" s="35"/>
      <c r="F1" s="35"/>
      <c r="G1" s="35"/>
      <c r="H1" s="35"/>
      <c r="I1" s="35"/>
      <c r="J1" s="35"/>
      <c r="K1" s="9"/>
      <c r="L1" s="9"/>
      <c r="M1" s="7"/>
      <c r="N1" s="10"/>
      <c r="O1" s="6"/>
      <c r="P1" s="18"/>
      <c r="Q1" s="20"/>
      <c r="R1" s="18"/>
      <c r="S1" s="19"/>
      <c r="T1" s="15"/>
      <c r="U1" s="20"/>
      <c r="V1" s="6"/>
      <c r="W1" s="6"/>
      <c r="X1" s="29"/>
      <c r="Y1" s="18"/>
      <c r="Z1" s="9"/>
      <c r="AA1" s="9"/>
      <c r="AB1" s="13"/>
      <c r="AC1" s="13"/>
      <c r="AD1" s="13"/>
      <c r="AE1" s="13"/>
      <c r="AF1" s="13"/>
      <c r="AG1" s="13"/>
      <c r="AH1" s="13"/>
    </row>
    <row r="2" spans="1:34" s="8" customFormat="1" ht="17.25" customHeight="1">
      <c r="A2" s="71"/>
      <c r="B2" s="72"/>
      <c r="C2" s="72"/>
      <c r="D2" s="72"/>
      <c r="E2" s="72"/>
      <c r="F2" s="72"/>
      <c r="G2" s="72"/>
      <c r="H2" s="72"/>
      <c r="I2" s="72"/>
      <c r="J2" s="72"/>
      <c r="K2" s="27"/>
      <c r="L2" s="27"/>
      <c r="M2" s="27"/>
      <c r="N2" s="27"/>
      <c r="O2" s="27"/>
      <c r="P2" s="27"/>
      <c r="Q2" s="27"/>
      <c r="R2" s="18"/>
      <c r="S2" s="19"/>
      <c r="T2" s="15"/>
      <c r="U2" s="20"/>
      <c r="V2" s="6"/>
      <c r="W2" s="6"/>
      <c r="X2" s="29"/>
      <c r="Y2" s="18"/>
      <c r="Z2" s="9"/>
      <c r="AA2" s="9"/>
      <c r="AB2" s="13"/>
      <c r="AC2" s="13"/>
      <c r="AD2" s="13"/>
      <c r="AE2" s="13"/>
      <c r="AF2" s="13"/>
      <c r="AG2" s="13"/>
      <c r="AH2" s="13"/>
    </row>
    <row r="3" spans="1:34" s="36" customFormat="1" ht="22.5" customHeight="1">
      <c r="A3" s="268" t="s">
        <v>87</v>
      </c>
      <c r="B3" s="269"/>
      <c r="C3" s="269"/>
      <c r="D3" s="269"/>
      <c r="E3" s="269"/>
      <c r="F3" s="269"/>
      <c r="G3" s="269"/>
      <c r="H3" s="269"/>
      <c r="I3" s="269"/>
    </row>
    <row r="4" spans="1:34" s="8" customFormat="1" ht="15.75" customHeight="1">
      <c r="A4" s="35"/>
      <c r="B4" s="35"/>
      <c r="C4" s="35"/>
      <c r="D4" s="266" t="s">
        <v>86</v>
      </c>
      <c r="E4" s="266"/>
      <c r="F4" s="266"/>
      <c r="G4" s="266"/>
      <c r="H4" s="267"/>
      <c r="I4" s="266"/>
      <c r="J4" s="35"/>
      <c r="K4" s="16"/>
      <c r="L4" s="16"/>
      <c r="M4" s="14"/>
      <c r="N4" s="24"/>
      <c r="O4" s="22"/>
      <c r="P4" s="25"/>
      <c r="Q4" s="17"/>
      <c r="R4" s="18"/>
      <c r="S4" s="19"/>
      <c r="T4" s="15"/>
      <c r="U4" s="20"/>
      <c r="V4" s="6"/>
      <c r="W4" s="6"/>
      <c r="X4" s="29"/>
      <c r="Y4" s="18"/>
      <c r="Z4" s="9"/>
      <c r="AA4" s="9"/>
      <c r="AB4" s="13"/>
      <c r="AC4" s="13"/>
      <c r="AD4" s="13"/>
      <c r="AE4" s="13"/>
      <c r="AF4" s="13"/>
      <c r="AG4" s="13"/>
      <c r="AH4" s="13"/>
    </row>
    <row r="5" spans="1:34" s="8" customFormat="1" ht="13.5" customHeight="1">
      <c r="A5" s="35"/>
      <c r="B5" s="35"/>
      <c r="C5" s="35"/>
      <c r="D5" s="35"/>
      <c r="E5" s="35"/>
      <c r="F5" s="35"/>
      <c r="G5" s="35"/>
      <c r="H5" s="35"/>
      <c r="I5" s="35"/>
      <c r="J5" s="35"/>
      <c r="L5" s="9"/>
      <c r="M5" s="7"/>
      <c r="N5" s="10"/>
      <c r="O5" s="6"/>
      <c r="P5" s="18"/>
      <c r="Q5" s="20"/>
      <c r="R5" s="18"/>
      <c r="S5" s="19"/>
      <c r="T5" s="15"/>
      <c r="U5" s="20"/>
      <c r="V5" s="6"/>
      <c r="W5" s="6"/>
      <c r="X5" s="29"/>
      <c r="Y5" s="18"/>
      <c r="Z5" s="9"/>
      <c r="AA5" s="9"/>
      <c r="AB5" s="13"/>
      <c r="AC5" s="13"/>
      <c r="AD5" s="13"/>
      <c r="AE5" s="13"/>
      <c r="AF5" s="13"/>
      <c r="AG5" s="13"/>
      <c r="AH5" s="13"/>
    </row>
    <row r="6" spans="1:34">
      <c r="H6" s="32" t="s">
        <v>37</v>
      </c>
    </row>
    <row r="8" spans="1:34" ht="15.6">
      <c r="A8" s="216" t="s">
        <v>26</v>
      </c>
      <c r="B8" s="216" t="s">
        <v>25</v>
      </c>
      <c r="C8" s="221" t="s">
        <v>132</v>
      </c>
      <c r="D8"/>
      <c r="F8" s="216" t="s">
        <v>26</v>
      </c>
      <c r="G8" s="216" t="s">
        <v>25</v>
      </c>
      <c r="H8" s="221" t="s">
        <v>122</v>
      </c>
      <c r="I8"/>
    </row>
    <row r="9" spans="1:34" ht="15.6">
      <c r="A9" s="217" t="s">
        <v>138</v>
      </c>
      <c r="B9" s="220"/>
      <c r="C9" s="225"/>
      <c r="D9"/>
      <c r="F9" s="218" t="s">
        <v>91</v>
      </c>
      <c r="G9" s="218"/>
      <c r="H9" s="226"/>
      <c r="I9"/>
    </row>
    <row r="10" spans="1:34" ht="15.6">
      <c r="A10" s="224"/>
      <c r="B10" s="224"/>
      <c r="C10" s="225">
        <v>0</v>
      </c>
      <c r="D10"/>
      <c r="F10"/>
      <c r="G10"/>
      <c r="H10"/>
      <c r="I10"/>
    </row>
    <row r="11" spans="1:34" ht="15.6">
      <c r="A11" s="224"/>
      <c r="B11" s="224"/>
      <c r="C11" s="225"/>
      <c r="D11"/>
      <c r="F11"/>
      <c r="G11"/>
      <c r="H11"/>
      <c r="I11"/>
    </row>
    <row r="12" spans="1:34" ht="15.6">
      <c r="A12" s="218" t="s">
        <v>91</v>
      </c>
      <c r="B12" s="218"/>
      <c r="C12" s="219">
        <v>0</v>
      </c>
      <c r="D12"/>
      <c r="F12"/>
      <c r="G12"/>
      <c r="H12"/>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8"/>
      <c r="B29" s="28"/>
      <c r="C29" s="28"/>
      <c r="D29" s="28"/>
      <c r="F29" s="28"/>
      <c r="G29" s="28"/>
      <c r="H29" s="28"/>
      <c r="I29" s="28"/>
    </row>
    <row r="30" spans="1:9" ht="15.6">
      <c r="A30" s="28"/>
      <c r="B30" s="28"/>
      <c r="C30" s="28"/>
      <c r="D30" s="28"/>
      <c r="F30" s="28"/>
      <c r="G30" s="28"/>
      <c r="H30" s="28"/>
      <c r="I30" s="28"/>
    </row>
    <row r="31" spans="1:9" ht="15.6">
      <c r="A31" s="28"/>
      <c r="B31" s="28"/>
      <c r="C31" s="28"/>
      <c r="D31" s="28"/>
      <c r="F31" s="28"/>
      <c r="G31" s="28"/>
      <c r="H31" s="28"/>
      <c r="I31" s="28"/>
    </row>
    <row r="32" spans="1:9" ht="15.6">
      <c r="A32" s="28"/>
      <c r="B32" s="28"/>
      <c r="C32" s="28"/>
      <c r="D32" s="28"/>
      <c r="F32" s="28"/>
      <c r="G32" s="28"/>
      <c r="H32" s="28"/>
      <c r="I32" s="28"/>
    </row>
    <row r="33" spans="1:9" ht="15.6">
      <c r="A33" s="28"/>
      <c r="B33" s="28"/>
      <c r="C33" s="28"/>
      <c r="D33" s="28"/>
      <c r="F33" s="28"/>
      <c r="G33" s="28"/>
      <c r="H33" s="28"/>
      <c r="I33" s="28"/>
    </row>
    <row r="34" spans="1:9" ht="15.6">
      <c r="A34" s="28"/>
      <c r="B34" s="28"/>
      <c r="C34" s="28"/>
      <c r="D34" s="28"/>
      <c r="F34" s="28"/>
      <c r="G34" s="28"/>
      <c r="H34" s="28"/>
      <c r="I34" s="28"/>
    </row>
    <row r="35" spans="1:9" ht="15.6">
      <c r="A35" s="28"/>
      <c r="B35" s="28"/>
      <c r="C35" s="28"/>
      <c r="D35" s="28"/>
      <c r="F35" s="28"/>
      <c r="G35" s="28"/>
      <c r="H35" s="28"/>
      <c r="I35" s="28"/>
    </row>
    <row r="36" spans="1:9" ht="15.6">
      <c r="A36" s="28"/>
      <c r="B36" s="28"/>
      <c r="C36" s="28"/>
      <c r="D36" s="28"/>
      <c r="F36" s="28"/>
      <c r="G36" s="28"/>
      <c r="H36" s="28"/>
      <c r="I36" s="28"/>
    </row>
    <row r="37" spans="1:9" ht="15.6">
      <c r="A37" s="28"/>
      <c r="B37" s="28"/>
      <c r="C37" s="28"/>
      <c r="D37" s="28"/>
      <c r="F37" s="28"/>
      <c r="G37" s="28"/>
      <c r="H37" s="28"/>
      <c r="I37" s="28"/>
    </row>
    <row r="38" spans="1:9" ht="15.6">
      <c r="A38" s="28"/>
      <c r="B38" s="28"/>
      <c r="C38" s="28"/>
      <c r="D38" s="28"/>
      <c r="F38" s="28"/>
      <c r="G38" s="28"/>
      <c r="H38" s="28"/>
      <c r="I38" s="28"/>
    </row>
    <row r="39" spans="1:9" ht="15.6">
      <c r="A39" s="28"/>
      <c r="B39" s="28"/>
      <c r="C39" s="28"/>
      <c r="D39" s="28"/>
      <c r="F39" s="28"/>
      <c r="G39" s="28"/>
      <c r="H39" s="28"/>
      <c r="I39" s="28"/>
    </row>
    <row r="40" spans="1:9" ht="15.6">
      <c r="A40" s="28"/>
      <c r="B40" s="28"/>
      <c r="C40" s="28"/>
      <c r="D40" s="28"/>
      <c r="F40" s="28"/>
      <c r="G40" s="28"/>
      <c r="H40" s="28"/>
      <c r="I40" s="28"/>
    </row>
    <row r="41" spans="1:9" ht="15.6">
      <c r="A41" s="28"/>
      <c r="B41" s="28"/>
      <c r="C41" s="28"/>
      <c r="D41" s="28"/>
      <c r="F41" s="28"/>
      <c r="G41" s="28"/>
      <c r="H41" s="28"/>
      <c r="I41" s="28"/>
    </row>
    <row r="42" spans="1:9" ht="15.6">
      <c r="A42" s="28"/>
      <c r="B42" s="28"/>
      <c r="C42" s="28"/>
      <c r="D42" s="28"/>
      <c r="F42" s="28"/>
      <c r="G42" s="28"/>
      <c r="H42" s="28"/>
      <c r="I42" s="28"/>
    </row>
    <row r="43" spans="1:9" ht="15.6">
      <c r="A43" s="28"/>
      <c r="B43" s="28"/>
      <c r="C43" s="28"/>
      <c r="D43" s="28"/>
      <c r="F43" s="28"/>
      <c r="G43" s="28"/>
      <c r="H43" s="28"/>
      <c r="I43" s="28"/>
    </row>
    <row r="44" spans="1:9" ht="15.6">
      <c r="A44" s="28"/>
      <c r="B44" s="28"/>
      <c r="C44" s="28"/>
      <c r="D44" s="28"/>
      <c r="F44" s="28"/>
      <c r="G44" s="28"/>
      <c r="H44" s="28"/>
      <c r="I44" s="28"/>
    </row>
    <row r="45" spans="1:9" ht="15.6">
      <c r="A45" s="28"/>
      <c r="B45" s="28"/>
      <c r="C45" s="28"/>
      <c r="D45" s="28"/>
      <c r="F45" s="28"/>
      <c r="G45" s="28"/>
      <c r="H45" s="28"/>
      <c r="I45" s="28"/>
    </row>
    <row r="46" spans="1:9" ht="15.6">
      <c r="A46" s="28"/>
      <c r="B46" s="28"/>
      <c r="C46" s="28"/>
      <c r="D46" s="28"/>
      <c r="F46" s="28"/>
      <c r="G46" s="28"/>
      <c r="H46" s="28"/>
      <c r="I46" s="28"/>
    </row>
    <row r="47" spans="1:9" ht="15.6">
      <c r="A47" s="28"/>
      <c r="B47" s="28"/>
      <c r="C47" s="28"/>
      <c r="D47" s="28"/>
      <c r="F47" s="28"/>
      <c r="G47" s="28"/>
      <c r="H47" s="28"/>
      <c r="I47" s="28"/>
    </row>
    <row r="48" spans="1:9" ht="15.6">
      <c r="A48" s="28"/>
      <c r="B48" s="28"/>
      <c r="C48" s="28"/>
      <c r="D48" s="28"/>
      <c r="F48" s="28"/>
      <c r="G48" s="28"/>
      <c r="H48" s="28"/>
      <c r="I48" s="28"/>
    </row>
    <row r="49" spans="1:9" ht="15.6">
      <c r="A49" s="28"/>
      <c r="B49" s="28"/>
      <c r="C49" s="28"/>
      <c r="D49" s="28"/>
      <c r="F49" s="28"/>
      <c r="G49" s="28"/>
      <c r="H49" s="28"/>
      <c r="I49" s="28"/>
    </row>
    <row r="50" spans="1:9" ht="15.6">
      <c r="A50" s="28"/>
      <c r="B50" s="28"/>
      <c r="C50" s="28"/>
      <c r="D50" s="28"/>
      <c r="F50" s="28"/>
      <c r="G50" s="28"/>
      <c r="H50" s="28"/>
      <c r="I50" s="28"/>
    </row>
    <row r="51" spans="1:9" ht="15.6">
      <c r="A51" s="28"/>
      <c r="B51" s="28"/>
      <c r="C51" s="28"/>
      <c r="D51" s="28"/>
      <c r="F51" s="28"/>
      <c r="G51" s="28"/>
      <c r="H51" s="28"/>
      <c r="I51" s="28"/>
    </row>
    <row r="52" spans="1:9" ht="15.6">
      <c r="A52" s="28"/>
      <c r="B52" s="28"/>
      <c r="C52" s="28"/>
      <c r="D52" s="28"/>
      <c r="F52" s="28"/>
      <c r="G52" s="28"/>
      <c r="H52" s="28"/>
      <c r="I52" s="28"/>
    </row>
    <row r="53" spans="1:9" ht="15.6">
      <c r="A53" s="28"/>
      <c r="B53" s="28"/>
      <c r="C53" s="28"/>
      <c r="D53" s="28"/>
      <c r="F53" s="28"/>
      <c r="G53" s="28"/>
      <c r="H53" s="28"/>
      <c r="I53" s="28"/>
    </row>
    <row r="54" spans="1:9" ht="15.6">
      <c r="A54" s="28"/>
      <c r="B54" s="28"/>
      <c r="C54" s="28"/>
      <c r="D54" s="28"/>
      <c r="F54" s="28"/>
      <c r="G54" s="28"/>
      <c r="H54" s="28"/>
      <c r="I54" s="28"/>
    </row>
    <row r="55" spans="1:9" ht="15.6">
      <c r="A55" s="28"/>
      <c r="B55" s="28"/>
      <c r="C55" s="28"/>
      <c r="D55" s="28"/>
      <c r="F55" s="28"/>
      <c r="G55" s="28"/>
      <c r="H55" s="28"/>
      <c r="I55" s="28"/>
    </row>
    <row r="56" spans="1:9" ht="15.6">
      <c r="A56" s="28"/>
      <c r="B56" s="28"/>
      <c r="C56" s="28"/>
      <c r="D56" s="28"/>
      <c r="F56" s="28"/>
      <c r="G56" s="28"/>
      <c r="H56" s="28"/>
      <c r="I56" s="28"/>
    </row>
    <row r="57" spans="1:9" ht="15.6">
      <c r="A57" s="28"/>
      <c r="B57" s="28"/>
      <c r="C57" s="28"/>
      <c r="D57" s="28"/>
      <c r="F57" s="28"/>
      <c r="G57" s="28"/>
      <c r="H57" s="28"/>
      <c r="I57" s="28"/>
    </row>
    <row r="58" spans="1:9" ht="15.6">
      <c r="A58" s="28"/>
      <c r="B58" s="28"/>
      <c r="C58" s="28"/>
      <c r="D58" s="28"/>
      <c r="F58" s="28"/>
      <c r="G58" s="28"/>
      <c r="H58" s="28"/>
      <c r="I58" s="28"/>
    </row>
    <row r="59" spans="1:9" ht="15.6">
      <c r="A59" s="28"/>
      <c r="B59" s="28"/>
      <c r="C59" s="28"/>
      <c r="D59" s="28"/>
      <c r="F59" s="28"/>
      <c r="G59" s="28"/>
      <c r="H59" s="28"/>
      <c r="I59" s="28"/>
    </row>
    <row r="60" spans="1:9" ht="15.6">
      <c r="A60" s="28"/>
      <c r="B60" s="28"/>
      <c r="C60" s="28"/>
      <c r="D60" s="28"/>
      <c r="F60" s="28"/>
      <c r="G60" s="28"/>
      <c r="H60" s="28"/>
      <c r="I60" s="28"/>
    </row>
    <row r="61" spans="1:9" ht="15.6">
      <c r="A61" s="28"/>
      <c r="B61" s="28"/>
      <c r="C61" s="28"/>
      <c r="D61" s="28"/>
      <c r="F61" s="28"/>
      <c r="G61" s="28"/>
      <c r="H61" s="28"/>
      <c r="I61" s="28"/>
    </row>
    <row r="62" spans="1:9" ht="15.6">
      <c r="A62" s="28"/>
      <c r="B62" s="28"/>
      <c r="C62" s="28"/>
      <c r="D62" s="28"/>
      <c r="F62" s="28"/>
      <c r="G62" s="28"/>
      <c r="H62" s="28"/>
      <c r="I62" s="28"/>
    </row>
    <row r="63" spans="1:9" ht="15.6">
      <c r="A63" s="28"/>
      <c r="B63" s="28"/>
      <c r="C63" s="28"/>
      <c r="D63" s="28"/>
      <c r="F63" s="28"/>
      <c r="G63" s="28"/>
      <c r="H63" s="28"/>
      <c r="I63" s="28"/>
    </row>
    <row r="64" spans="1:9" ht="15.6">
      <c r="A64" s="28"/>
      <c r="B64" s="28"/>
      <c r="C64" s="28"/>
      <c r="D64" s="28"/>
      <c r="F64" s="28"/>
      <c r="G64" s="28"/>
      <c r="H64" s="28"/>
      <c r="I64" s="28"/>
    </row>
    <row r="65" spans="1:9" ht="15.6">
      <c r="A65" s="28"/>
      <c r="B65" s="28"/>
      <c r="C65" s="28"/>
      <c r="D65" s="28"/>
      <c r="F65" s="28"/>
      <c r="G65" s="28"/>
      <c r="H65" s="28"/>
      <c r="I65" s="28"/>
    </row>
    <row r="66" spans="1:9" ht="15.6">
      <c r="A66" s="28"/>
      <c r="B66" s="28"/>
      <c r="C66" s="28"/>
      <c r="D66" s="28"/>
      <c r="F66" s="28"/>
      <c r="G66" s="28"/>
      <c r="H66" s="28"/>
      <c r="I66" s="28"/>
    </row>
    <row r="67" spans="1:9" ht="15.6">
      <c r="A67" s="28"/>
      <c r="B67" s="28"/>
      <c r="C67" s="28"/>
      <c r="D67" s="28"/>
      <c r="F67" s="28"/>
      <c r="G67" s="28"/>
      <c r="H67" s="28"/>
      <c r="I67" s="28"/>
    </row>
    <row r="68" spans="1:9" ht="15.6">
      <c r="A68" s="28"/>
      <c r="B68" s="28"/>
      <c r="C68" s="28"/>
      <c r="D68" s="28"/>
      <c r="F68" s="28"/>
      <c r="G68" s="28"/>
      <c r="H68" s="28"/>
      <c r="I68" s="28"/>
    </row>
    <row r="69" spans="1:9" ht="15.6">
      <c r="A69" s="28"/>
      <c r="B69" s="28"/>
      <c r="C69" s="28"/>
      <c r="D69" s="28"/>
      <c r="F69" s="28"/>
      <c r="G69" s="28"/>
      <c r="H69" s="28"/>
      <c r="I69" s="28"/>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2" customWidth="1"/>
    <col min="2" max="2" width="21.69921875" style="32" customWidth="1"/>
    <col min="3" max="3" width="21.3984375" style="32" customWidth="1"/>
    <col min="4" max="4" width="12.59765625" style="32" customWidth="1"/>
    <col min="5" max="5" width="11.3984375" style="32" customWidth="1"/>
    <col min="6" max="6" width="21.19921875" style="32" customWidth="1"/>
    <col min="7" max="7" width="20.59765625" style="32" customWidth="1"/>
    <col min="8" max="16384" width="9" style="32"/>
  </cols>
  <sheetData>
    <row r="1" spans="1:31" s="8" customFormat="1" ht="39.75" customHeight="1">
      <c r="A1" s="70" t="s">
        <v>34</v>
      </c>
      <c r="B1" s="35"/>
      <c r="C1" s="35"/>
      <c r="D1" s="35"/>
      <c r="E1" s="35"/>
      <c r="F1" s="35"/>
      <c r="G1" s="35"/>
      <c r="H1" s="9"/>
      <c r="I1" s="9"/>
      <c r="J1" s="7"/>
      <c r="K1" s="10"/>
      <c r="L1" s="6"/>
      <c r="M1" s="18"/>
      <c r="N1" s="20"/>
      <c r="O1" s="18"/>
      <c r="P1" s="19"/>
      <c r="Q1" s="15"/>
      <c r="R1" s="20"/>
      <c r="S1" s="6"/>
      <c r="T1" s="6"/>
      <c r="U1" s="29"/>
      <c r="V1" s="18"/>
      <c r="W1" s="9"/>
      <c r="X1" s="9"/>
      <c r="Y1" s="13"/>
      <c r="Z1" s="13"/>
      <c r="AA1" s="13"/>
      <c r="AB1" s="13"/>
      <c r="AC1" s="13"/>
      <c r="AD1" s="13"/>
      <c r="AE1" s="13"/>
    </row>
    <row r="2" spans="1:31" s="8" customFormat="1" ht="15.75" customHeight="1">
      <c r="A2" s="71"/>
      <c r="B2" s="72"/>
      <c r="C2" s="72"/>
      <c r="D2" s="72"/>
      <c r="E2" s="72"/>
      <c r="F2" s="72"/>
      <c r="G2" s="72"/>
      <c r="H2" s="27"/>
      <c r="I2" s="27"/>
      <c r="J2" s="27"/>
      <c r="K2" s="27"/>
      <c r="L2" s="27"/>
      <c r="M2" s="27"/>
      <c r="N2" s="27"/>
      <c r="O2" s="18"/>
      <c r="P2" s="19"/>
      <c r="Q2" s="15"/>
      <c r="R2" s="20"/>
      <c r="S2" s="6"/>
      <c r="T2" s="6"/>
      <c r="U2" s="29"/>
      <c r="V2" s="18"/>
      <c r="W2" s="9"/>
      <c r="X2" s="9"/>
      <c r="Y2" s="13"/>
      <c r="Z2" s="13"/>
      <c r="AA2" s="13"/>
      <c r="AB2" s="13"/>
      <c r="AC2" s="13"/>
      <c r="AD2" s="13"/>
      <c r="AE2" s="13"/>
    </row>
    <row r="3" spans="1:31" s="36" customFormat="1" ht="19.5" customHeight="1">
      <c r="A3" s="268" t="s">
        <v>35</v>
      </c>
      <c r="B3" s="270"/>
      <c r="C3" s="270"/>
      <c r="D3" s="270"/>
      <c r="E3" s="270"/>
      <c r="F3" s="270"/>
      <c r="G3" s="271"/>
    </row>
    <row r="4" spans="1:31" s="8" customFormat="1" ht="15.6">
      <c r="A4" s="35"/>
      <c r="B4" s="35"/>
      <c r="C4" s="35"/>
      <c r="D4" s="266" t="s">
        <v>33</v>
      </c>
      <c r="E4" s="267"/>
      <c r="F4" s="266"/>
      <c r="G4" s="35"/>
      <c r="H4" s="16"/>
      <c r="I4" s="16"/>
      <c r="J4" s="14"/>
      <c r="K4" s="24"/>
      <c r="L4" s="22"/>
      <c r="M4" s="25"/>
      <c r="N4" s="17"/>
      <c r="O4" s="18"/>
      <c r="P4" s="19"/>
      <c r="Q4" s="15"/>
      <c r="R4" s="20"/>
      <c r="S4" s="6"/>
      <c r="T4" s="6"/>
      <c r="U4" s="29"/>
      <c r="V4" s="18"/>
      <c r="W4" s="9"/>
      <c r="X4" s="9"/>
      <c r="Y4" s="13"/>
      <c r="Z4" s="13"/>
      <c r="AA4" s="13"/>
      <c r="AB4" s="13"/>
      <c r="AC4" s="13"/>
      <c r="AD4" s="13"/>
      <c r="AE4" s="13"/>
    </row>
    <row r="5" spans="1:31" s="8" customFormat="1" ht="13.5" customHeight="1">
      <c r="A5" s="35"/>
      <c r="B5" s="35"/>
      <c r="C5" s="35"/>
      <c r="D5" s="35"/>
      <c r="E5" s="35"/>
      <c r="F5" s="35"/>
      <c r="G5" s="35"/>
      <c r="I5" s="9"/>
      <c r="J5" s="7"/>
      <c r="K5" s="10"/>
      <c r="L5" s="6"/>
      <c r="M5" s="18"/>
      <c r="N5" s="20"/>
      <c r="O5" s="18"/>
      <c r="P5" s="19"/>
      <c r="Q5" s="15"/>
      <c r="R5" s="20"/>
      <c r="S5" s="6"/>
      <c r="T5" s="6"/>
      <c r="U5" s="29"/>
      <c r="V5" s="18"/>
      <c r="W5" s="9"/>
      <c r="X5" s="9"/>
      <c r="Y5" s="13"/>
      <c r="Z5" s="13"/>
      <c r="AA5" s="13"/>
      <c r="AB5" s="13"/>
      <c r="AC5" s="13"/>
      <c r="AD5" s="13"/>
      <c r="AE5" s="13"/>
    </row>
    <row r="6" spans="1:31" ht="15.6">
      <c r="A6"/>
      <c r="B6"/>
      <c r="E6"/>
      <c r="F6"/>
    </row>
    <row r="8" spans="1:31" ht="15.6">
      <c r="A8" s="216" t="s">
        <v>26</v>
      </c>
      <c r="B8" s="221" t="s">
        <v>32</v>
      </c>
      <c r="C8"/>
      <c r="E8" s="216" t="s">
        <v>26</v>
      </c>
      <c r="F8" s="221" t="s">
        <v>122</v>
      </c>
      <c r="G8"/>
    </row>
    <row r="9" spans="1:31" ht="15.6">
      <c r="A9" s="218" t="s">
        <v>91</v>
      </c>
      <c r="B9" s="219"/>
      <c r="C9"/>
      <c r="E9" s="218" t="s">
        <v>91</v>
      </c>
      <c r="F9" s="226"/>
      <c r="G9"/>
    </row>
    <row r="10" spans="1:31" ht="15.6">
      <c r="A10"/>
      <c r="B10"/>
      <c r="C10"/>
      <c r="E10"/>
      <c r="F10"/>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8"/>
      <c r="F20" s="28"/>
      <c r="G20" s="28"/>
    </row>
    <row r="21" spans="1:7" ht="15.6">
      <c r="A21"/>
      <c r="B21"/>
      <c r="C21"/>
      <c r="E21" s="28"/>
      <c r="F21" s="28"/>
      <c r="G21" s="28"/>
    </row>
    <row r="22" spans="1:7" ht="15.6">
      <c r="A22" s="28"/>
      <c r="B22" s="28"/>
      <c r="C22" s="28"/>
      <c r="E22" s="28"/>
      <c r="F22" s="28"/>
      <c r="G22" s="28"/>
    </row>
    <row r="23" spans="1:7" ht="15.6">
      <c r="A23" s="28"/>
      <c r="B23" s="28"/>
      <c r="C23" s="28"/>
      <c r="E23" s="28"/>
      <c r="F23" s="28"/>
      <c r="G23" s="28"/>
    </row>
    <row r="24" spans="1:7" ht="15.6">
      <c r="A24" s="28"/>
      <c r="B24" s="28"/>
      <c r="C24" s="28"/>
      <c r="E24" s="28"/>
      <c r="F24" s="28"/>
      <c r="G24" s="28"/>
    </row>
    <row r="25" spans="1:7" ht="15.6">
      <c r="A25" s="28"/>
      <c r="B25" s="28"/>
      <c r="C25" s="28"/>
      <c r="E25" s="28"/>
      <c r="F25" s="28"/>
      <c r="G25" s="28"/>
    </row>
    <row r="26" spans="1:7" ht="15.6">
      <c r="A26" s="28"/>
      <c r="B26" s="28"/>
      <c r="C26" s="28"/>
      <c r="E26" s="28"/>
      <c r="F26" s="28"/>
      <c r="G26" s="28"/>
    </row>
    <row r="27" spans="1:7" ht="15.6">
      <c r="A27" s="28"/>
      <c r="B27" s="28"/>
      <c r="C27" s="28"/>
      <c r="E27" s="28"/>
      <c r="F27" s="28"/>
      <c r="G27" s="28"/>
    </row>
    <row r="28" spans="1:7" ht="15.6">
      <c r="A28" s="28"/>
      <c r="B28" s="28"/>
      <c r="C28" s="28"/>
      <c r="E28" s="28"/>
      <c r="F28" s="28"/>
      <c r="G28" s="28"/>
    </row>
    <row r="29" spans="1:7" ht="15.6">
      <c r="A29" s="28"/>
      <c r="B29" s="28"/>
      <c r="C29" s="28"/>
      <c r="E29" s="28"/>
      <c r="F29" s="28"/>
      <c r="G29" s="28"/>
    </row>
    <row r="30" spans="1:7" ht="15.6">
      <c r="A30" s="28"/>
      <c r="B30" s="28"/>
      <c r="C30" s="28"/>
      <c r="E30" s="28"/>
      <c r="F30" s="28"/>
      <c r="G30" s="28"/>
    </row>
    <row r="31" spans="1:7" ht="15.6">
      <c r="A31" s="28"/>
      <c r="B31" s="28"/>
      <c r="C31" s="28"/>
      <c r="E31" s="28"/>
      <c r="F31" s="28"/>
      <c r="G31" s="28"/>
    </row>
    <row r="32" spans="1:7" ht="15.6">
      <c r="A32" s="28"/>
      <c r="B32" s="28"/>
      <c r="C32" s="28"/>
      <c r="E32" s="28"/>
      <c r="F32" s="28"/>
      <c r="G32" s="28"/>
    </row>
    <row r="33" spans="1:7" ht="15.6">
      <c r="A33" s="28"/>
      <c r="B33" s="28"/>
      <c r="C33" s="28"/>
      <c r="E33" s="28"/>
      <c r="F33" s="28"/>
      <c r="G33" s="28"/>
    </row>
    <row r="34" spans="1:7" ht="15.6">
      <c r="A34" s="28"/>
      <c r="B34" s="28"/>
      <c r="C34" s="28"/>
    </row>
    <row r="35" spans="1:7" ht="15.6">
      <c r="A35" s="28"/>
      <c r="B35" s="28"/>
      <c r="C35" s="28"/>
    </row>
    <row r="36" spans="1:7" ht="15.6">
      <c r="A36" s="28"/>
      <c r="B36" s="28"/>
      <c r="C36" s="28"/>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922"/>
  <sheetViews>
    <sheetView workbookViewId="0">
      <pane ySplit="1" topLeftCell="A2" activePane="bottomLeft" state="frozen"/>
      <selection pane="bottomLeft" activeCell="A2" sqref="A2"/>
    </sheetView>
  </sheetViews>
  <sheetFormatPr defaultRowHeight="15.6"/>
  <cols>
    <col min="1" max="1" width="18.09765625" bestFit="1" customWidth="1"/>
    <col min="2" max="2" width="7.296875" bestFit="1" customWidth="1"/>
    <col min="3" max="3" width="4.796875" bestFit="1" customWidth="1"/>
    <col min="4" max="4" width="7.8984375" bestFit="1" customWidth="1"/>
    <col min="5" max="5" width="8.796875" bestFit="1" customWidth="1"/>
    <col min="6" max="6" width="10.8984375" bestFit="1" customWidth="1"/>
    <col min="7" max="7" width="19.09765625" bestFit="1" customWidth="1"/>
    <col min="8" max="8" width="11.8984375" bestFit="1" customWidth="1"/>
    <col min="9" max="9" width="14"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4" t="s">
        <v>103</v>
      </c>
      <c r="B1" s="164" t="s">
        <v>130</v>
      </c>
      <c r="C1" s="164" t="s">
        <v>105</v>
      </c>
      <c r="D1" s="164" t="s">
        <v>104</v>
      </c>
      <c r="E1" s="164" t="s">
        <v>106</v>
      </c>
      <c r="F1" s="164" t="s">
        <v>107</v>
      </c>
      <c r="G1" s="164" t="s">
        <v>108</v>
      </c>
      <c r="H1" s="164" t="s">
        <v>134</v>
      </c>
      <c r="I1" s="164" t="s">
        <v>111</v>
      </c>
    </row>
    <row r="2" spans="1:9">
      <c r="A2" s="201">
        <v>200</v>
      </c>
      <c r="B2" s="194">
        <f>ROUNDDOWN((A2*0.01)/(70*0.00478)*0.01,2)</f>
        <v>0.05</v>
      </c>
      <c r="C2" s="194">
        <v>5</v>
      </c>
      <c r="D2" s="195">
        <v>1200</v>
      </c>
      <c r="E2" s="195">
        <f t="shared" ref="E2:E33" si="0">D2/C2</f>
        <v>240</v>
      </c>
      <c r="F2" s="201">
        <f>E2*B2*0.00478*100</f>
        <v>5.7360000000000007</v>
      </c>
      <c r="G2" s="204">
        <v>42013.397361111114</v>
      </c>
      <c r="H2" s="203">
        <v>0</v>
      </c>
      <c r="I2" s="203">
        <f t="shared" ref="I2:I33" si="1">A2-H2</f>
        <v>200</v>
      </c>
    </row>
    <row r="3" spans="1:9">
      <c r="A3" s="196">
        <f>A2*1.045</f>
        <v>209</v>
      </c>
      <c r="B3" s="194">
        <f t="shared" ref="B3:B66" si="2">ROUNDDOWN((A3*0.01)/(70*0.00478)*0.01,2)</f>
        <v>0.06</v>
      </c>
      <c r="C3" s="194">
        <v>5</v>
      </c>
      <c r="D3" s="195">
        <v>1200</v>
      </c>
      <c r="E3" s="195">
        <f t="shared" si="0"/>
        <v>240</v>
      </c>
      <c r="F3" s="201">
        <f t="shared" ref="F3:F66" si="3">E3*B3*0.00478*100</f>
        <v>6.8832000000000004</v>
      </c>
      <c r="G3" s="197">
        <f t="shared" ref="G3:G34" si="4">DATE(YEAR(G2),MONTH(G2),DAY(G2)+2+C3)</f>
        <v>42020</v>
      </c>
      <c r="H3" s="198">
        <f>A3-A2</f>
        <v>9</v>
      </c>
      <c r="I3" s="198">
        <f t="shared" si="1"/>
        <v>200</v>
      </c>
    </row>
    <row r="4" spans="1:9">
      <c r="A4" s="196">
        <f t="shared" ref="A4:A67" si="5">A3*1.045</f>
        <v>218.40499999999997</v>
      </c>
      <c r="B4" s="194">
        <f t="shared" si="2"/>
        <v>0.06</v>
      </c>
      <c r="C4" s="194">
        <v>5</v>
      </c>
      <c r="D4" s="195">
        <v>1200</v>
      </c>
      <c r="E4" s="195">
        <f t="shared" si="0"/>
        <v>240</v>
      </c>
      <c r="F4" s="201">
        <f t="shared" si="3"/>
        <v>6.8832000000000004</v>
      </c>
      <c r="G4" s="197">
        <f t="shared" si="4"/>
        <v>42027</v>
      </c>
      <c r="H4" s="198">
        <f t="shared" ref="H4:H67" si="6">A4-A3</f>
        <v>9.4049999999999727</v>
      </c>
      <c r="I4" s="198">
        <f t="shared" si="1"/>
        <v>209</v>
      </c>
    </row>
    <row r="5" spans="1:9">
      <c r="A5" s="196">
        <f t="shared" si="5"/>
        <v>228.23322499999995</v>
      </c>
      <c r="B5" s="194">
        <f t="shared" si="2"/>
        <v>0.06</v>
      </c>
      <c r="C5" s="194">
        <v>5</v>
      </c>
      <c r="D5" s="195">
        <v>1200</v>
      </c>
      <c r="E5" s="195">
        <f t="shared" si="0"/>
        <v>240</v>
      </c>
      <c r="F5" s="201">
        <f t="shared" si="3"/>
        <v>6.8832000000000004</v>
      </c>
      <c r="G5" s="197">
        <f t="shared" si="4"/>
        <v>42034</v>
      </c>
      <c r="H5" s="198">
        <f t="shared" si="6"/>
        <v>9.8282249999999749</v>
      </c>
      <c r="I5" s="198">
        <f t="shared" si="1"/>
        <v>218.40499999999997</v>
      </c>
    </row>
    <row r="6" spans="1:9">
      <c r="A6" s="196">
        <f t="shared" si="5"/>
        <v>238.50372012499992</v>
      </c>
      <c r="B6" s="194">
        <f t="shared" si="2"/>
        <v>7.0000000000000007E-2</v>
      </c>
      <c r="C6" s="194">
        <v>5</v>
      </c>
      <c r="D6" s="195">
        <v>1200</v>
      </c>
      <c r="E6" s="195">
        <f t="shared" si="0"/>
        <v>240</v>
      </c>
      <c r="F6" s="201">
        <f t="shared" si="3"/>
        <v>8.030400000000002</v>
      </c>
      <c r="G6" s="197">
        <f t="shared" si="4"/>
        <v>42041</v>
      </c>
      <c r="H6" s="198">
        <f t="shared" si="6"/>
        <v>10.270495124999968</v>
      </c>
      <c r="I6" s="198">
        <f t="shared" si="1"/>
        <v>228.23322499999995</v>
      </c>
    </row>
    <row r="7" spans="1:9">
      <c r="A7" s="196">
        <f t="shared" si="5"/>
        <v>249.23638753062488</v>
      </c>
      <c r="B7" s="194">
        <f t="shared" si="2"/>
        <v>7.0000000000000007E-2</v>
      </c>
      <c r="C7" s="194">
        <v>5</v>
      </c>
      <c r="D7" s="195">
        <v>1200</v>
      </c>
      <c r="E7" s="195">
        <f t="shared" si="0"/>
        <v>240</v>
      </c>
      <c r="F7" s="201">
        <f t="shared" si="3"/>
        <v>8.030400000000002</v>
      </c>
      <c r="G7" s="197">
        <f t="shared" si="4"/>
        <v>42048</v>
      </c>
      <c r="H7" s="198">
        <f t="shared" si="6"/>
        <v>10.732667405624966</v>
      </c>
      <c r="I7" s="198">
        <f t="shared" si="1"/>
        <v>238.50372012499992</v>
      </c>
    </row>
    <row r="8" spans="1:9">
      <c r="A8" s="196">
        <f t="shared" si="5"/>
        <v>260.45202496950299</v>
      </c>
      <c r="B8" s="194">
        <f t="shared" si="2"/>
        <v>7.0000000000000007E-2</v>
      </c>
      <c r="C8" s="194">
        <v>5</v>
      </c>
      <c r="D8" s="195">
        <v>1200</v>
      </c>
      <c r="E8" s="195">
        <f t="shared" si="0"/>
        <v>240</v>
      </c>
      <c r="F8" s="201">
        <f t="shared" si="3"/>
        <v>8.030400000000002</v>
      </c>
      <c r="G8" s="197">
        <f t="shared" si="4"/>
        <v>42055</v>
      </c>
      <c r="H8" s="198">
        <f t="shared" si="6"/>
        <v>11.215637438878105</v>
      </c>
      <c r="I8" s="198">
        <f t="shared" si="1"/>
        <v>249.23638753062488</v>
      </c>
    </row>
    <row r="9" spans="1:9">
      <c r="A9" s="196">
        <f t="shared" si="5"/>
        <v>272.17236609313062</v>
      </c>
      <c r="B9" s="194">
        <f t="shared" si="2"/>
        <v>0.08</v>
      </c>
      <c r="C9" s="194">
        <v>5</v>
      </c>
      <c r="D9" s="195">
        <v>1200</v>
      </c>
      <c r="E9" s="195">
        <f t="shared" si="0"/>
        <v>240</v>
      </c>
      <c r="F9" s="201">
        <f t="shared" si="3"/>
        <v>9.1776000000000018</v>
      </c>
      <c r="G9" s="197">
        <f t="shared" si="4"/>
        <v>42062</v>
      </c>
      <c r="H9" s="198">
        <f t="shared" si="6"/>
        <v>11.720341123627634</v>
      </c>
      <c r="I9" s="198">
        <f t="shared" si="1"/>
        <v>260.45202496950299</v>
      </c>
    </row>
    <row r="10" spans="1:9">
      <c r="A10" s="196">
        <f t="shared" si="5"/>
        <v>284.42012256732147</v>
      </c>
      <c r="B10" s="194">
        <f t="shared" si="2"/>
        <v>0.08</v>
      </c>
      <c r="C10" s="194">
        <v>5</v>
      </c>
      <c r="D10" s="195">
        <v>1200</v>
      </c>
      <c r="E10" s="195">
        <f t="shared" si="0"/>
        <v>240</v>
      </c>
      <c r="F10" s="201">
        <f t="shared" si="3"/>
        <v>9.1776000000000018</v>
      </c>
      <c r="G10" s="197">
        <f t="shared" si="4"/>
        <v>42069</v>
      </c>
      <c r="H10" s="198">
        <f t="shared" si="6"/>
        <v>12.247756474190851</v>
      </c>
      <c r="I10" s="198">
        <f t="shared" si="1"/>
        <v>272.17236609313062</v>
      </c>
    </row>
    <row r="11" spans="1:9">
      <c r="A11" s="196">
        <f t="shared" si="5"/>
        <v>297.21902808285091</v>
      </c>
      <c r="B11" s="194">
        <f t="shared" si="2"/>
        <v>0.08</v>
      </c>
      <c r="C11" s="194">
        <v>5</v>
      </c>
      <c r="D11" s="195">
        <v>1200</v>
      </c>
      <c r="E11" s="195">
        <f t="shared" si="0"/>
        <v>240</v>
      </c>
      <c r="F11" s="201">
        <f t="shared" si="3"/>
        <v>9.1776000000000018</v>
      </c>
      <c r="G11" s="197">
        <f t="shared" si="4"/>
        <v>42076</v>
      </c>
      <c r="H11" s="198">
        <f t="shared" si="6"/>
        <v>12.798905515529441</v>
      </c>
      <c r="I11" s="198">
        <f t="shared" si="1"/>
        <v>284.42012256732147</v>
      </c>
    </row>
    <row r="12" spans="1:9">
      <c r="A12" s="201">
        <f t="shared" si="5"/>
        <v>310.59388434657916</v>
      </c>
      <c r="B12" s="194">
        <f t="shared" si="2"/>
        <v>0.09</v>
      </c>
      <c r="C12" s="194">
        <v>5</v>
      </c>
      <c r="D12" s="195">
        <v>1200</v>
      </c>
      <c r="E12" s="195">
        <f t="shared" si="0"/>
        <v>240</v>
      </c>
      <c r="F12" s="201">
        <f t="shared" si="3"/>
        <v>10.3248</v>
      </c>
      <c r="G12" s="202">
        <f t="shared" si="4"/>
        <v>42083</v>
      </c>
      <c r="H12" s="203">
        <f t="shared" si="6"/>
        <v>13.374856263728248</v>
      </c>
      <c r="I12" s="203">
        <f t="shared" si="1"/>
        <v>297.21902808285091</v>
      </c>
    </row>
    <row r="13" spans="1:9">
      <c r="A13" s="196">
        <f t="shared" si="5"/>
        <v>324.57060914217521</v>
      </c>
      <c r="B13" s="194">
        <f t="shared" si="2"/>
        <v>0.09</v>
      </c>
      <c r="C13" s="194">
        <v>5</v>
      </c>
      <c r="D13" s="195">
        <v>1200</v>
      </c>
      <c r="E13" s="195">
        <f t="shared" si="0"/>
        <v>240</v>
      </c>
      <c r="F13" s="201">
        <f t="shared" si="3"/>
        <v>10.3248</v>
      </c>
      <c r="G13" s="197">
        <f t="shared" si="4"/>
        <v>42090</v>
      </c>
      <c r="H13" s="198">
        <f t="shared" si="6"/>
        <v>13.976724795596056</v>
      </c>
      <c r="I13" s="198">
        <f t="shared" si="1"/>
        <v>310.59388434657916</v>
      </c>
    </row>
    <row r="14" spans="1:9">
      <c r="A14" s="196">
        <f t="shared" si="5"/>
        <v>339.17628655357305</v>
      </c>
      <c r="B14" s="194">
        <f t="shared" si="2"/>
        <v>0.1</v>
      </c>
      <c r="C14" s="194">
        <v>5</v>
      </c>
      <c r="D14" s="195">
        <v>1200</v>
      </c>
      <c r="E14" s="195">
        <f t="shared" si="0"/>
        <v>240</v>
      </c>
      <c r="F14" s="201">
        <f t="shared" si="3"/>
        <v>11.472000000000001</v>
      </c>
      <c r="G14" s="197">
        <f t="shared" si="4"/>
        <v>42097</v>
      </c>
      <c r="H14" s="198">
        <f t="shared" si="6"/>
        <v>14.605677411397835</v>
      </c>
      <c r="I14" s="198">
        <f t="shared" si="1"/>
        <v>324.57060914217521</v>
      </c>
    </row>
    <row r="15" spans="1:9">
      <c r="A15" s="196">
        <f t="shared" si="5"/>
        <v>354.43921944848381</v>
      </c>
      <c r="B15" s="194">
        <f t="shared" si="2"/>
        <v>0.1</v>
      </c>
      <c r="C15" s="194">
        <v>5</v>
      </c>
      <c r="D15" s="195">
        <v>1200</v>
      </c>
      <c r="E15" s="195">
        <f t="shared" si="0"/>
        <v>240</v>
      </c>
      <c r="F15" s="201">
        <f t="shared" si="3"/>
        <v>11.472000000000001</v>
      </c>
      <c r="G15" s="197">
        <f t="shared" si="4"/>
        <v>42104</v>
      </c>
      <c r="H15" s="198">
        <f t="shared" si="6"/>
        <v>15.262932894910762</v>
      </c>
      <c r="I15" s="198">
        <f t="shared" si="1"/>
        <v>339.17628655357305</v>
      </c>
    </row>
    <row r="16" spans="1:9">
      <c r="A16" s="196">
        <f t="shared" si="5"/>
        <v>370.38898432366557</v>
      </c>
      <c r="B16" s="194">
        <f t="shared" si="2"/>
        <v>0.11</v>
      </c>
      <c r="C16" s="194">
        <v>5</v>
      </c>
      <c r="D16" s="195">
        <v>1200</v>
      </c>
      <c r="E16" s="195">
        <f t="shared" si="0"/>
        <v>240</v>
      </c>
      <c r="F16" s="201">
        <f t="shared" si="3"/>
        <v>12.619199999999999</v>
      </c>
      <c r="G16" s="197">
        <f t="shared" si="4"/>
        <v>42111</v>
      </c>
      <c r="H16" s="198">
        <f t="shared" si="6"/>
        <v>15.949764875181756</v>
      </c>
      <c r="I16" s="198">
        <f t="shared" si="1"/>
        <v>354.43921944848381</v>
      </c>
    </row>
    <row r="17" spans="1:9">
      <c r="A17" s="196">
        <f t="shared" si="5"/>
        <v>387.0564886182305</v>
      </c>
      <c r="B17" s="194">
        <f t="shared" si="2"/>
        <v>0.11</v>
      </c>
      <c r="C17" s="194">
        <v>5</v>
      </c>
      <c r="D17" s="195">
        <v>1200</v>
      </c>
      <c r="E17" s="195">
        <f t="shared" si="0"/>
        <v>240</v>
      </c>
      <c r="F17" s="201">
        <f t="shared" si="3"/>
        <v>12.619199999999999</v>
      </c>
      <c r="G17" s="197">
        <f t="shared" si="4"/>
        <v>42118</v>
      </c>
      <c r="H17" s="198">
        <f t="shared" si="6"/>
        <v>16.667504294564935</v>
      </c>
      <c r="I17" s="198">
        <f t="shared" si="1"/>
        <v>370.38898432366557</v>
      </c>
    </row>
    <row r="18" spans="1:9">
      <c r="A18" s="201">
        <f t="shared" si="5"/>
        <v>404.47403060605086</v>
      </c>
      <c r="B18" s="194">
        <f t="shared" si="2"/>
        <v>0.12</v>
      </c>
      <c r="C18" s="194">
        <v>5</v>
      </c>
      <c r="D18" s="195">
        <v>1200</v>
      </c>
      <c r="E18" s="195">
        <f t="shared" si="0"/>
        <v>240</v>
      </c>
      <c r="F18" s="201">
        <f t="shared" si="3"/>
        <v>13.766400000000001</v>
      </c>
      <c r="G18" s="202">
        <f t="shared" si="4"/>
        <v>42125</v>
      </c>
      <c r="H18" s="203">
        <f t="shared" si="6"/>
        <v>17.417541987820357</v>
      </c>
      <c r="I18" s="203">
        <f t="shared" si="1"/>
        <v>387.0564886182305</v>
      </c>
    </row>
    <row r="19" spans="1:9">
      <c r="A19" s="196">
        <f t="shared" si="5"/>
        <v>422.67536198332311</v>
      </c>
      <c r="B19" s="194">
        <f t="shared" si="2"/>
        <v>0.12</v>
      </c>
      <c r="C19" s="194">
        <v>5</v>
      </c>
      <c r="D19" s="195">
        <v>1200</v>
      </c>
      <c r="E19" s="195">
        <f t="shared" si="0"/>
        <v>240</v>
      </c>
      <c r="F19" s="201">
        <f t="shared" si="3"/>
        <v>13.766400000000001</v>
      </c>
      <c r="G19" s="202">
        <f t="shared" si="4"/>
        <v>42132</v>
      </c>
      <c r="H19" s="203">
        <f t="shared" si="6"/>
        <v>18.201331377272254</v>
      </c>
      <c r="I19" s="203">
        <f t="shared" si="1"/>
        <v>404.47403060605086</v>
      </c>
    </row>
    <row r="20" spans="1:9">
      <c r="A20" s="196">
        <f t="shared" si="5"/>
        <v>441.69575327257263</v>
      </c>
      <c r="B20" s="194">
        <f t="shared" si="2"/>
        <v>0.13</v>
      </c>
      <c r="C20" s="194">
        <v>5</v>
      </c>
      <c r="D20" s="195">
        <v>1200</v>
      </c>
      <c r="E20" s="195">
        <f t="shared" si="0"/>
        <v>240</v>
      </c>
      <c r="F20" s="201">
        <f t="shared" si="3"/>
        <v>14.913600000000002</v>
      </c>
      <c r="G20" s="197">
        <f t="shared" si="4"/>
        <v>42139</v>
      </c>
      <c r="H20" s="198">
        <f t="shared" si="6"/>
        <v>19.020391289249517</v>
      </c>
      <c r="I20" s="198">
        <f t="shared" si="1"/>
        <v>422.67536198332311</v>
      </c>
    </row>
    <row r="21" spans="1:9">
      <c r="A21" s="196">
        <f t="shared" si="5"/>
        <v>461.57206216983838</v>
      </c>
      <c r="B21" s="194">
        <f t="shared" si="2"/>
        <v>0.13</v>
      </c>
      <c r="C21" s="194">
        <v>5</v>
      </c>
      <c r="D21" s="195">
        <v>1200</v>
      </c>
      <c r="E21" s="195">
        <f t="shared" si="0"/>
        <v>240</v>
      </c>
      <c r="F21" s="201">
        <f t="shared" si="3"/>
        <v>14.913600000000002</v>
      </c>
      <c r="G21" s="197">
        <f t="shared" si="4"/>
        <v>42146</v>
      </c>
      <c r="H21" s="198">
        <f t="shared" si="6"/>
        <v>19.876308897265744</v>
      </c>
      <c r="I21" s="198">
        <f t="shared" si="1"/>
        <v>441.69575327257263</v>
      </c>
    </row>
    <row r="22" spans="1:9">
      <c r="A22" s="196">
        <f t="shared" si="5"/>
        <v>482.34280496748107</v>
      </c>
      <c r="B22" s="194">
        <f t="shared" si="2"/>
        <v>0.14000000000000001</v>
      </c>
      <c r="C22" s="194">
        <v>5</v>
      </c>
      <c r="D22" s="195">
        <v>1200</v>
      </c>
      <c r="E22" s="195">
        <f t="shared" si="0"/>
        <v>240</v>
      </c>
      <c r="F22" s="201">
        <f t="shared" si="3"/>
        <v>16.060800000000004</v>
      </c>
      <c r="G22" s="197">
        <f t="shared" si="4"/>
        <v>42153</v>
      </c>
      <c r="H22" s="198">
        <f t="shared" si="6"/>
        <v>20.770742797642697</v>
      </c>
      <c r="I22" s="198">
        <f t="shared" si="1"/>
        <v>461.57206216983838</v>
      </c>
    </row>
    <row r="23" spans="1:9">
      <c r="A23" s="196">
        <f t="shared" si="5"/>
        <v>504.04823119101769</v>
      </c>
      <c r="B23" s="194">
        <f t="shared" si="2"/>
        <v>0.15</v>
      </c>
      <c r="C23" s="194">
        <v>5</v>
      </c>
      <c r="D23" s="195">
        <v>1200</v>
      </c>
      <c r="E23" s="195">
        <f t="shared" si="0"/>
        <v>240</v>
      </c>
      <c r="F23" s="201">
        <f t="shared" si="3"/>
        <v>17.208000000000002</v>
      </c>
      <c r="G23" s="197">
        <f t="shared" si="4"/>
        <v>42160</v>
      </c>
      <c r="H23" s="198">
        <f t="shared" si="6"/>
        <v>21.70542622353662</v>
      </c>
      <c r="I23" s="198">
        <f t="shared" si="1"/>
        <v>482.34280496748107</v>
      </c>
    </row>
    <row r="24" spans="1:9">
      <c r="A24" s="201">
        <f t="shared" si="5"/>
        <v>526.73040159461345</v>
      </c>
      <c r="B24" s="194">
        <f t="shared" si="2"/>
        <v>0.15</v>
      </c>
      <c r="C24" s="194">
        <v>5</v>
      </c>
      <c r="D24" s="195">
        <v>1200</v>
      </c>
      <c r="E24" s="195">
        <f t="shared" si="0"/>
        <v>240</v>
      </c>
      <c r="F24" s="201">
        <f t="shared" si="3"/>
        <v>17.208000000000002</v>
      </c>
      <c r="G24" s="202">
        <f t="shared" si="4"/>
        <v>42167</v>
      </c>
      <c r="H24" s="203">
        <f t="shared" si="6"/>
        <v>22.682170403595762</v>
      </c>
      <c r="I24" s="203">
        <f t="shared" si="1"/>
        <v>504.04823119101769</v>
      </c>
    </row>
    <row r="25" spans="1:9">
      <c r="A25" s="201">
        <f t="shared" si="5"/>
        <v>550.43326966637107</v>
      </c>
      <c r="B25" s="194">
        <f t="shared" si="2"/>
        <v>0.16</v>
      </c>
      <c r="C25" s="194">
        <v>5</v>
      </c>
      <c r="D25" s="195">
        <v>1200</v>
      </c>
      <c r="E25" s="195">
        <f t="shared" si="0"/>
        <v>240</v>
      </c>
      <c r="F25" s="201">
        <f t="shared" si="3"/>
        <v>18.355200000000004</v>
      </c>
      <c r="G25" s="202">
        <f t="shared" si="4"/>
        <v>42174</v>
      </c>
      <c r="H25" s="203">
        <f t="shared" si="6"/>
        <v>23.702868071757621</v>
      </c>
      <c r="I25" s="203">
        <f t="shared" si="1"/>
        <v>526.73040159461345</v>
      </c>
    </row>
    <row r="26" spans="1:9">
      <c r="A26" s="196">
        <f t="shared" si="5"/>
        <v>575.20276680135771</v>
      </c>
      <c r="B26" s="194">
        <f t="shared" si="2"/>
        <v>0.17</v>
      </c>
      <c r="C26" s="194">
        <v>5</v>
      </c>
      <c r="D26" s="195">
        <v>1200</v>
      </c>
      <c r="E26" s="195">
        <f t="shared" si="0"/>
        <v>240</v>
      </c>
      <c r="F26" s="201">
        <f t="shared" si="3"/>
        <v>19.502400000000002</v>
      </c>
      <c r="G26" s="197">
        <f t="shared" si="4"/>
        <v>42181</v>
      </c>
      <c r="H26" s="198">
        <f t="shared" si="6"/>
        <v>24.769497134986636</v>
      </c>
      <c r="I26" s="198">
        <f t="shared" si="1"/>
        <v>550.43326966637107</v>
      </c>
    </row>
    <row r="27" spans="1:9">
      <c r="A27" s="196">
        <f t="shared" si="5"/>
        <v>601.0868913074188</v>
      </c>
      <c r="B27" s="194">
        <f t="shared" si="2"/>
        <v>0.17</v>
      </c>
      <c r="C27" s="194">
        <v>5</v>
      </c>
      <c r="D27" s="195">
        <v>1200</v>
      </c>
      <c r="E27" s="195">
        <f t="shared" si="0"/>
        <v>240</v>
      </c>
      <c r="F27" s="201">
        <f t="shared" si="3"/>
        <v>19.502400000000002</v>
      </c>
      <c r="G27" s="197">
        <f t="shared" si="4"/>
        <v>42188</v>
      </c>
      <c r="H27" s="198">
        <f t="shared" si="6"/>
        <v>25.884124506061085</v>
      </c>
      <c r="I27" s="198">
        <f t="shared" si="1"/>
        <v>575.20276680135771</v>
      </c>
    </row>
    <row r="28" spans="1:9">
      <c r="A28" s="201">
        <f t="shared" si="5"/>
        <v>628.13580141625255</v>
      </c>
      <c r="B28" s="194">
        <f t="shared" si="2"/>
        <v>0.18</v>
      </c>
      <c r="C28" s="194">
        <v>5</v>
      </c>
      <c r="D28" s="195">
        <v>1200</v>
      </c>
      <c r="E28" s="195">
        <f t="shared" si="0"/>
        <v>240</v>
      </c>
      <c r="F28" s="201">
        <f t="shared" si="3"/>
        <v>20.6496</v>
      </c>
      <c r="G28" s="202">
        <f t="shared" si="4"/>
        <v>42195</v>
      </c>
      <c r="H28" s="203">
        <f t="shared" si="6"/>
        <v>27.048910108833752</v>
      </c>
      <c r="I28" s="203">
        <f t="shared" si="1"/>
        <v>601.0868913074188</v>
      </c>
    </row>
    <row r="29" spans="1:9">
      <c r="A29" s="196">
        <f t="shared" si="5"/>
        <v>656.40191247998382</v>
      </c>
      <c r="B29" s="194">
        <f t="shared" si="2"/>
        <v>0.19</v>
      </c>
      <c r="C29" s="194">
        <v>5</v>
      </c>
      <c r="D29" s="195">
        <v>1200</v>
      </c>
      <c r="E29" s="195">
        <f t="shared" si="0"/>
        <v>240</v>
      </c>
      <c r="F29" s="201">
        <f t="shared" si="3"/>
        <v>21.796800000000001</v>
      </c>
      <c r="G29" s="197">
        <f t="shared" si="4"/>
        <v>42202</v>
      </c>
      <c r="H29" s="198">
        <f t="shared" si="6"/>
        <v>28.266111063731273</v>
      </c>
      <c r="I29" s="198">
        <f t="shared" si="1"/>
        <v>628.13580141625255</v>
      </c>
    </row>
    <row r="30" spans="1:9">
      <c r="A30" s="196">
        <f t="shared" si="5"/>
        <v>685.93999854158301</v>
      </c>
      <c r="B30" s="194">
        <f t="shared" si="2"/>
        <v>0.2</v>
      </c>
      <c r="C30" s="194">
        <v>5</v>
      </c>
      <c r="D30" s="195">
        <v>1200</v>
      </c>
      <c r="E30" s="195">
        <f t="shared" si="0"/>
        <v>240</v>
      </c>
      <c r="F30" s="201">
        <f t="shared" si="3"/>
        <v>22.944000000000003</v>
      </c>
      <c r="G30" s="197">
        <f t="shared" si="4"/>
        <v>42209</v>
      </c>
      <c r="H30" s="198">
        <f t="shared" si="6"/>
        <v>29.538086061599188</v>
      </c>
      <c r="I30" s="198">
        <f t="shared" si="1"/>
        <v>656.40191247998382</v>
      </c>
    </row>
    <row r="31" spans="1:9">
      <c r="A31" s="196">
        <f t="shared" si="5"/>
        <v>716.80729847595421</v>
      </c>
      <c r="B31" s="194">
        <f t="shared" si="2"/>
        <v>0.21</v>
      </c>
      <c r="C31" s="194">
        <v>5</v>
      </c>
      <c r="D31" s="195">
        <v>1200</v>
      </c>
      <c r="E31" s="195">
        <f t="shared" si="0"/>
        <v>240</v>
      </c>
      <c r="F31" s="201">
        <f t="shared" si="3"/>
        <v>24.091200000000001</v>
      </c>
      <c r="G31" s="197">
        <f t="shared" si="4"/>
        <v>42216</v>
      </c>
      <c r="H31" s="198">
        <f t="shared" si="6"/>
        <v>30.867299934371204</v>
      </c>
      <c r="I31" s="198">
        <f t="shared" si="1"/>
        <v>685.93999854158301</v>
      </c>
    </row>
    <row r="32" spans="1:9">
      <c r="A32" s="196">
        <f t="shared" si="5"/>
        <v>749.06362690737205</v>
      </c>
      <c r="B32" s="194">
        <f t="shared" si="2"/>
        <v>0.22</v>
      </c>
      <c r="C32" s="194">
        <v>5</v>
      </c>
      <c r="D32" s="195">
        <v>1200</v>
      </c>
      <c r="E32" s="195">
        <f t="shared" si="0"/>
        <v>240</v>
      </c>
      <c r="F32" s="201">
        <f t="shared" si="3"/>
        <v>25.238399999999999</v>
      </c>
      <c r="G32" s="197">
        <f t="shared" si="4"/>
        <v>42223</v>
      </c>
      <c r="H32" s="198">
        <f t="shared" si="6"/>
        <v>32.256328431417842</v>
      </c>
      <c r="I32" s="198">
        <f t="shared" si="1"/>
        <v>716.80729847595421</v>
      </c>
    </row>
    <row r="33" spans="1:9">
      <c r="A33" s="196">
        <f t="shared" si="5"/>
        <v>782.7714901182037</v>
      </c>
      <c r="B33" s="194">
        <f t="shared" si="2"/>
        <v>0.23</v>
      </c>
      <c r="C33" s="194">
        <v>5</v>
      </c>
      <c r="D33" s="195">
        <v>1200</v>
      </c>
      <c r="E33" s="195">
        <f t="shared" si="0"/>
        <v>240</v>
      </c>
      <c r="F33" s="201">
        <f t="shared" si="3"/>
        <v>26.385600000000004</v>
      </c>
      <c r="G33" s="197">
        <f t="shared" si="4"/>
        <v>42230</v>
      </c>
      <c r="H33" s="198">
        <f t="shared" si="6"/>
        <v>33.707863210831647</v>
      </c>
      <c r="I33" s="198">
        <f t="shared" si="1"/>
        <v>749.06362690737205</v>
      </c>
    </row>
    <row r="34" spans="1:9">
      <c r="A34" s="201">
        <f t="shared" si="5"/>
        <v>817.99620717352286</v>
      </c>
      <c r="B34" s="194">
        <f t="shared" si="2"/>
        <v>0.24</v>
      </c>
      <c r="C34" s="194">
        <v>5</v>
      </c>
      <c r="D34" s="195">
        <v>1200</v>
      </c>
      <c r="E34" s="195">
        <f t="shared" ref="E34:E65" si="7">D34/C34</f>
        <v>240</v>
      </c>
      <c r="F34" s="201">
        <f t="shared" si="3"/>
        <v>27.532800000000002</v>
      </c>
      <c r="G34" s="202">
        <f t="shared" si="4"/>
        <v>42237</v>
      </c>
      <c r="H34" s="203">
        <f t="shared" si="6"/>
        <v>35.224717055319161</v>
      </c>
      <c r="I34" s="203">
        <f t="shared" ref="I34:I65" si="8">A34-H34</f>
        <v>782.7714901182037</v>
      </c>
    </row>
    <row r="35" spans="1:9">
      <c r="A35" s="196">
        <f t="shared" si="5"/>
        <v>854.80603649633133</v>
      </c>
      <c r="B35" s="194">
        <f t="shared" si="2"/>
        <v>0.25</v>
      </c>
      <c r="C35" s="194">
        <v>5</v>
      </c>
      <c r="D35" s="195">
        <v>1200</v>
      </c>
      <c r="E35" s="195">
        <f t="shared" si="7"/>
        <v>240</v>
      </c>
      <c r="F35" s="201">
        <f t="shared" si="3"/>
        <v>28.68</v>
      </c>
      <c r="G35" s="197">
        <f t="shared" ref="G35:G66" si="9">DATE(YEAR(G34),MONTH(G34),DAY(G34)+2+C35)</f>
        <v>42244</v>
      </c>
      <c r="H35" s="198">
        <f t="shared" si="6"/>
        <v>36.809829322808469</v>
      </c>
      <c r="I35" s="198">
        <f t="shared" si="8"/>
        <v>817.99620717352286</v>
      </c>
    </row>
    <row r="36" spans="1:9">
      <c r="A36" s="196">
        <f t="shared" si="5"/>
        <v>893.27230813866618</v>
      </c>
      <c r="B36" s="194">
        <f t="shared" si="2"/>
        <v>0.26</v>
      </c>
      <c r="C36" s="194">
        <v>5</v>
      </c>
      <c r="D36" s="195">
        <v>1200</v>
      </c>
      <c r="E36" s="195">
        <f t="shared" si="7"/>
        <v>240</v>
      </c>
      <c r="F36" s="201">
        <f t="shared" si="3"/>
        <v>29.827200000000005</v>
      </c>
      <c r="G36" s="197">
        <f t="shared" si="9"/>
        <v>42251</v>
      </c>
      <c r="H36" s="198">
        <f t="shared" si="6"/>
        <v>38.466271642334846</v>
      </c>
      <c r="I36" s="198">
        <f t="shared" si="8"/>
        <v>854.80603649633133</v>
      </c>
    </row>
    <row r="37" spans="1:9">
      <c r="A37" s="201">
        <f t="shared" si="5"/>
        <v>933.46956200490604</v>
      </c>
      <c r="B37" s="194">
        <f t="shared" si="2"/>
        <v>0.27</v>
      </c>
      <c r="C37" s="194">
        <v>5</v>
      </c>
      <c r="D37" s="195">
        <v>1200</v>
      </c>
      <c r="E37" s="195">
        <f t="shared" si="7"/>
        <v>240</v>
      </c>
      <c r="F37" s="201">
        <f t="shared" si="3"/>
        <v>30.974400000000006</v>
      </c>
      <c r="G37" s="202">
        <f t="shared" si="9"/>
        <v>42258</v>
      </c>
      <c r="H37" s="203">
        <f t="shared" si="6"/>
        <v>40.197253866239862</v>
      </c>
      <c r="I37" s="203">
        <f t="shared" si="8"/>
        <v>893.27230813866618</v>
      </c>
    </row>
    <row r="38" spans="1:9">
      <c r="A38" s="201">
        <f t="shared" si="5"/>
        <v>975.47569229512669</v>
      </c>
      <c r="B38" s="194">
        <f t="shared" si="2"/>
        <v>0.28999999999999998</v>
      </c>
      <c r="C38" s="194">
        <v>5</v>
      </c>
      <c r="D38" s="195">
        <v>1200</v>
      </c>
      <c r="E38" s="195">
        <f t="shared" si="7"/>
        <v>240</v>
      </c>
      <c r="F38" s="201">
        <f t="shared" si="3"/>
        <v>33.268799999999999</v>
      </c>
      <c r="G38" s="202">
        <f t="shared" si="9"/>
        <v>42265</v>
      </c>
      <c r="H38" s="203">
        <f t="shared" si="6"/>
        <v>42.006130290220653</v>
      </c>
      <c r="I38" s="203">
        <f t="shared" si="8"/>
        <v>933.46956200490604</v>
      </c>
    </row>
    <row r="39" spans="1:9">
      <c r="A39" s="196">
        <f t="shared" si="5"/>
        <v>1019.3720984484073</v>
      </c>
      <c r="B39" s="194">
        <f t="shared" si="2"/>
        <v>0.3</v>
      </c>
      <c r="C39" s="194">
        <v>5</v>
      </c>
      <c r="D39" s="195">
        <v>1200</v>
      </c>
      <c r="E39" s="195">
        <f t="shared" si="7"/>
        <v>240</v>
      </c>
      <c r="F39" s="201">
        <f t="shared" si="3"/>
        <v>34.416000000000004</v>
      </c>
      <c r="G39" s="197">
        <f t="shared" si="9"/>
        <v>42272</v>
      </c>
      <c r="H39" s="198">
        <f t="shared" si="6"/>
        <v>43.896406153280623</v>
      </c>
      <c r="I39" s="198">
        <f t="shared" si="8"/>
        <v>975.47569229512669</v>
      </c>
    </row>
    <row r="40" spans="1:9">
      <c r="A40" s="196">
        <f t="shared" si="5"/>
        <v>1065.2438428785856</v>
      </c>
      <c r="B40" s="194">
        <f t="shared" si="2"/>
        <v>0.31</v>
      </c>
      <c r="C40" s="194">
        <v>5</v>
      </c>
      <c r="D40" s="195">
        <v>1200</v>
      </c>
      <c r="E40" s="195">
        <f t="shared" si="7"/>
        <v>240</v>
      </c>
      <c r="F40" s="201">
        <f t="shared" si="3"/>
        <v>35.563200000000009</v>
      </c>
      <c r="G40" s="197">
        <f t="shared" si="9"/>
        <v>42279</v>
      </c>
      <c r="H40" s="198">
        <f t="shared" si="6"/>
        <v>45.871744430178296</v>
      </c>
      <c r="I40" s="198">
        <f t="shared" si="8"/>
        <v>1019.3720984484073</v>
      </c>
    </row>
    <row r="41" spans="1:9">
      <c r="A41" s="201">
        <f t="shared" si="5"/>
        <v>1113.1798158081219</v>
      </c>
      <c r="B41" s="194">
        <f t="shared" si="2"/>
        <v>0.33</v>
      </c>
      <c r="C41" s="194">
        <v>5</v>
      </c>
      <c r="D41" s="195">
        <v>1200</v>
      </c>
      <c r="E41" s="195">
        <f t="shared" si="7"/>
        <v>240</v>
      </c>
      <c r="F41" s="201">
        <f t="shared" si="3"/>
        <v>37.857600000000005</v>
      </c>
      <c r="G41" s="202">
        <f t="shared" si="9"/>
        <v>42286</v>
      </c>
      <c r="H41" s="203">
        <f t="shared" si="6"/>
        <v>47.935972929536319</v>
      </c>
      <c r="I41" s="203">
        <f t="shared" si="8"/>
        <v>1065.2438428785856</v>
      </c>
    </row>
    <row r="42" spans="1:9">
      <c r="A42" s="196">
        <f t="shared" si="5"/>
        <v>1163.2729075194873</v>
      </c>
      <c r="B42" s="194">
        <f t="shared" si="2"/>
        <v>0.34</v>
      </c>
      <c r="C42" s="194">
        <v>5</v>
      </c>
      <c r="D42" s="195">
        <v>1200</v>
      </c>
      <c r="E42" s="195">
        <f t="shared" si="7"/>
        <v>240</v>
      </c>
      <c r="F42" s="201">
        <f t="shared" si="3"/>
        <v>39.004800000000003</v>
      </c>
      <c r="G42" s="197">
        <f t="shared" si="9"/>
        <v>42293</v>
      </c>
      <c r="H42" s="198">
        <f t="shared" si="6"/>
        <v>50.093091711365332</v>
      </c>
      <c r="I42" s="198">
        <f t="shared" si="8"/>
        <v>1113.1798158081219</v>
      </c>
    </row>
    <row r="43" spans="1:9">
      <c r="A43" s="201">
        <f t="shared" si="5"/>
        <v>1215.6201883578642</v>
      </c>
      <c r="B43" s="194">
        <f t="shared" si="2"/>
        <v>0.36</v>
      </c>
      <c r="C43" s="194">
        <v>5</v>
      </c>
      <c r="D43" s="195">
        <v>1200</v>
      </c>
      <c r="E43" s="195">
        <f t="shared" si="7"/>
        <v>240</v>
      </c>
      <c r="F43" s="201">
        <f t="shared" si="3"/>
        <v>41.299199999999999</v>
      </c>
      <c r="G43" s="202">
        <f t="shared" si="9"/>
        <v>42300</v>
      </c>
      <c r="H43" s="203">
        <f t="shared" si="6"/>
        <v>52.347280838376946</v>
      </c>
      <c r="I43" s="203">
        <f t="shared" si="8"/>
        <v>1163.2729075194873</v>
      </c>
    </row>
    <row r="44" spans="1:9">
      <c r="A44" s="196">
        <f t="shared" si="5"/>
        <v>1270.3230968339681</v>
      </c>
      <c r="B44" s="194">
        <f t="shared" si="2"/>
        <v>0.37</v>
      </c>
      <c r="C44" s="194">
        <v>5</v>
      </c>
      <c r="D44" s="195">
        <v>1200</v>
      </c>
      <c r="E44" s="195">
        <f t="shared" si="7"/>
        <v>240</v>
      </c>
      <c r="F44" s="201">
        <f t="shared" si="3"/>
        <v>42.446400000000004</v>
      </c>
      <c r="G44" s="197">
        <f t="shared" si="9"/>
        <v>42307</v>
      </c>
      <c r="H44" s="198">
        <f t="shared" si="6"/>
        <v>54.702908476103858</v>
      </c>
      <c r="I44" s="198">
        <f t="shared" si="8"/>
        <v>1215.6201883578642</v>
      </c>
    </row>
    <row r="45" spans="1:9">
      <c r="A45" s="201">
        <f t="shared" si="5"/>
        <v>1327.4876361914964</v>
      </c>
      <c r="B45" s="194">
        <f t="shared" si="2"/>
        <v>0.39</v>
      </c>
      <c r="C45" s="194">
        <v>5</v>
      </c>
      <c r="D45" s="195">
        <v>1200</v>
      </c>
      <c r="E45" s="195">
        <f t="shared" si="7"/>
        <v>240</v>
      </c>
      <c r="F45" s="201">
        <f t="shared" si="3"/>
        <v>44.740800000000007</v>
      </c>
      <c r="G45" s="202">
        <f t="shared" si="9"/>
        <v>42314</v>
      </c>
      <c r="H45" s="203">
        <f t="shared" si="6"/>
        <v>57.164539357528383</v>
      </c>
      <c r="I45" s="203">
        <f t="shared" si="8"/>
        <v>1270.3230968339681</v>
      </c>
    </row>
    <row r="46" spans="1:9">
      <c r="A46" s="201">
        <f t="shared" si="5"/>
        <v>1387.2245798201136</v>
      </c>
      <c r="B46" s="194">
        <f t="shared" si="2"/>
        <v>0.41</v>
      </c>
      <c r="C46" s="194">
        <v>5</v>
      </c>
      <c r="D46" s="195">
        <v>1200</v>
      </c>
      <c r="E46" s="195">
        <f t="shared" si="7"/>
        <v>240</v>
      </c>
      <c r="F46" s="201">
        <f t="shared" si="3"/>
        <v>47.035199999999996</v>
      </c>
      <c r="G46" s="202">
        <f t="shared" si="9"/>
        <v>42321</v>
      </c>
      <c r="H46" s="203">
        <f t="shared" si="6"/>
        <v>59.736943628617155</v>
      </c>
      <c r="I46" s="203">
        <f t="shared" si="8"/>
        <v>1327.4876361914964</v>
      </c>
    </row>
    <row r="47" spans="1:9">
      <c r="A47" s="196">
        <f t="shared" si="5"/>
        <v>1449.6496859120186</v>
      </c>
      <c r="B47" s="194">
        <f t="shared" si="2"/>
        <v>0.43</v>
      </c>
      <c r="C47" s="194">
        <v>5</v>
      </c>
      <c r="D47" s="195">
        <v>1200</v>
      </c>
      <c r="E47" s="195">
        <f t="shared" si="7"/>
        <v>240</v>
      </c>
      <c r="F47" s="201">
        <f t="shared" si="3"/>
        <v>49.329600000000006</v>
      </c>
      <c r="G47" s="197">
        <f t="shared" si="9"/>
        <v>42328</v>
      </c>
      <c r="H47" s="198">
        <f t="shared" si="6"/>
        <v>62.425106091905036</v>
      </c>
      <c r="I47" s="198">
        <f t="shared" si="8"/>
        <v>1387.2245798201136</v>
      </c>
    </row>
    <row r="48" spans="1:9">
      <c r="A48" s="201">
        <f t="shared" si="5"/>
        <v>1514.8839217780594</v>
      </c>
      <c r="B48" s="194">
        <f t="shared" si="2"/>
        <v>0.45</v>
      </c>
      <c r="C48" s="194">
        <v>5</v>
      </c>
      <c r="D48" s="195">
        <v>1200</v>
      </c>
      <c r="E48" s="195">
        <f t="shared" si="7"/>
        <v>240</v>
      </c>
      <c r="F48" s="201">
        <f t="shared" si="3"/>
        <v>51.624000000000002</v>
      </c>
      <c r="G48" s="202">
        <f t="shared" si="9"/>
        <v>42335</v>
      </c>
      <c r="H48" s="203">
        <f t="shared" si="6"/>
        <v>65.234235866040763</v>
      </c>
      <c r="I48" s="203">
        <f t="shared" si="8"/>
        <v>1449.6496859120186</v>
      </c>
    </row>
    <row r="49" spans="1:9">
      <c r="A49" s="196">
        <f t="shared" si="5"/>
        <v>1583.053698258072</v>
      </c>
      <c r="B49" s="194">
        <f t="shared" si="2"/>
        <v>0.47</v>
      </c>
      <c r="C49" s="194">
        <v>5</v>
      </c>
      <c r="D49" s="195">
        <v>1200</v>
      </c>
      <c r="E49" s="195">
        <f t="shared" si="7"/>
        <v>240</v>
      </c>
      <c r="F49" s="201">
        <f t="shared" si="3"/>
        <v>53.918399999999998</v>
      </c>
      <c r="G49" s="197">
        <f t="shared" si="9"/>
        <v>42342</v>
      </c>
      <c r="H49" s="198">
        <f t="shared" si="6"/>
        <v>68.169776480012615</v>
      </c>
      <c r="I49" s="198">
        <f t="shared" si="8"/>
        <v>1514.8839217780594</v>
      </c>
    </row>
    <row r="50" spans="1:9">
      <c r="A50" s="196">
        <f t="shared" si="5"/>
        <v>1654.2911146796851</v>
      </c>
      <c r="B50" s="194">
        <f t="shared" si="2"/>
        <v>0.49</v>
      </c>
      <c r="C50" s="194">
        <v>5</v>
      </c>
      <c r="D50" s="195">
        <v>1200</v>
      </c>
      <c r="E50" s="195">
        <f t="shared" si="7"/>
        <v>240</v>
      </c>
      <c r="F50" s="201">
        <f t="shared" si="3"/>
        <v>56.212800000000009</v>
      </c>
      <c r="G50" s="197">
        <f t="shared" si="9"/>
        <v>42349</v>
      </c>
      <c r="H50" s="198">
        <f t="shared" si="6"/>
        <v>71.237416421613034</v>
      </c>
      <c r="I50" s="198">
        <f t="shared" si="8"/>
        <v>1583.053698258072</v>
      </c>
    </row>
    <row r="51" spans="1:9">
      <c r="A51" s="196">
        <f t="shared" si="5"/>
        <v>1728.7342148402709</v>
      </c>
      <c r="B51" s="194">
        <f t="shared" si="2"/>
        <v>0.51</v>
      </c>
      <c r="C51" s="194">
        <v>5</v>
      </c>
      <c r="D51" s="195">
        <v>1200</v>
      </c>
      <c r="E51" s="195">
        <f t="shared" si="7"/>
        <v>240</v>
      </c>
      <c r="F51" s="201">
        <f t="shared" si="3"/>
        <v>58.507200000000005</v>
      </c>
      <c r="G51" s="197">
        <f t="shared" si="9"/>
        <v>42356</v>
      </c>
      <c r="H51" s="198">
        <f t="shared" si="6"/>
        <v>74.4431001605858</v>
      </c>
      <c r="I51" s="198">
        <f t="shared" si="8"/>
        <v>1654.2911146796851</v>
      </c>
    </row>
    <row r="52" spans="1:9">
      <c r="A52" s="196">
        <f t="shared" si="5"/>
        <v>1806.5272545080829</v>
      </c>
      <c r="B52" s="194">
        <f t="shared" si="2"/>
        <v>0.53</v>
      </c>
      <c r="C52" s="194">
        <v>5</v>
      </c>
      <c r="D52" s="195">
        <v>1200</v>
      </c>
      <c r="E52" s="195">
        <f t="shared" si="7"/>
        <v>240</v>
      </c>
      <c r="F52" s="201">
        <f t="shared" si="3"/>
        <v>60.801600000000008</v>
      </c>
      <c r="G52" s="197">
        <f t="shared" si="9"/>
        <v>42363</v>
      </c>
      <c r="H52" s="198">
        <f t="shared" si="6"/>
        <v>77.793039667812081</v>
      </c>
      <c r="I52" s="198">
        <f t="shared" si="8"/>
        <v>1728.7342148402709</v>
      </c>
    </row>
    <row r="53" spans="1:9">
      <c r="A53" s="196">
        <f t="shared" si="5"/>
        <v>1887.8209809609466</v>
      </c>
      <c r="B53" s="194">
        <f t="shared" si="2"/>
        <v>0.56000000000000005</v>
      </c>
      <c r="C53" s="194">
        <v>5</v>
      </c>
      <c r="D53" s="195">
        <v>1200</v>
      </c>
      <c r="E53" s="195">
        <f t="shared" si="7"/>
        <v>240</v>
      </c>
      <c r="F53" s="201">
        <f t="shared" si="3"/>
        <v>64.243200000000016</v>
      </c>
      <c r="G53" s="197">
        <f t="shared" si="9"/>
        <v>42370</v>
      </c>
      <c r="H53" s="198">
        <f t="shared" si="6"/>
        <v>81.293726452863666</v>
      </c>
      <c r="I53" s="198">
        <f t="shared" si="8"/>
        <v>1806.5272545080829</v>
      </c>
    </row>
    <row r="54" spans="1:9">
      <c r="A54" s="196">
        <f t="shared" si="5"/>
        <v>1972.772925104189</v>
      </c>
      <c r="B54" s="194">
        <f t="shared" si="2"/>
        <v>0.57999999999999996</v>
      </c>
      <c r="C54" s="194">
        <v>5</v>
      </c>
      <c r="D54" s="195">
        <v>1200</v>
      </c>
      <c r="E54" s="195">
        <f t="shared" si="7"/>
        <v>240</v>
      </c>
      <c r="F54" s="201">
        <f t="shared" si="3"/>
        <v>66.537599999999998</v>
      </c>
      <c r="G54" s="197">
        <f t="shared" si="9"/>
        <v>42377</v>
      </c>
      <c r="H54" s="198">
        <f t="shared" si="6"/>
        <v>84.951944143242372</v>
      </c>
      <c r="I54" s="198">
        <f t="shared" si="8"/>
        <v>1887.8209809609466</v>
      </c>
    </row>
    <row r="55" spans="1:9">
      <c r="A55" s="196">
        <f t="shared" si="5"/>
        <v>2061.5477067338775</v>
      </c>
      <c r="B55" s="194">
        <f t="shared" si="2"/>
        <v>0.61</v>
      </c>
      <c r="C55" s="194">
        <v>5</v>
      </c>
      <c r="D55" s="195">
        <v>1200</v>
      </c>
      <c r="E55" s="195">
        <f t="shared" si="7"/>
        <v>240</v>
      </c>
      <c r="F55" s="201">
        <f t="shared" si="3"/>
        <v>69.979200000000006</v>
      </c>
      <c r="G55" s="197">
        <f t="shared" si="9"/>
        <v>42384</v>
      </c>
      <c r="H55" s="198">
        <f t="shared" si="6"/>
        <v>88.774781629688505</v>
      </c>
      <c r="I55" s="198">
        <f t="shared" si="8"/>
        <v>1972.772925104189</v>
      </c>
    </row>
    <row r="56" spans="1:9">
      <c r="A56" s="196">
        <f t="shared" si="5"/>
        <v>2154.3173535369019</v>
      </c>
      <c r="B56" s="194">
        <f t="shared" si="2"/>
        <v>0.64</v>
      </c>
      <c r="C56" s="194">
        <v>5</v>
      </c>
      <c r="D56" s="195">
        <v>1200</v>
      </c>
      <c r="E56" s="195">
        <f t="shared" si="7"/>
        <v>240</v>
      </c>
      <c r="F56" s="201">
        <f t="shared" si="3"/>
        <v>73.420800000000014</v>
      </c>
      <c r="G56" s="197">
        <f t="shared" si="9"/>
        <v>42391</v>
      </c>
      <c r="H56" s="198">
        <f t="shared" si="6"/>
        <v>92.769646803024443</v>
      </c>
      <c r="I56" s="198">
        <f t="shared" si="8"/>
        <v>2061.5477067338775</v>
      </c>
    </row>
    <row r="57" spans="1:9">
      <c r="A57" s="196">
        <f t="shared" si="5"/>
        <v>2251.2616344460625</v>
      </c>
      <c r="B57" s="194">
        <f t="shared" si="2"/>
        <v>0.67</v>
      </c>
      <c r="C57" s="194">
        <v>5</v>
      </c>
      <c r="D57" s="195">
        <v>1200</v>
      </c>
      <c r="E57" s="195">
        <f t="shared" si="7"/>
        <v>240</v>
      </c>
      <c r="F57" s="201">
        <f t="shared" si="3"/>
        <v>76.862400000000008</v>
      </c>
      <c r="G57" s="197">
        <f t="shared" si="9"/>
        <v>42398</v>
      </c>
      <c r="H57" s="198">
        <f t="shared" si="6"/>
        <v>96.944280909160625</v>
      </c>
      <c r="I57" s="198">
        <f t="shared" si="8"/>
        <v>2154.3173535369019</v>
      </c>
    </row>
    <row r="58" spans="1:9">
      <c r="A58" s="196">
        <f t="shared" si="5"/>
        <v>2352.5684079961352</v>
      </c>
      <c r="B58" s="194">
        <f t="shared" si="2"/>
        <v>0.7</v>
      </c>
      <c r="C58" s="194">
        <v>5</v>
      </c>
      <c r="D58" s="195">
        <v>1200</v>
      </c>
      <c r="E58" s="195">
        <f t="shared" si="7"/>
        <v>240</v>
      </c>
      <c r="F58" s="201">
        <f t="shared" si="3"/>
        <v>80.304000000000002</v>
      </c>
      <c r="G58" s="197">
        <f t="shared" si="9"/>
        <v>42405</v>
      </c>
      <c r="H58" s="198">
        <f t="shared" si="6"/>
        <v>101.30677355007265</v>
      </c>
      <c r="I58" s="198">
        <f t="shared" si="8"/>
        <v>2251.2616344460625</v>
      </c>
    </row>
    <row r="59" spans="1:9">
      <c r="A59" s="201">
        <f t="shared" si="5"/>
        <v>2458.4339863559612</v>
      </c>
      <c r="B59" s="194">
        <f t="shared" si="2"/>
        <v>0.73</v>
      </c>
      <c r="C59" s="194">
        <v>5</v>
      </c>
      <c r="D59" s="195">
        <v>1200</v>
      </c>
      <c r="E59" s="195">
        <f t="shared" si="7"/>
        <v>240</v>
      </c>
      <c r="F59" s="201">
        <f t="shared" si="3"/>
        <v>83.745599999999996</v>
      </c>
      <c r="G59" s="202">
        <f t="shared" si="9"/>
        <v>42412</v>
      </c>
      <c r="H59" s="203">
        <f t="shared" si="6"/>
        <v>105.86557835982603</v>
      </c>
      <c r="I59" s="203">
        <f t="shared" si="8"/>
        <v>2352.5684079961352</v>
      </c>
    </row>
    <row r="60" spans="1:9">
      <c r="A60" s="196">
        <f t="shared" si="5"/>
        <v>2569.0635157419792</v>
      </c>
      <c r="B60" s="194">
        <f t="shared" si="2"/>
        <v>0.76</v>
      </c>
      <c r="C60" s="194">
        <v>5</v>
      </c>
      <c r="D60" s="195">
        <v>1200</v>
      </c>
      <c r="E60" s="195">
        <f t="shared" si="7"/>
        <v>240</v>
      </c>
      <c r="F60" s="201">
        <f t="shared" si="3"/>
        <v>87.187200000000004</v>
      </c>
      <c r="G60" s="197">
        <f t="shared" si="9"/>
        <v>42419</v>
      </c>
      <c r="H60" s="198">
        <f t="shared" si="6"/>
        <v>110.62952938601802</v>
      </c>
      <c r="I60" s="198">
        <f t="shared" si="8"/>
        <v>2458.4339863559612</v>
      </c>
    </row>
    <row r="61" spans="1:9">
      <c r="A61" s="196">
        <f t="shared" si="5"/>
        <v>2684.671373950368</v>
      </c>
      <c r="B61" s="194">
        <f t="shared" si="2"/>
        <v>0.8</v>
      </c>
      <c r="C61" s="194">
        <v>5</v>
      </c>
      <c r="D61" s="195">
        <v>1200</v>
      </c>
      <c r="E61" s="195">
        <f t="shared" si="7"/>
        <v>240</v>
      </c>
      <c r="F61" s="201">
        <f t="shared" si="3"/>
        <v>91.77600000000001</v>
      </c>
      <c r="G61" s="197">
        <f t="shared" si="9"/>
        <v>42426</v>
      </c>
      <c r="H61" s="198">
        <f t="shared" si="6"/>
        <v>115.60785820838873</v>
      </c>
      <c r="I61" s="198">
        <f t="shared" si="8"/>
        <v>2569.0635157419792</v>
      </c>
    </row>
    <row r="62" spans="1:9">
      <c r="A62" s="196">
        <f t="shared" si="5"/>
        <v>2805.4815857781346</v>
      </c>
      <c r="B62" s="194">
        <f t="shared" si="2"/>
        <v>0.83</v>
      </c>
      <c r="C62" s="194">
        <v>5</v>
      </c>
      <c r="D62" s="195">
        <v>1200</v>
      </c>
      <c r="E62" s="195">
        <f t="shared" si="7"/>
        <v>240</v>
      </c>
      <c r="F62" s="201">
        <f t="shared" si="3"/>
        <v>95.217600000000004</v>
      </c>
      <c r="G62" s="197">
        <f t="shared" si="9"/>
        <v>42433</v>
      </c>
      <c r="H62" s="198">
        <f t="shared" si="6"/>
        <v>120.81021182776658</v>
      </c>
      <c r="I62" s="198">
        <f t="shared" si="8"/>
        <v>2684.671373950368</v>
      </c>
    </row>
    <row r="63" spans="1:9">
      <c r="A63" s="196">
        <f t="shared" si="5"/>
        <v>2931.7282571381506</v>
      </c>
      <c r="B63" s="194">
        <f t="shared" si="2"/>
        <v>0.87</v>
      </c>
      <c r="C63" s="194">
        <v>5</v>
      </c>
      <c r="D63" s="195">
        <v>1200</v>
      </c>
      <c r="E63" s="195">
        <f t="shared" si="7"/>
        <v>240</v>
      </c>
      <c r="F63" s="201">
        <f t="shared" si="3"/>
        <v>99.806400000000011</v>
      </c>
      <c r="G63" s="197">
        <f t="shared" si="9"/>
        <v>42440</v>
      </c>
      <c r="H63" s="198">
        <f t="shared" si="6"/>
        <v>126.24667136001608</v>
      </c>
      <c r="I63" s="198">
        <f t="shared" si="8"/>
        <v>2805.4815857781346</v>
      </c>
    </row>
    <row r="64" spans="1:9">
      <c r="A64" s="196">
        <f t="shared" si="5"/>
        <v>3063.6560287093671</v>
      </c>
      <c r="B64" s="194">
        <f t="shared" si="2"/>
        <v>0.91</v>
      </c>
      <c r="C64" s="194">
        <v>5</v>
      </c>
      <c r="D64" s="195">
        <v>1200</v>
      </c>
      <c r="E64" s="195">
        <f t="shared" si="7"/>
        <v>240</v>
      </c>
      <c r="F64" s="201">
        <f t="shared" si="3"/>
        <v>104.39520000000002</v>
      </c>
      <c r="G64" s="197">
        <f t="shared" si="9"/>
        <v>42447</v>
      </c>
      <c r="H64" s="198">
        <f t="shared" si="6"/>
        <v>131.92777157121645</v>
      </c>
      <c r="I64" s="198">
        <f t="shared" si="8"/>
        <v>2931.7282571381506</v>
      </c>
    </row>
    <row r="65" spans="1:9">
      <c r="A65" s="201">
        <f t="shared" si="5"/>
        <v>3201.5205500012885</v>
      </c>
      <c r="B65" s="194">
        <f t="shared" si="2"/>
        <v>0.95</v>
      </c>
      <c r="C65" s="194">
        <v>5</v>
      </c>
      <c r="D65" s="195">
        <v>1200</v>
      </c>
      <c r="E65" s="195">
        <f t="shared" si="7"/>
        <v>240</v>
      </c>
      <c r="F65" s="201">
        <f t="shared" si="3"/>
        <v>108.98400000000001</v>
      </c>
      <c r="G65" s="202">
        <f t="shared" si="9"/>
        <v>42454</v>
      </c>
      <c r="H65" s="203">
        <f t="shared" si="6"/>
        <v>137.86452129192139</v>
      </c>
      <c r="I65" s="203">
        <f t="shared" si="8"/>
        <v>3063.6560287093671</v>
      </c>
    </row>
    <row r="66" spans="1:9">
      <c r="A66" s="196">
        <f t="shared" si="5"/>
        <v>3345.5889747513461</v>
      </c>
      <c r="B66" s="194">
        <f t="shared" si="2"/>
        <v>0.99</v>
      </c>
      <c r="C66" s="194">
        <v>5</v>
      </c>
      <c r="D66" s="195">
        <v>1200</v>
      </c>
      <c r="E66" s="195">
        <f t="shared" ref="E66:E97" si="10">D66/C66</f>
        <v>240</v>
      </c>
      <c r="F66" s="201">
        <f t="shared" si="3"/>
        <v>113.5728</v>
      </c>
      <c r="G66" s="197">
        <f t="shared" si="9"/>
        <v>42461</v>
      </c>
      <c r="H66" s="198">
        <f t="shared" si="6"/>
        <v>144.0684247500576</v>
      </c>
      <c r="I66" s="198">
        <f t="shared" ref="I66:I97" si="11">A66-H66</f>
        <v>3201.5205500012885</v>
      </c>
    </row>
    <row r="67" spans="1:9">
      <c r="A67" s="196">
        <f t="shared" si="5"/>
        <v>3496.1404786151566</v>
      </c>
      <c r="B67" s="194">
        <f t="shared" ref="B67:B130" si="12">ROUNDDOWN((A67*0.01)/(70*0.00478)*0.01,2)</f>
        <v>1.04</v>
      </c>
      <c r="C67" s="194">
        <v>5</v>
      </c>
      <c r="D67" s="195">
        <v>1200</v>
      </c>
      <c r="E67" s="195">
        <f t="shared" si="10"/>
        <v>240</v>
      </c>
      <c r="F67" s="201">
        <f t="shared" ref="F67:F130" si="13">E67*B67*0.00478*100</f>
        <v>119.30880000000002</v>
      </c>
      <c r="G67" s="197">
        <f t="shared" ref="G67:G98" si="14">DATE(YEAR(G66),MONTH(G66),DAY(G66)+2+C67)</f>
        <v>42468</v>
      </c>
      <c r="H67" s="198">
        <f t="shared" si="6"/>
        <v>150.55150386381047</v>
      </c>
      <c r="I67" s="198">
        <f t="shared" si="11"/>
        <v>3345.5889747513461</v>
      </c>
    </row>
    <row r="68" spans="1:9">
      <c r="A68" s="196">
        <f t="shared" ref="A68:A131" si="15">A67*1.045</f>
        <v>3653.4668001528385</v>
      </c>
      <c r="B68" s="194">
        <f t="shared" si="12"/>
        <v>1.0900000000000001</v>
      </c>
      <c r="C68" s="194">
        <v>5</v>
      </c>
      <c r="D68" s="195">
        <v>1200</v>
      </c>
      <c r="E68" s="195">
        <f t="shared" si="10"/>
        <v>240</v>
      </c>
      <c r="F68" s="201">
        <f t="shared" si="13"/>
        <v>125.04480000000002</v>
      </c>
      <c r="G68" s="197">
        <f t="shared" si="14"/>
        <v>42475</v>
      </c>
      <c r="H68" s="198">
        <f t="shared" ref="H68:H126" si="16">A68-A67</f>
        <v>157.32632153768191</v>
      </c>
      <c r="I68" s="198">
        <f t="shared" si="11"/>
        <v>3496.1404786151566</v>
      </c>
    </row>
    <row r="69" spans="1:9">
      <c r="A69" s="196">
        <f t="shared" si="15"/>
        <v>3817.8728061597158</v>
      </c>
      <c r="B69" s="194">
        <f t="shared" si="12"/>
        <v>1.1399999999999999</v>
      </c>
      <c r="C69" s="194">
        <v>5</v>
      </c>
      <c r="D69" s="195">
        <v>1200</v>
      </c>
      <c r="E69" s="195">
        <f t="shared" si="10"/>
        <v>240</v>
      </c>
      <c r="F69" s="201">
        <f t="shared" si="13"/>
        <v>130.7808</v>
      </c>
      <c r="G69" s="197">
        <f t="shared" si="14"/>
        <v>42482</v>
      </c>
      <c r="H69" s="198">
        <f t="shared" si="16"/>
        <v>164.40600600687731</v>
      </c>
      <c r="I69" s="198">
        <f t="shared" si="11"/>
        <v>3653.4668001528385</v>
      </c>
    </row>
    <row r="70" spans="1:9">
      <c r="A70" s="196">
        <f t="shared" si="15"/>
        <v>3989.6770824369028</v>
      </c>
      <c r="B70" s="194">
        <f t="shared" si="12"/>
        <v>1.19</v>
      </c>
      <c r="C70" s="194">
        <v>5</v>
      </c>
      <c r="D70" s="195">
        <v>1200</v>
      </c>
      <c r="E70" s="195">
        <f t="shared" si="10"/>
        <v>240</v>
      </c>
      <c r="F70" s="201">
        <f t="shared" si="13"/>
        <v>136.51679999999999</v>
      </c>
      <c r="G70" s="197">
        <f t="shared" si="14"/>
        <v>42489</v>
      </c>
      <c r="H70" s="198">
        <f t="shared" si="16"/>
        <v>171.804276277187</v>
      </c>
      <c r="I70" s="198">
        <f t="shared" si="11"/>
        <v>3817.8728061597158</v>
      </c>
    </row>
    <row r="71" spans="1:9">
      <c r="A71" s="196">
        <f t="shared" si="15"/>
        <v>4169.2125511465629</v>
      </c>
      <c r="B71" s="194">
        <f t="shared" si="12"/>
        <v>1.24</v>
      </c>
      <c r="C71" s="194">
        <v>5</v>
      </c>
      <c r="D71" s="195">
        <v>1200</v>
      </c>
      <c r="E71" s="195">
        <f t="shared" si="10"/>
        <v>240</v>
      </c>
      <c r="F71" s="201">
        <f t="shared" si="13"/>
        <v>142.25280000000004</v>
      </c>
      <c r="G71" s="197">
        <f t="shared" si="14"/>
        <v>42496</v>
      </c>
      <c r="H71" s="198">
        <f t="shared" si="16"/>
        <v>179.53546870966011</v>
      </c>
      <c r="I71" s="198">
        <f t="shared" si="11"/>
        <v>3989.6770824369028</v>
      </c>
    </row>
    <row r="72" spans="1:9">
      <c r="A72" s="196">
        <f t="shared" si="15"/>
        <v>4356.8271159481583</v>
      </c>
      <c r="B72" s="194">
        <f t="shared" si="12"/>
        <v>1.3</v>
      </c>
      <c r="C72" s="194">
        <v>5</v>
      </c>
      <c r="D72" s="195">
        <v>1200</v>
      </c>
      <c r="E72" s="195">
        <f t="shared" si="10"/>
        <v>240</v>
      </c>
      <c r="F72" s="201">
        <f t="shared" si="13"/>
        <v>149.136</v>
      </c>
      <c r="G72" s="197">
        <f t="shared" si="14"/>
        <v>42503</v>
      </c>
      <c r="H72" s="198">
        <f t="shared" si="16"/>
        <v>187.61456480159541</v>
      </c>
      <c r="I72" s="198">
        <f t="shared" si="11"/>
        <v>4169.2125511465629</v>
      </c>
    </row>
    <row r="73" spans="1:9">
      <c r="A73" s="196">
        <f t="shared" si="15"/>
        <v>4552.8843361658255</v>
      </c>
      <c r="B73" s="194">
        <f t="shared" si="12"/>
        <v>1.36</v>
      </c>
      <c r="C73" s="194">
        <v>5</v>
      </c>
      <c r="D73" s="195">
        <v>1200</v>
      </c>
      <c r="E73" s="195">
        <f t="shared" si="10"/>
        <v>240</v>
      </c>
      <c r="F73" s="201">
        <f t="shared" si="13"/>
        <v>156.01920000000001</v>
      </c>
      <c r="G73" s="197">
        <f t="shared" si="14"/>
        <v>42510</v>
      </c>
      <c r="H73" s="198">
        <f t="shared" si="16"/>
        <v>196.05722021766724</v>
      </c>
      <c r="I73" s="198">
        <f t="shared" si="11"/>
        <v>4356.8271159481583</v>
      </c>
    </row>
    <row r="74" spans="1:9">
      <c r="A74" s="196">
        <f t="shared" si="15"/>
        <v>4757.7641312932874</v>
      </c>
      <c r="B74" s="194">
        <f t="shared" si="12"/>
        <v>1.42</v>
      </c>
      <c r="C74" s="194">
        <v>5</v>
      </c>
      <c r="D74" s="195">
        <v>1200</v>
      </c>
      <c r="E74" s="195">
        <f t="shared" si="10"/>
        <v>240</v>
      </c>
      <c r="F74" s="201">
        <f t="shared" si="13"/>
        <v>162.9024</v>
      </c>
      <c r="G74" s="197">
        <f t="shared" si="14"/>
        <v>42517</v>
      </c>
      <c r="H74" s="198">
        <f t="shared" si="16"/>
        <v>204.87979512746188</v>
      </c>
      <c r="I74" s="198">
        <f t="shared" si="11"/>
        <v>4552.8843361658255</v>
      </c>
    </row>
    <row r="75" spans="1:9">
      <c r="A75" s="196">
        <f t="shared" si="15"/>
        <v>4971.8635172014847</v>
      </c>
      <c r="B75" s="194">
        <f t="shared" si="12"/>
        <v>1.48</v>
      </c>
      <c r="C75" s="194">
        <v>5</v>
      </c>
      <c r="D75" s="195">
        <v>1200</v>
      </c>
      <c r="E75" s="195">
        <f t="shared" si="10"/>
        <v>240</v>
      </c>
      <c r="F75" s="201">
        <f t="shared" si="13"/>
        <v>169.78560000000002</v>
      </c>
      <c r="G75" s="202">
        <f t="shared" si="14"/>
        <v>42524</v>
      </c>
      <c r="H75" s="203">
        <f t="shared" si="16"/>
        <v>214.09938590819729</v>
      </c>
      <c r="I75" s="203">
        <f t="shared" si="11"/>
        <v>4757.7641312932874</v>
      </c>
    </row>
    <row r="76" spans="1:9">
      <c r="A76" s="196">
        <f t="shared" si="15"/>
        <v>5195.5973754755514</v>
      </c>
      <c r="B76" s="194">
        <f t="shared" si="12"/>
        <v>1.55</v>
      </c>
      <c r="C76" s="194">
        <v>5</v>
      </c>
      <c r="D76" s="195">
        <v>1200</v>
      </c>
      <c r="E76" s="195">
        <f t="shared" si="10"/>
        <v>240</v>
      </c>
      <c r="F76" s="201">
        <f t="shared" si="13"/>
        <v>177.81600000000003</v>
      </c>
      <c r="G76" s="197">
        <f t="shared" si="14"/>
        <v>42531</v>
      </c>
      <c r="H76" s="198">
        <f t="shared" si="16"/>
        <v>223.73385827406673</v>
      </c>
      <c r="I76" s="198">
        <f t="shared" si="11"/>
        <v>4971.8635172014847</v>
      </c>
    </row>
    <row r="77" spans="1:9">
      <c r="A77" s="196">
        <f t="shared" si="15"/>
        <v>5429.3992573719506</v>
      </c>
      <c r="B77" s="194">
        <f t="shared" si="12"/>
        <v>1.62</v>
      </c>
      <c r="C77" s="194">
        <v>5</v>
      </c>
      <c r="D77" s="195">
        <v>1200</v>
      </c>
      <c r="E77" s="195">
        <f t="shared" si="10"/>
        <v>240</v>
      </c>
      <c r="F77" s="201">
        <f t="shared" si="13"/>
        <v>185.84640000000002</v>
      </c>
      <c r="G77" s="197">
        <f t="shared" si="14"/>
        <v>42538</v>
      </c>
      <c r="H77" s="198">
        <f t="shared" si="16"/>
        <v>233.80188189639921</v>
      </c>
      <c r="I77" s="198">
        <f t="shared" si="11"/>
        <v>5195.5973754755514</v>
      </c>
    </row>
    <row r="78" spans="1:9">
      <c r="A78" s="196">
        <f t="shared" si="15"/>
        <v>5673.7222239536877</v>
      </c>
      <c r="B78" s="194">
        <f t="shared" si="12"/>
        <v>1.69</v>
      </c>
      <c r="C78" s="194">
        <v>5</v>
      </c>
      <c r="D78" s="195">
        <v>1200</v>
      </c>
      <c r="E78" s="195">
        <f t="shared" si="10"/>
        <v>240</v>
      </c>
      <c r="F78" s="201">
        <f t="shared" si="13"/>
        <v>193.8768</v>
      </c>
      <c r="G78" s="197">
        <f t="shared" si="14"/>
        <v>42545</v>
      </c>
      <c r="H78" s="198">
        <f t="shared" si="16"/>
        <v>244.32296658173709</v>
      </c>
      <c r="I78" s="198">
        <f t="shared" si="11"/>
        <v>5429.3992573719506</v>
      </c>
    </row>
    <row r="79" spans="1:9">
      <c r="A79" s="201">
        <f t="shared" si="15"/>
        <v>5929.0397240316033</v>
      </c>
      <c r="B79" s="194">
        <f t="shared" si="12"/>
        <v>1.77</v>
      </c>
      <c r="C79" s="194">
        <v>5</v>
      </c>
      <c r="D79" s="195">
        <v>1200</v>
      </c>
      <c r="E79" s="195">
        <f t="shared" si="10"/>
        <v>240</v>
      </c>
      <c r="F79" s="201">
        <f t="shared" si="13"/>
        <v>203.05440000000004</v>
      </c>
      <c r="G79" s="202">
        <f t="shared" si="14"/>
        <v>42552</v>
      </c>
      <c r="H79" s="203">
        <f t="shared" si="16"/>
        <v>255.31750007791561</v>
      </c>
      <c r="I79" s="203">
        <f t="shared" si="11"/>
        <v>5673.7222239536877</v>
      </c>
    </row>
    <row r="80" spans="1:9">
      <c r="A80" s="196">
        <f t="shared" si="15"/>
        <v>6195.8465116130246</v>
      </c>
      <c r="B80" s="194">
        <f t="shared" si="12"/>
        <v>1.85</v>
      </c>
      <c r="C80" s="194">
        <v>5</v>
      </c>
      <c r="D80" s="195">
        <v>1200</v>
      </c>
      <c r="E80" s="195">
        <f t="shared" si="10"/>
        <v>240</v>
      </c>
      <c r="F80" s="201">
        <f t="shared" si="13"/>
        <v>212.23200000000003</v>
      </c>
      <c r="G80" s="197">
        <f t="shared" si="14"/>
        <v>42559</v>
      </c>
      <c r="H80" s="198">
        <f t="shared" si="16"/>
        <v>266.8067875814213</v>
      </c>
      <c r="I80" s="198">
        <f t="shared" si="11"/>
        <v>5929.0397240316033</v>
      </c>
    </row>
    <row r="81" spans="1:9">
      <c r="A81" s="196">
        <f t="shared" si="15"/>
        <v>6474.6596046356099</v>
      </c>
      <c r="B81" s="194">
        <f t="shared" si="12"/>
        <v>1.93</v>
      </c>
      <c r="C81" s="194">
        <v>5</v>
      </c>
      <c r="D81" s="195">
        <v>1200</v>
      </c>
      <c r="E81" s="195">
        <f t="shared" si="10"/>
        <v>240</v>
      </c>
      <c r="F81" s="201">
        <f t="shared" si="13"/>
        <v>221.40960000000001</v>
      </c>
      <c r="G81" s="197">
        <f t="shared" si="14"/>
        <v>42566</v>
      </c>
      <c r="H81" s="198">
        <f t="shared" si="16"/>
        <v>278.81309302258524</v>
      </c>
      <c r="I81" s="198">
        <f t="shared" si="11"/>
        <v>6195.8465116130246</v>
      </c>
    </row>
    <row r="82" spans="1:9">
      <c r="A82" s="196">
        <f t="shared" si="15"/>
        <v>6766.0192868442118</v>
      </c>
      <c r="B82" s="194">
        <f t="shared" si="12"/>
        <v>2.02</v>
      </c>
      <c r="C82" s="194">
        <v>5</v>
      </c>
      <c r="D82" s="195">
        <v>1200</v>
      </c>
      <c r="E82" s="195">
        <f t="shared" si="10"/>
        <v>240</v>
      </c>
      <c r="F82" s="201">
        <f t="shared" si="13"/>
        <v>231.73440000000002</v>
      </c>
      <c r="G82" s="197">
        <f t="shared" si="14"/>
        <v>42573</v>
      </c>
      <c r="H82" s="198">
        <f t="shared" si="16"/>
        <v>291.35968220860195</v>
      </c>
      <c r="I82" s="198">
        <f t="shared" si="11"/>
        <v>6474.6596046356099</v>
      </c>
    </row>
    <row r="83" spans="1:9">
      <c r="A83" s="196">
        <f t="shared" si="15"/>
        <v>7070.4901547522013</v>
      </c>
      <c r="B83" s="194">
        <f t="shared" si="12"/>
        <v>2.11</v>
      </c>
      <c r="C83" s="194">
        <v>5</v>
      </c>
      <c r="D83" s="195">
        <v>1200</v>
      </c>
      <c r="E83" s="195">
        <f t="shared" si="10"/>
        <v>240</v>
      </c>
      <c r="F83" s="201">
        <f t="shared" si="13"/>
        <v>242.0592</v>
      </c>
      <c r="G83" s="197">
        <f t="shared" si="14"/>
        <v>42580</v>
      </c>
      <c r="H83" s="198">
        <f t="shared" si="16"/>
        <v>304.47086790798949</v>
      </c>
      <c r="I83" s="198">
        <f t="shared" si="11"/>
        <v>6766.0192868442118</v>
      </c>
    </row>
    <row r="84" spans="1:9">
      <c r="A84" s="196">
        <f t="shared" si="15"/>
        <v>7388.6622117160496</v>
      </c>
      <c r="B84" s="194">
        <f t="shared" si="12"/>
        <v>2.2000000000000002</v>
      </c>
      <c r="C84" s="194">
        <v>5</v>
      </c>
      <c r="D84" s="195">
        <v>1200</v>
      </c>
      <c r="E84" s="195">
        <f t="shared" si="10"/>
        <v>240</v>
      </c>
      <c r="F84" s="201">
        <f t="shared" si="13"/>
        <v>252.38400000000004</v>
      </c>
      <c r="G84" s="197">
        <f t="shared" si="14"/>
        <v>42587</v>
      </c>
      <c r="H84" s="198">
        <f t="shared" si="16"/>
        <v>318.17205696384826</v>
      </c>
      <c r="I84" s="198">
        <f t="shared" si="11"/>
        <v>7070.4901547522013</v>
      </c>
    </row>
    <row r="85" spans="1:9">
      <c r="A85" s="201">
        <f t="shared" si="15"/>
        <v>7721.1520112432709</v>
      </c>
      <c r="B85" s="194">
        <f t="shared" si="12"/>
        <v>2.2999999999999998</v>
      </c>
      <c r="C85" s="194">
        <v>5</v>
      </c>
      <c r="D85" s="195">
        <v>1200</v>
      </c>
      <c r="E85" s="195">
        <f t="shared" si="10"/>
        <v>240</v>
      </c>
      <c r="F85" s="201">
        <f t="shared" si="13"/>
        <v>263.85599999999999</v>
      </c>
      <c r="G85" s="202">
        <f t="shared" si="14"/>
        <v>42594</v>
      </c>
      <c r="H85" s="203">
        <f t="shared" si="16"/>
        <v>332.48979952722129</v>
      </c>
      <c r="I85" s="203">
        <f t="shared" si="11"/>
        <v>7388.6622117160496</v>
      </c>
    </row>
    <row r="86" spans="1:9">
      <c r="A86" s="196">
        <f t="shared" si="15"/>
        <v>8068.6038517492179</v>
      </c>
      <c r="B86" s="194">
        <f t="shared" si="12"/>
        <v>2.41</v>
      </c>
      <c r="C86" s="194">
        <v>5</v>
      </c>
      <c r="D86" s="195">
        <v>1200</v>
      </c>
      <c r="E86" s="195">
        <f t="shared" si="10"/>
        <v>240</v>
      </c>
      <c r="F86" s="201">
        <f t="shared" si="13"/>
        <v>276.47520000000003</v>
      </c>
      <c r="G86" s="197">
        <f t="shared" si="14"/>
        <v>42601</v>
      </c>
      <c r="H86" s="198">
        <f t="shared" si="16"/>
        <v>347.45184050594708</v>
      </c>
      <c r="I86" s="198">
        <f t="shared" si="11"/>
        <v>7721.1520112432709</v>
      </c>
    </row>
    <row r="87" spans="1:9">
      <c r="A87" s="196">
        <f t="shared" si="15"/>
        <v>8431.6910250779329</v>
      </c>
      <c r="B87" s="194">
        <f t="shared" si="12"/>
        <v>2.5099999999999998</v>
      </c>
      <c r="C87" s="194">
        <v>5</v>
      </c>
      <c r="D87" s="195">
        <v>1200</v>
      </c>
      <c r="E87" s="195">
        <f t="shared" si="10"/>
        <v>240</v>
      </c>
      <c r="F87" s="201">
        <f t="shared" si="13"/>
        <v>287.94720000000001</v>
      </c>
      <c r="G87" s="197">
        <f t="shared" si="14"/>
        <v>42608</v>
      </c>
      <c r="H87" s="198">
        <f t="shared" si="16"/>
        <v>363.08717332871493</v>
      </c>
      <c r="I87" s="198">
        <f t="shared" si="11"/>
        <v>8068.6038517492179</v>
      </c>
    </row>
    <row r="88" spans="1:9">
      <c r="A88" s="196">
        <f t="shared" si="15"/>
        <v>8811.1171212064401</v>
      </c>
      <c r="B88" s="194">
        <f t="shared" si="12"/>
        <v>2.63</v>
      </c>
      <c r="C88" s="194">
        <v>5</v>
      </c>
      <c r="D88" s="195">
        <v>1200</v>
      </c>
      <c r="E88" s="195">
        <f t="shared" si="10"/>
        <v>240</v>
      </c>
      <c r="F88" s="201">
        <f t="shared" si="13"/>
        <v>301.71359999999999</v>
      </c>
      <c r="G88" s="197">
        <f t="shared" si="14"/>
        <v>42615</v>
      </c>
      <c r="H88" s="198">
        <f t="shared" si="16"/>
        <v>379.4260961285072</v>
      </c>
      <c r="I88" s="198">
        <f t="shared" si="11"/>
        <v>8431.6910250779329</v>
      </c>
    </row>
    <row r="89" spans="1:9">
      <c r="A89" s="196">
        <f t="shared" si="15"/>
        <v>9207.6173916607295</v>
      </c>
      <c r="B89" s="194">
        <f t="shared" si="12"/>
        <v>2.75</v>
      </c>
      <c r="C89" s="194">
        <v>5</v>
      </c>
      <c r="D89" s="195">
        <v>1200</v>
      </c>
      <c r="E89" s="195">
        <f t="shared" si="10"/>
        <v>240</v>
      </c>
      <c r="F89" s="201">
        <f t="shared" si="13"/>
        <v>315.48</v>
      </c>
      <c r="G89" s="197">
        <f t="shared" si="14"/>
        <v>42622</v>
      </c>
      <c r="H89" s="198">
        <f t="shared" si="16"/>
        <v>396.50027045428942</v>
      </c>
      <c r="I89" s="198">
        <f t="shared" si="11"/>
        <v>8811.1171212064401</v>
      </c>
    </row>
    <row r="90" spans="1:9">
      <c r="A90" s="196">
        <f t="shared" si="15"/>
        <v>9621.9601742854611</v>
      </c>
      <c r="B90" s="194">
        <f t="shared" si="12"/>
        <v>2.87</v>
      </c>
      <c r="C90" s="194">
        <v>5</v>
      </c>
      <c r="D90" s="195">
        <v>1200</v>
      </c>
      <c r="E90" s="195">
        <f t="shared" si="10"/>
        <v>240</v>
      </c>
      <c r="F90" s="201">
        <f t="shared" si="13"/>
        <v>329.24640000000005</v>
      </c>
      <c r="G90" s="197">
        <f t="shared" si="14"/>
        <v>42629</v>
      </c>
      <c r="H90" s="198">
        <f t="shared" si="16"/>
        <v>414.34278262473163</v>
      </c>
      <c r="I90" s="198">
        <f t="shared" si="11"/>
        <v>9207.6173916607295</v>
      </c>
    </row>
    <row r="91" spans="1:9">
      <c r="A91" s="196">
        <f t="shared" si="15"/>
        <v>10054.948382128307</v>
      </c>
      <c r="B91" s="194">
        <f t="shared" si="12"/>
        <v>3</v>
      </c>
      <c r="C91" s="194">
        <v>5</v>
      </c>
      <c r="D91" s="195">
        <v>1200</v>
      </c>
      <c r="E91" s="195">
        <f t="shared" si="10"/>
        <v>240</v>
      </c>
      <c r="F91" s="201">
        <f t="shared" si="13"/>
        <v>344.16</v>
      </c>
      <c r="G91" s="197">
        <f t="shared" si="14"/>
        <v>42636</v>
      </c>
      <c r="H91" s="198">
        <f t="shared" si="16"/>
        <v>432.98820784284544</v>
      </c>
      <c r="I91" s="198">
        <f t="shared" si="11"/>
        <v>9621.9601742854611</v>
      </c>
    </row>
    <row r="92" spans="1:9">
      <c r="A92" s="196">
        <f t="shared" si="15"/>
        <v>10507.42105932408</v>
      </c>
      <c r="B92" s="194">
        <f t="shared" si="12"/>
        <v>3.14</v>
      </c>
      <c r="C92" s="194">
        <v>5</v>
      </c>
      <c r="D92" s="195">
        <v>1200</v>
      </c>
      <c r="E92" s="195">
        <f t="shared" si="10"/>
        <v>240</v>
      </c>
      <c r="F92" s="201">
        <f t="shared" si="13"/>
        <v>360.22080000000005</v>
      </c>
      <c r="G92" s="197">
        <f t="shared" si="14"/>
        <v>42643</v>
      </c>
      <c r="H92" s="198">
        <f t="shared" si="16"/>
        <v>452.47267719577394</v>
      </c>
      <c r="I92" s="198">
        <f t="shared" si="11"/>
        <v>10054.948382128307</v>
      </c>
    </row>
    <row r="93" spans="1:9">
      <c r="A93" s="196">
        <f t="shared" si="15"/>
        <v>10980.255006993664</v>
      </c>
      <c r="B93" s="194">
        <f t="shared" si="12"/>
        <v>3.28</v>
      </c>
      <c r="C93" s="194">
        <v>5</v>
      </c>
      <c r="D93" s="195">
        <v>1200</v>
      </c>
      <c r="E93" s="195">
        <f t="shared" si="10"/>
        <v>240</v>
      </c>
      <c r="F93" s="201">
        <f t="shared" si="13"/>
        <v>376.28159999999997</v>
      </c>
      <c r="G93" s="197">
        <f t="shared" si="14"/>
        <v>42650</v>
      </c>
      <c r="H93" s="198">
        <f t="shared" si="16"/>
        <v>472.83394766958372</v>
      </c>
      <c r="I93" s="198">
        <f t="shared" si="11"/>
        <v>10507.42105932408</v>
      </c>
    </row>
    <row r="94" spans="1:9">
      <c r="A94" s="196">
        <f t="shared" si="15"/>
        <v>11474.366482308378</v>
      </c>
      <c r="B94" s="194">
        <f t="shared" si="12"/>
        <v>3.42</v>
      </c>
      <c r="C94" s="194">
        <v>5</v>
      </c>
      <c r="D94" s="195">
        <v>1200</v>
      </c>
      <c r="E94" s="195">
        <f t="shared" si="10"/>
        <v>240</v>
      </c>
      <c r="F94" s="201">
        <f t="shared" si="13"/>
        <v>392.3424</v>
      </c>
      <c r="G94" s="197">
        <f t="shared" si="14"/>
        <v>42657</v>
      </c>
      <c r="H94" s="198">
        <f t="shared" si="16"/>
        <v>494.11147531471397</v>
      </c>
      <c r="I94" s="198">
        <f t="shared" si="11"/>
        <v>10980.255006993664</v>
      </c>
    </row>
    <row r="95" spans="1:9">
      <c r="A95" s="196">
        <f t="shared" si="15"/>
        <v>11990.712974012255</v>
      </c>
      <c r="B95" s="194">
        <f t="shared" si="12"/>
        <v>3.58</v>
      </c>
      <c r="C95" s="194">
        <v>5</v>
      </c>
      <c r="D95" s="195">
        <v>1200</v>
      </c>
      <c r="E95" s="195">
        <f t="shared" si="10"/>
        <v>240</v>
      </c>
      <c r="F95" s="201">
        <f t="shared" si="13"/>
        <v>410.69760000000002</v>
      </c>
      <c r="G95" s="197">
        <f t="shared" si="14"/>
        <v>42664</v>
      </c>
      <c r="H95" s="198">
        <f t="shared" si="16"/>
        <v>516.34649170387638</v>
      </c>
      <c r="I95" s="198">
        <f t="shared" si="11"/>
        <v>11474.366482308378</v>
      </c>
    </row>
    <row r="96" spans="1:9">
      <c r="A96" s="196">
        <f t="shared" si="15"/>
        <v>12530.295057842804</v>
      </c>
      <c r="B96" s="194">
        <f t="shared" si="12"/>
        <v>3.74</v>
      </c>
      <c r="C96" s="194">
        <v>5</v>
      </c>
      <c r="D96" s="195">
        <v>1200</v>
      </c>
      <c r="E96" s="195">
        <f t="shared" si="10"/>
        <v>240</v>
      </c>
      <c r="F96" s="201">
        <f t="shared" si="13"/>
        <v>429.05279999999999</v>
      </c>
      <c r="G96" s="197">
        <f t="shared" si="14"/>
        <v>42671</v>
      </c>
      <c r="H96" s="198">
        <f t="shared" si="16"/>
        <v>539.58208383054989</v>
      </c>
      <c r="I96" s="198">
        <f t="shared" si="11"/>
        <v>11990.712974012255</v>
      </c>
    </row>
    <row r="97" spans="1:9">
      <c r="A97" s="196">
        <f t="shared" si="15"/>
        <v>13094.158335445729</v>
      </c>
      <c r="B97" s="194">
        <f t="shared" si="12"/>
        <v>3.91</v>
      </c>
      <c r="C97" s="194">
        <v>5</v>
      </c>
      <c r="D97" s="195">
        <v>1200</v>
      </c>
      <c r="E97" s="195">
        <f t="shared" si="10"/>
        <v>240</v>
      </c>
      <c r="F97" s="201">
        <f t="shared" si="13"/>
        <v>448.55520000000013</v>
      </c>
      <c r="G97" s="197">
        <f t="shared" si="14"/>
        <v>42678</v>
      </c>
      <c r="H97" s="198">
        <f t="shared" si="16"/>
        <v>563.86327760292443</v>
      </c>
      <c r="I97" s="198">
        <f t="shared" si="11"/>
        <v>12530.295057842804</v>
      </c>
    </row>
    <row r="98" spans="1:9">
      <c r="A98" s="201">
        <f t="shared" si="15"/>
        <v>13683.395460540785</v>
      </c>
      <c r="B98" s="194">
        <f t="shared" si="12"/>
        <v>4.08</v>
      </c>
      <c r="C98" s="194">
        <v>5</v>
      </c>
      <c r="D98" s="195">
        <v>1200</v>
      </c>
      <c r="E98" s="195">
        <f t="shared" ref="E98:E126" si="17">D98/C98</f>
        <v>240</v>
      </c>
      <c r="F98" s="201">
        <f t="shared" si="13"/>
        <v>468.05760000000004</v>
      </c>
      <c r="G98" s="202">
        <f t="shared" si="14"/>
        <v>42685</v>
      </c>
      <c r="H98" s="203">
        <f t="shared" si="16"/>
        <v>589.2371250950564</v>
      </c>
      <c r="I98" s="203">
        <f t="shared" ref="I98:I126" si="18">A98-H98</f>
        <v>13094.158335445729</v>
      </c>
    </row>
    <row r="99" spans="1:9">
      <c r="A99" s="201">
        <f t="shared" si="15"/>
        <v>14299.14825626512</v>
      </c>
      <c r="B99" s="194">
        <f t="shared" si="12"/>
        <v>4.2699999999999996</v>
      </c>
      <c r="C99" s="194">
        <v>5</v>
      </c>
      <c r="D99" s="195">
        <v>1200</v>
      </c>
      <c r="E99" s="195">
        <f t="shared" si="17"/>
        <v>240</v>
      </c>
      <c r="F99" s="201">
        <f t="shared" si="13"/>
        <v>489.8544</v>
      </c>
      <c r="G99" s="202">
        <f t="shared" ref="G99:G126" si="19">DATE(YEAR(G98),MONTH(G98),DAY(G98)+2+C99)</f>
        <v>42692</v>
      </c>
      <c r="H99" s="203">
        <f t="shared" si="16"/>
        <v>615.75279572433465</v>
      </c>
      <c r="I99" s="203">
        <f t="shared" si="18"/>
        <v>13683.395460540785</v>
      </c>
    </row>
    <row r="100" spans="1:9">
      <c r="A100" s="196">
        <f t="shared" si="15"/>
        <v>14942.60992779705</v>
      </c>
      <c r="B100" s="194">
        <f t="shared" si="12"/>
        <v>4.46</v>
      </c>
      <c r="C100" s="194">
        <v>5</v>
      </c>
      <c r="D100" s="195">
        <v>1200</v>
      </c>
      <c r="E100" s="195">
        <f t="shared" si="17"/>
        <v>240</v>
      </c>
      <c r="F100" s="201">
        <f t="shared" si="13"/>
        <v>511.65120000000013</v>
      </c>
      <c r="G100" s="197">
        <f t="shared" si="19"/>
        <v>42699</v>
      </c>
      <c r="H100" s="198">
        <f t="shared" si="16"/>
        <v>643.46167153192982</v>
      </c>
      <c r="I100" s="198">
        <f t="shared" si="18"/>
        <v>14299.14825626512</v>
      </c>
    </row>
    <row r="101" spans="1:9">
      <c r="A101" s="196">
        <f t="shared" si="15"/>
        <v>15615.027374547915</v>
      </c>
      <c r="B101" s="194">
        <f t="shared" si="12"/>
        <v>4.66</v>
      </c>
      <c r="C101" s="194">
        <v>5</v>
      </c>
      <c r="D101" s="195">
        <v>1200</v>
      </c>
      <c r="E101" s="195">
        <f t="shared" si="17"/>
        <v>240</v>
      </c>
      <c r="F101" s="201">
        <f t="shared" si="13"/>
        <v>534.59520000000009</v>
      </c>
      <c r="G101" s="197">
        <f t="shared" si="19"/>
        <v>42706</v>
      </c>
      <c r="H101" s="198">
        <f t="shared" si="16"/>
        <v>672.41744675086557</v>
      </c>
      <c r="I101" s="198">
        <f t="shared" si="18"/>
        <v>14942.60992779705</v>
      </c>
    </row>
    <row r="102" spans="1:9">
      <c r="A102" s="196">
        <f t="shared" si="15"/>
        <v>16317.703606402571</v>
      </c>
      <c r="B102" s="194">
        <f t="shared" si="12"/>
        <v>4.87</v>
      </c>
      <c r="C102" s="194">
        <v>5</v>
      </c>
      <c r="D102" s="195">
        <v>1200</v>
      </c>
      <c r="E102" s="195">
        <f t="shared" si="17"/>
        <v>240</v>
      </c>
      <c r="F102" s="201">
        <f t="shared" si="13"/>
        <v>558.68640000000005</v>
      </c>
      <c r="G102" s="197">
        <f t="shared" si="19"/>
        <v>42713</v>
      </c>
      <c r="H102" s="198">
        <f t="shared" si="16"/>
        <v>702.67623185465527</v>
      </c>
      <c r="I102" s="198">
        <f t="shared" si="18"/>
        <v>15615.027374547915</v>
      </c>
    </row>
    <row r="103" spans="1:9">
      <c r="A103" s="196">
        <f t="shared" si="15"/>
        <v>17052.000268690685</v>
      </c>
      <c r="B103" s="194">
        <f t="shared" si="12"/>
        <v>5.09</v>
      </c>
      <c r="C103" s="194">
        <v>5</v>
      </c>
      <c r="D103" s="195">
        <v>1200</v>
      </c>
      <c r="E103" s="195">
        <f t="shared" si="17"/>
        <v>240</v>
      </c>
      <c r="F103" s="201">
        <f t="shared" si="13"/>
        <v>583.9248</v>
      </c>
      <c r="G103" s="197">
        <f t="shared" si="19"/>
        <v>42720</v>
      </c>
      <c r="H103" s="198">
        <f t="shared" si="16"/>
        <v>734.29666228811402</v>
      </c>
      <c r="I103" s="198">
        <f t="shared" si="18"/>
        <v>16317.703606402571</v>
      </c>
    </row>
    <row r="104" spans="1:9">
      <c r="A104" s="196">
        <f t="shared" si="15"/>
        <v>17819.340280781766</v>
      </c>
      <c r="B104" s="194">
        <f t="shared" si="12"/>
        <v>5.32</v>
      </c>
      <c r="C104" s="194">
        <v>5</v>
      </c>
      <c r="D104" s="195">
        <v>1200</v>
      </c>
      <c r="E104" s="195">
        <f t="shared" si="17"/>
        <v>240</v>
      </c>
      <c r="F104" s="201">
        <f t="shared" si="13"/>
        <v>610.31040000000007</v>
      </c>
      <c r="G104" s="197">
        <f t="shared" si="19"/>
        <v>42727</v>
      </c>
      <c r="H104" s="198">
        <f t="shared" si="16"/>
        <v>767.34001209108101</v>
      </c>
      <c r="I104" s="198">
        <f t="shared" si="18"/>
        <v>17052.000268690685</v>
      </c>
    </row>
    <row r="105" spans="1:9">
      <c r="A105" s="196">
        <f t="shared" si="15"/>
        <v>18621.210593416945</v>
      </c>
      <c r="B105" s="194">
        <f t="shared" si="12"/>
        <v>5.56</v>
      </c>
      <c r="C105" s="194">
        <v>5</v>
      </c>
      <c r="D105" s="195">
        <v>1200</v>
      </c>
      <c r="E105" s="195">
        <f t="shared" si="17"/>
        <v>240</v>
      </c>
      <c r="F105" s="201">
        <f t="shared" si="13"/>
        <v>637.84320000000002</v>
      </c>
      <c r="G105" s="197">
        <f t="shared" si="19"/>
        <v>42734</v>
      </c>
      <c r="H105" s="198">
        <f t="shared" si="16"/>
        <v>801.87031263517929</v>
      </c>
      <c r="I105" s="198">
        <f t="shared" si="18"/>
        <v>17819.340280781766</v>
      </c>
    </row>
    <row r="106" spans="1:9">
      <c r="A106" s="201">
        <f t="shared" si="15"/>
        <v>19459.165070120707</v>
      </c>
      <c r="B106" s="194">
        <f t="shared" si="12"/>
        <v>5.81</v>
      </c>
      <c r="C106" s="194">
        <v>5</v>
      </c>
      <c r="D106" s="195">
        <v>1200</v>
      </c>
      <c r="E106" s="195">
        <f t="shared" si="17"/>
        <v>240</v>
      </c>
      <c r="F106" s="201">
        <f t="shared" si="13"/>
        <v>666.52319999999997</v>
      </c>
      <c r="G106" s="202">
        <f t="shared" si="19"/>
        <v>42741</v>
      </c>
      <c r="H106" s="203">
        <f t="shared" si="16"/>
        <v>837.95447670376234</v>
      </c>
      <c r="I106" s="203">
        <f t="shared" si="18"/>
        <v>18621.210593416945</v>
      </c>
    </row>
    <row r="107" spans="1:9">
      <c r="A107" s="196">
        <f t="shared" si="15"/>
        <v>20334.827498276136</v>
      </c>
      <c r="B107" s="194">
        <f t="shared" si="12"/>
        <v>6.07</v>
      </c>
      <c r="C107" s="194">
        <v>5</v>
      </c>
      <c r="D107" s="195">
        <v>1200</v>
      </c>
      <c r="E107" s="195">
        <f t="shared" si="17"/>
        <v>240</v>
      </c>
      <c r="F107" s="201">
        <f t="shared" si="13"/>
        <v>696.35040000000015</v>
      </c>
      <c r="G107" s="197">
        <f t="shared" si="19"/>
        <v>42748</v>
      </c>
      <c r="H107" s="198">
        <f t="shared" si="16"/>
        <v>875.66242815542864</v>
      </c>
      <c r="I107" s="198">
        <f t="shared" si="18"/>
        <v>19459.165070120707</v>
      </c>
    </row>
    <row r="108" spans="1:9">
      <c r="A108" s="196">
        <f t="shared" si="15"/>
        <v>21249.894735698559</v>
      </c>
      <c r="B108" s="194">
        <f t="shared" si="12"/>
        <v>6.35</v>
      </c>
      <c r="C108" s="194">
        <v>5</v>
      </c>
      <c r="D108" s="195">
        <v>1200</v>
      </c>
      <c r="E108" s="195">
        <f t="shared" si="17"/>
        <v>240</v>
      </c>
      <c r="F108" s="201">
        <f t="shared" si="13"/>
        <v>728.47200000000009</v>
      </c>
      <c r="G108" s="197">
        <f t="shared" si="19"/>
        <v>42755</v>
      </c>
      <c r="H108" s="198">
        <f t="shared" si="16"/>
        <v>915.0672374224232</v>
      </c>
      <c r="I108" s="198">
        <f t="shared" si="18"/>
        <v>20334.827498276136</v>
      </c>
    </row>
    <row r="109" spans="1:9">
      <c r="A109" s="196">
        <f t="shared" si="15"/>
        <v>22206.139998804993</v>
      </c>
      <c r="B109" s="194">
        <f t="shared" si="12"/>
        <v>6.63</v>
      </c>
      <c r="C109" s="194">
        <v>5</v>
      </c>
      <c r="D109" s="195">
        <v>1200</v>
      </c>
      <c r="E109" s="195">
        <f t="shared" si="17"/>
        <v>240</v>
      </c>
      <c r="F109" s="201">
        <f t="shared" si="13"/>
        <v>760.59360000000004</v>
      </c>
      <c r="G109" s="197">
        <f t="shared" si="19"/>
        <v>42762</v>
      </c>
      <c r="H109" s="198">
        <f t="shared" si="16"/>
        <v>956.24526310643341</v>
      </c>
      <c r="I109" s="198">
        <f t="shared" si="18"/>
        <v>21249.894735698559</v>
      </c>
    </row>
    <row r="110" spans="1:9">
      <c r="A110" s="196">
        <f t="shared" si="15"/>
        <v>23205.416298751217</v>
      </c>
      <c r="B110" s="194">
        <f t="shared" si="12"/>
        <v>6.93</v>
      </c>
      <c r="C110" s="194">
        <v>5</v>
      </c>
      <c r="D110" s="195">
        <v>1200</v>
      </c>
      <c r="E110" s="195">
        <f t="shared" si="17"/>
        <v>240</v>
      </c>
      <c r="F110" s="201">
        <f t="shared" si="13"/>
        <v>795.00959999999998</v>
      </c>
      <c r="G110" s="197">
        <f t="shared" si="19"/>
        <v>42769</v>
      </c>
      <c r="H110" s="198">
        <f t="shared" si="16"/>
        <v>999.27629994622475</v>
      </c>
      <c r="I110" s="198">
        <f t="shared" si="18"/>
        <v>22206.139998804993</v>
      </c>
    </row>
    <row r="111" spans="1:9">
      <c r="A111" s="196">
        <f t="shared" si="15"/>
        <v>24249.660032195021</v>
      </c>
      <c r="B111" s="194">
        <f t="shared" si="12"/>
        <v>7.24</v>
      </c>
      <c r="C111" s="194">
        <v>5</v>
      </c>
      <c r="D111" s="195">
        <v>1200</v>
      </c>
      <c r="E111" s="195">
        <f t="shared" si="17"/>
        <v>240</v>
      </c>
      <c r="F111" s="201">
        <f t="shared" si="13"/>
        <v>830.57280000000014</v>
      </c>
      <c r="G111" s="197">
        <f t="shared" si="19"/>
        <v>42776</v>
      </c>
      <c r="H111" s="198">
        <f t="shared" si="16"/>
        <v>1044.2437334438036</v>
      </c>
      <c r="I111" s="198">
        <f t="shared" si="18"/>
        <v>23205.416298751217</v>
      </c>
    </row>
    <row r="112" spans="1:9">
      <c r="A112" s="196">
        <f t="shared" si="15"/>
        <v>25340.894733643796</v>
      </c>
      <c r="B112" s="194">
        <f t="shared" si="12"/>
        <v>7.57</v>
      </c>
      <c r="C112" s="194">
        <v>5</v>
      </c>
      <c r="D112" s="195">
        <v>1200</v>
      </c>
      <c r="E112" s="195">
        <f t="shared" si="17"/>
        <v>240</v>
      </c>
      <c r="F112" s="201">
        <f t="shared" si="13"/>
        <v>868.43040000000008</v>
      </c>
      <c r="G112" s="197">
        <f t="shared" si="19"/>
        <v>42783</v>
      </c>
      <c r="H112" s="198">
        <f t="shared" si="16"/>
        <v>1091.234701448775</v>
      </c>
      <c r="I112" s="198">
        <f t="shared" si="18"/>
        <v>24249.660032195021</v>
      </c>
    </row>
    <row r="113" spans="1:9">
      <c r="A113" s="196">
        <f t="shared" si="15"/>
        <v>26481.234996657764</v>
      </c>
      <c r="B113" s="194">
        <f t="shared" si="12"/>
        <v>7.91</v>
      </c>
      <c r="C113" s="194">
        <v>5</v>
      </c>
      <c r="D113" s="195">
        <v>1200</v>
      </c>
      <c r="E113" s="195">
        <f t="shared" si="17"/>
        <v>240</v>
      </c>
      <c r="F113" s="201">
        <f t="shared" si="13"/>
        <v>907.43520000000012</v>
      </c>
      <c r="G113" s="197">
        <f t="shared" si="19"/>
        <v>42790</v>
      </c>
      <c r="H113" s="198">
        <f t="shared" si="16"/>
        <v>1140.3402630139681</v>
      </c>
      <c r="I113" s="198">
        <f t="shared" si="18"/>
        <v>25340.894733643796</v>
      </c>
    </row>
    <row r="114" spans="1:9">
      <c r="A114" s="196">
        <f t="shared" si="15"/>
        <v>27672.89057150736</v>
      </c>
      <c r="B114" s="194">
        <f t="shared" si="12"/>
        <v>8.27</v>
      </c>
      <c r="C114" s="194">
        <v>5</v>
      </c>
      <c r="D114" s="195">
        <v>1200</v>
      </c>
      <c r="E114" s="195">
        <f t="shared" si="17"/>
        <v>240</v>
      </c>
      <c r="F114" s="201">
        <f t="shared" si="13"/>
        <v>948.73440000000005</v>
      </c>
      <c r="G114" s="197">
        <f t="shared" si="19"/>
        <v>42797</v>
      </c>
      <c r="H114" s="198">
        <f t="shared" si="16"/>
        <v>1191.6555748495957</v>
      </c>
      <c r="I114" s="198">
        <f t="shared" si="18"/>
        <v>26481.234996657764</v>
      </c>
    </row>
    <row r="115" spans="1:9">
      <c r="A115" s="196">
        <f t="shared" si="15"/>
        <v>28918.17064722519</v>
      </c>
      <c r="B115" s="194">
        <f t="shared" si="12"/>
        <v>8.64</v>
      </c>
      <c r="C115" s="194">
        <v>5</v>
      </c>
      <c r="D115" s="195">
        <v>1200</v>
      </c>
      <c r="E115" s="195">
        <f t="shared" si="17"/>
        <v>240</v>
      </c>
      <c r="F115" s="201">
        <f t="shared" si="13"/>
        <v>991.1808000000002</v>
      </c>
      <c r="G115" s="197">
        <f t="shared" si="19"/>
        <v>42804</v>
      </c>
      <c r="H115" s="198">
        <f t="shared" si="16"/>
        <v>1245.2800757178302</v>
      </c>
      <c r="I115" s="198">
        <f t="shared" si="18"/>
        <v>27672.89057150736</v>
      </c>
    </row>
    <row r="116" spans="1:9">
      <c r="A116" s="196">
        <f t="shared" si="15"/>
        <v>30219.488326350322</v>
      </c>
      <c r="B116" s="194">
        <f t="shared" si="12"/>
        <v>9.0299999999999994</v>
      </c>
      <c r="C116" s="194">
        <v>5</v>
      </c>
      <c r="D116" s="195">
        <v>1200</v>
      </c>
      <c r="E116" s="195">
        <f t="shared" si="17"/>
        <v>240</v>
      </c>
      <c r="F116" s="201">
        <f t="shared" si="13"/>
        <v>1035.9215999999999</v>
      </c>
      <c r="G116" s="197">
        <f t="shared" si="19"/>
        <v>42811</v>
      </c>
      <c r="H116" s="198">
        <f t="shared" si="16"/>
        <v>1301.3176791251317</v>
      </c>
      <c r="I116" s="198">
        <f t="shared" si="18"/>
        <v>28918.17064722519</v>
      </c>
    </row>
    <row r="117" spans="1:9">
      <c r="A117" s="196">
        <f t="shared" si="15"/>
        <v>31579.365301036083</v>
      </c>
      <c r="B117" s="194">
        <f t="shared" si="12"/>
        <v>9.43</v>
      </c>
      <c r="C117" s="194">
        <v>5</v>
      </c>
      <c r="D117" s="195">
        <v>1200</v>
      </c>
      <c r="E117" s="195">
        <f t="shared" si="17"/>
        <v>240</v>
      </c>
      <c r="F117" s="201">
        <f t="shared" si="13"/>
        <v>1081.8096</v>
      </c>
      <c r="G117" s="197">
        <f t="shared" si="19"/>
        <v>42818</v>
      </c>
      <c r="H117" s="198">
        <f t="shared" si="16"/>
        <v>1359.8769746857615</v>
      </c>
      <c r="I117" s="198">
        <f t="shared" si="18"/>
        <v>30219.488326350322</v>
      </c>
    </row>
    <row r="118" spans="1:9">
      <c r="A118" s="196">
        <f t="shared" si="15"/>
        <v>33000.436739582707</v>
      </c>
      <c r="B118" s="194">
        <f t="shared" si="12"/>
        <v>9.86</v>
      </c>
      <c r="C118" s="194">
        <v>5</v>
      </c>
      <c r="D118" s="195">
        <v>1200</v>
      </c>
      <c r="E118" s="195">
        <f t="shared" si="17"/>
        <v>240</v>
      </c>
      <c r="F118" s="201">
        <f t="shared" si="13"/>
        <v>1131.1392000000001</v>
      </c>
      <c r="G118" s="197">
        <f t="shared" si="19"/>
        <v>42825</v>
      </c>
      <c r="H118" s="198">
        <f t="shared" si="16"/>
        <v>1421.0714385466235</v>
      </c>
      <c r="I118" s="198">
        <f t="shared" si="18"/>
        <v>31579.365301036083</v>
      </c>
    </row>
    <row r="119" spans="1:9">
      <c r="A119" s="196">
        <f t="shared" si="15"/>
        <v>34485.456392863925</v>
      </c>
      <c r="B119" s="194">
        <f t="shared" si="12"/>
        <v>10.3</v>
      </c>
      <c r="C119" s="194">
        <v>5</v>
      </c>
      <c r="D119" s="195">
        <v>1200</v>
      </c>
      <c r="E119" s="195">
        <f t="shared" si="17"/>
        <v>240</v>
      </c>
      <c r="F119" s="201">
        <f t="shared" si="13"/>
        <v>1181.6160000000002</v>
      </c>
      <c r="G119" s="197">
        <f t="shared" si="19"/>
        <v>42832</v>
      </c>
      <c r="H119" s="198">
        <f t="shared" si="16"/>
        <v>1485.0196532812188</v>
      </c>
      <c r="I119" s="198">
        <f t="shared" si="18"/>
        <v>33000.436739582707</v>
      </c>
    </row>
    <row r="120" spans="1:9">
      <c r="A120" s="201">
        <f t="shared" si="15"/>
        <v>36037.301930542802</v>
      </c>
      <c r="B120" s="194">
        <f t="shared" si="12"/>
        <v>10.77</v>
      </c>
      <c r="C120" s="194">
        <v>5</v>
      </c>
      <c r="D120" s="195">
        <v>1200</v>
      </c>
      <c r="E120" s="195">
        <f t="shared" si="17"/>
        <v>240</v>
      </c>
      <c r="F120" s="201">
        <f t="shared" si="13"/>
        <v>1235.5344</v>
      </c>
      <c r="G120" s="202">
        <f t="shared" si="19"/>
        <v>42839</v>
      </c>
      <c r="H120" s="203">
        <f t="shared" si="16"/>
        <v>1551.845537678877</v>
      </c>
      <c r="I120" s="203">
        <f t="shared" si="18"/>
        <v>34485.456392863925</v>
      </c>
    </row>
    <row r="121" spans="1:9">
      <c r="A121" s="196">
        <f t="shared" si="15"/>
        <v>37658.980517417229</v>
      </c>
      <c r="B121" s="194">
        <f t="shared" si="12"/>
        <v>11.25</v>
      </c>
      <c r="C121" s="194">
        <v>5</v>
      </c>
      <c r="D121" s="195">
        <v>1200</v>
      </c>
      <c r="E121" s="195">
        <f t="shared" si="17"/>
        <v>240</v>
      </c>
      <c r="F121" s="201">
        <f t="shared" si="13"/>
        <v>1290.6000000000001</v>
      </c>
      <c r="G121" s="197">
        <f t="shared" si="19"/>
        <v>42846</v>
      </c>
      <c r="H121" s="198">
        <f t="shared" si="16"/>
        <v>1621.6785868744264</v>
      </c>
      <c r="I121" s="198">
        <f t="shared" si="18"/>
        <v>36037.301930542802</v>
      </c>
    </row>
    <row r="122" spans="1:9">
      <c r="A122" s="196">
        <f t="shared" si="15"/>
        <v>39353.634640700999</v>
      </c>
      <c r="B122" s="194">
        <f t="shared" si="12"/>
        <v>11.76</v>
      </c>
      <c r="C122" s="194">
        <v>5</v>
      </c>
      <c r="D122" s="195">
        <v>1200</v>
      </c>
      <c r="E122" s="195">
        <f t="shared" si="17"/>
        <v>240</v>
      </c>
      <c r="F122" s="201">
        <f t="shared" si="13"/>
        <v>1349.1072000000001</v>
      </c>
      <c r="G122" s="197">
        <f t="shared" si="19"/>
        <v>42853</v>
      </c>
      <c r="H122" s="198">
        <f t="shared" si="16"/>
        <v>1694.6541232837699</v>
      </c>
      <c r="I122" s="198">
        <f t="shared" si="18"/>
        <v>37658.980517417229</v>
      </c>
    </row>
    <row r="123" spans="1:9">
      <c r="A123" s="196">
        <f t="shared" si="15"/>
        <v>41124.548199532539</v>
      </c>
      <c r="B123" s="194">
        <f t="shared" si="12"/>
        <v>12.29</v>
      </c>
      <c r="C123" s="194">
        <v>5</v>
      </c>
      <c r="D123" s="195">
        <v>1200</v>
      </c>
      <c r="E123" s="195">
        <f t="shared" si="17"/>
        <v>240</v>
      </c>
      <c r="F123" s="201">
        <f t="shared" si="13"/>
        <v>1409.9087999999999</v>
      </c>
      <c r="G123" s="197">
        <f t="shared" si="19"/>
        <v>42860</v>
      </c>
      <c r="H123" s="198">
        <f t="shared" si="16"/>
        <v>1770.9135588315403</v>
      </c>
      <c r="I123" s="198">
        <f t="shared" si="18"/>
        <v>39353.634640700999</v>
      </c>
    </row>
    <row r="124" spans="1:9">
      <c r="A124" s="196">
        <f t="shared" si="15"/>
        <v>42975.152868511497</v>
      </c>
      <c r="B124" s="194">
        <f t="shared" si="12"/>
        <v>12.84</v>
      </c>
      <c r="C124" s="194">
        <v>5</v>
      </c>
      <c r="D124" s="195">
        <v>1200</v>
      </c>
      <c r="E124" s="195">
        <f t="shared" si="17"/>
        <v>240</v>
      </c>
      <c r="F124" s="201">
        <f t="shared" si="13"/>
        <v>1473.0047999999999</v>
      </c>
      <c r="G124" s="197">
        <f t="shared" si="19"/>
        <v>42867</v>
      </c>
      <c r="H124" s="198">
        <f t="shared" si="16"/>
        <v>1850.6046689789582</v>
      </c>
      <c r="I124" s="198">
        <f t="shared" si="18"/>
        <v>41124.548199532539</v>
      </c>
    </row>
    <row r="125" spans="1:9">
      <c r="A125" s="196">
        <f t="shared" si="15"/>
        <v>44909.034747594509</v>
      </c>
      <c r="B125" s="194">
        <f t="shared" si="12"/>
        <v>13.42</v>
      </c>
      <c r="C125" s="194">
        <v>5</v>
      </c>
      <c r="D125" s="195">
        <v>1200</v>
      </c>
      <c r="E125" s="195">
        <f t="shared" si="17"/>
        <v>240</v>
      </c>
      <c r="F125" s="201">
        <f t="shared" si="13"/>
        <v>1539.5424000000003</v>
      </c>
      <c r="G125" s="197">
        <f t="shared" si="19"/>
        <v>42874</v>
      </c>
      <c r="H125" s="198">
        <f t="shared" si="16"/>
        <v>1933.8818790830119</v>
      </c>
      <c r="I125" s="198">
        <f t="shared" si="18"/>
        <v>42975.152868511497</v>
      </c>
    </row>
    <row r="126" spans="1:9">
      <c r="A126" s="201">
        <f t="shared" si="15"/>
        <v>46929.94131123626</v>
      </c>
      <c r="B126" s="194">
        <f t="shared" si="12"/>
        <v>14.02</v>
      </c>
      <c r="C126" s="194">
        <v>5</v>
      </c>
      <c r="D126" s="195">
        <v>1200</v>
      </c>
      <c r="E126" s="195">
        <f t="shared" si="17"/>
        <v>240</v>
      </c>
      <c r="F126" s="201">
        <f t="shared" si="13"/>
        <v>1608.3743999999999</v>
      </c>
      <c r="G126" s="202">
        <f t="shared" si="19"/>
        <v>42881</v>
      </c>
      <c r="H126" s="203">
        <f t="shared" si="16"/>
        <v>2020.9065636417508</v>
      </c>
      <c r="I126" s="203">
        <f t="shared" si="18"/>
        <v>44909.034747594509</v>
      </c>
    </row>
    <row r="127" spans="1:9">
      <c r="A127" s="201">
        <f t="shared" si="15"/>
        <v>49041.788670241891</v>
      </c>
      <c r="B127" s="194">
        <f t="shared" si="12"/>
        <v>14.65</v>
      </c>
      <c r="C127" s="194">
        <v>5</v>
      </c>
      <c r="D127" s="195">
        <v>1200</v>
      </c>
      <c r="E127" s="195">
        <f t="shared" ref="E127:E150" si="20">D127/C127</f>
        <v>240</v>
      </c>
      <c r="F127" s="201">
        <f t="shared" si="13"/>
        <v>1680.6480000000001</v>
      </c>
      <c r="G127" s="202">
        <f t="shared" ref="G127:G150" si="21">DATE(YEAR(G126),MONTH(G126),DAY(G126)+2+C127)</f>
        <v>42888</v>
      </c>
      <c r="H127" s="203">
        <f t="shared" ref="H127:H150" si="22">A127-A126</f>
        <v>2111.847359005631</v>
      </c>
      <c r="I127" s="203">
        <f t="shared" ref="I127:I150" si="23">A127-H127</f>
        <v>46929.94131123626</v>
      </c>
    </row>
    <row r="128" spans="1:9">
      <c r="A128" s="201">
        <f t="shared" si="15"/>
        <v>51248.669160402773</v>
      </c>
      <c r="B128" s="194">
        <f t="shared" si="12"/>
        <v>15.31</v>
      </c>
      <c r="C128" s="194">
        <v>5</v>
      </c>
      <c r="D128" s="195">
        <v>1200</v>
      </c>
      <c r="E128" s="195">
        <f t="shared" si="20"/>
        <v>240</v>
      </c>
      <c r="F128" s="201">
        <f t="shared" si="13"/>
        <v>1756.3632000000002</v>
      </c>
      <c r="G128" s="202">
        <f t="shared" si="21"/>
        <v>42895</v>
      </c>
      <c r="H128" s="203">
        <f t="shared" si="22"/>
        <v>2206.8804901608819</v>
      </c>
      <c r="I128" s="203">
        <f t="shared" si="23"/>
        <v>49041.788670241891</v>
      </c>
    </row>
    <row r="129" spans="1:9">
      <c r="A129" s="201">
        <f t="shared" si="15"/>
        <v>53554.859272620895</v>
      </c>
      <c r="B129" s="194">
        <f t="shared" si="12"/>
        <v>16</v>
      </c>
      <c r="C129" s="194">
        <v>5</v>
      </c>
      <c r="D129" s="195">
        <v>1200</v>
      </c>
      <c r="E129" s="195">
        <f t="shared" si="20"/>
        <v>240</v>
      </c>
      <c r="F129" s="201">
        <f t="shared" si="13"/>
        <v>1835.52</v>
      </c>
      <c r="G129" s="202">
        <f t="shared" si="21"/>
        <v>42902</v>
      </c>
      <c r="H129" s="203">
        <f t="shared" si="22"/>
        <v>2306.1901122181225</v>
      </c>
      <c r="I129" s="203">
        <f t="shared" si="23"/>
        <v>51248.669160402773</v>
      </c>
    </row>
    <row r="130" spans="1:9">
      <c r="A130" s="201">
        <f t="shared" si="15"/>
        <v>55964.827939888833</v>
      </c>
      <c r="B130" s="194">
        <f t="shared" si="12"/>
        <v>16.72</v>
      </c>
      <c r="C130" s="194">
        <v>5</v>
      </c>
      <c r="D130" s="195">
        <v>1200</v>
      </c>
      <c r="E130" s="195">
        <f t="shared" si="20"/>
        <v>240</v>
      </c>
      <c r="F130" s="201">
        <f t="shared" si="13"/>
        <v>1918.1184000000003</v>
      </c>
      <c r="G130" s="202">
        <f t="shared" si="21"/>
        <v>42909</v>
      </c>
      <c r="H130" s="203">
        <f t="shared" si="22"/>
        <v>2409.9686672679381</v>
      </c>
      <c r="I130" s="203">
        <f t="shared" si="23"/>
        <v>53554.859272620895</v>
      </c>
    </row>
    <row r="131" spans="1:9">
      <c r="A131" s="201">
        <f t="shared" si="15"/>
        <v>58483.245197183824</v>
      </c>
      <c r="B131" s="194">
        <f t="shared" ref="B131:B155" si="24">ROUNDDOWN((A131*0.01)/(70*0.00478)*0.01,2)</f>
        <v>17.47</v>
      </c>
      <c r="C131" s="194">
        <v>5</v>
      </c>
      <c r="D131" s="195">
        <v>1200</v>
      </c>
      <c r="E131" s="195">
        <f t="shared" si="20"/>
        <v>240</v>
      </c>
      <c r="F131" s="201">
        <f t="shared" ref="F131:F155" si="25">E131*B131*0.00478*100</f>
        <v>2004.1583999999996</v>
      </c>
      <c r="G131" s="202">
        <f t="shared" si="21"/>
        <v>42916</v>
      </c>
      <c r="H131" s="203">
        <f t="shared" si="22"/>
        <v>2518.4172572949901</v>
      </c>
      <c r="I131" s="203">
        <f t="shared" si="23"/>
        <v>55964.827939888833</v>
      </c>
    </row>
    <row r="132" spans="1:9">
      <c r="A132" s="201">
        <f t="shared" ref="A132:A155" si="26">A131*1.045</f>
        <v>61114.991231057094</v>
      </c>
      <c r="B132" s="194">
        <f t="shared" si="24"/>
        <v>18.260000000000002</v>
      </c>
      <c r="C132" s="194">
        <v>5</v>
      </c>
      <c r="D132" s="195">
        <v>1200</v>
      </c>
      <c r="E132" s="195">
        <f t="shared" si="20"/>
        <v>240</v>
      </c>
      <c r="F132" s="201">
        <f t="shared" si="25"/>
        <v>2094.7872000000002</v>
      </c>
      <c r="G132" s="202">
        <f t="shared" si="21"/>
        <v>42923</v>
      </c>
      <c r="H132" s="203">
        <f t="shared" si="22"/>
        <v>2631.7460338732708</v>
      </c>
      <c r="I132" s="203">
        <f t="shared" si="23"/>
        <v>58483.245197183824</v>
      </c>
    </row>
    <row r="133" spans="1:9">
      <c r="A133" s="201">
        <f t="shared" si="26"/>
        <v>63865.16583645466</v>
      </c>
      <c r="B133" s="194">
        <f t="shared" si="24"/>
        <v>19.079999999999998</v>
      </c>
      <c r="C133" s="194">
        <v>5</v>
      </c>
      <c r="D133" s="195">
        <v>1200</v>
      </c>
      <c r="E133" s="195">
        <f t="shared" si="20"/>
        <v>240</v>
      </c>
      <c r="F133" s="201">
        <f t="shared" si="25"/>
        <v>2188.8576000000003</v>
      </c>
      <c r="G133" s="202">
        <f t="shared" si="21"/>
        <v>42930</v>
      </c>
      <c r="H133" s="203">
        <f t="shared" si="22"/>
        <v>2750.1746053975658</v>
      </c>
      <c r="I133" s="203">
        <f t="shared" si="23"/>
        <v>61114.991231057094</v>
      </c>
    </row>
    <row r="134" spans="1:9">
      <c r="A134" s="201">
        <f t="shared" si="26"/>
        <v>66739.098299095116</v>
      </c>
      <c r="B134" s="194">
        <f t="shared" si="24"/>
        <v>19.940000000000001</v>
      </c>
      <c r="C134" s="194">
        <v>5</v>
      </c>
      <c r="D134" s="195">
        <v>1200</v>
      </c>
      <c r="E134" s="195">
        <f t="shared" si="20"/>
        <v>240</v>
      </c>
      <c r="F134" s="201">
        <f t="shared" si="25"/>
        <v>2287.5168000000003</v>
      </c>
      <c r="G134" s="202">
        <f t="shared" si="21"/>
        <v>42937</v>
      </c>
      <c r="H134" s="203">
        <f t="shared" si="22"/>
        <v>2873.9324626404559</v>
      </c>
      <c r="I134" s="203">
        <f t="shared" si="23"/>
        <v>63865.16583645466</v>
      </c>
    </row>
    <row r="135" spans="1:9">
      <c r="A135" s="201">
        <f t="shared" si="26"/>
        <v>69742.357722554385</v>
      </c>
      <c r="B135" s="194">
        <f t="shared" si="24"/>
        <v>20.84</v>
      </c>
      <c r="C135" s="194">
        <v>5</v>
      </c>
      <c r="D135" s="195">
        <v>1200</v>
      </c>
      <c r="E135" s="195">
        <f t="shared" si="20"/>
        <v>240</v>
      </c>
      <c r="F135" s="201">
        <f t="shared" si="25"/>
        <v>2390.7648000000004</v>
      </c>
      <c r="G135" s="202">
        <f t="shared" si="21"/>
        <v>42944</v>
      </c>
      <c r="H135" s="203">
        <f t="shared" si="22"/>
        <v>3003.2594234592689</v>
      </c>
      <c r="I135" s="203">
        <f t="shared" si="23"/>
        <v>66739.098299095116</v>
      </c>
    </row>
    <row r="136" spans="1:9">
      <c r="A136" s="201">
        <f t="shared" si="26"/>
        <v>72880.763820069333</v>
      </c>
      <c r="B136" s="194">
        <f t="shared" si="24"/>
        <v>21.78</v>
      </c>
      <c r="C136" s="194">
        <v>5</v>
      </c>
      <c r="D136" s="195">
        <v>1200</v>
      </c>
      <c r="E136" s="195">
        <f t="shared" si="20"/>
        <v>240</v>
      </c>
      <c r="F136" s="201">
        <f t="shared" si="25"/>
        <v>2498.6016000000009</v>
      </c>
      <c r="G136" s="202">
        <f t="shared" si="21"/>
        <v>42951</v>
      </c>
      <c r="H136" s="203">
        <f t="shared" si="22"/>
        <v>3138.4060975149478</v>
      </c>
      <c r="I136" s="203">
        <f t="shared" si="23"/>
        <v>69742.357722554385</v>
      </c>
    </row>
    <row r="137" spans="1:9">
      <c r="A137" s="201">
        <f t="shared" si="26"/>
        <v>76160.398191972447</v>
      </c>
      <c r="B137" s="194">
        <f t="shared" si="24"/>
        <v>22.76</v>
      </c>
      <c r="C137" s="194">
        <v>5</v>
      </c>
      <c r="D137" s="195">
        <v>1200</v>
      </c>
      <c r="E137" s="195">
        <f t="shared" si="20"/>
        <v>240</v>
      </c>
      <c r="F137" s="201">
        <f t="shared" si="25"/>
        <v>2611.0272000000004</v>
      </c>
      <c r="G137" s="202">
        <f t="shared" si="21"/>
        <v>42958</v>
      </c>
      <c r="H137" s="203">
        <f t="shared" si="22"/>
        <v>3279.6343719031138</v>
      </c>
      <c r="I137" s="203">
        <f t="shared" si="23"/>
        <v>72880.763820069333</v>
      </c>
    </row>
    <row r="138" spans="1:9">
      <c r="A138" s="201">
        <f t="shared" si="26"/>
        <v>79587.616110611198</v>
      </c>
      <c r="B138" s="194">
        <f t="shared" si="24"/>
        <v>23.78</v>
      </c>
      <c r="C138" s="194">
        <v>5</v>
      </c>
      <c r="D138" s="195">
        <v>1200</v>
      </c>
      <c r="E138" s="195">
        <f t="shared" si="20"/>
        <v>240</v>
      </c>
      <c r="F138" s="201">
        <f t="shared" si="25"/>
        <v>2728.0416000000005</v>
      </c>
      <c r="G138" s="202">
        <f t="shared" si="21"/>
        <v>42965</v>
      </c>
      <c r="H138" s="203">
        <f t="shared" si="22"/>
        <v>3427.2179186387511</v>
      </c>
      <c r="I138" s="203">
        <f t="shared" si="23"/>
        <v>76160.398191972447</v>
      </c>
    </row>
    <row r="139" spans="1:9">
      <c r="A139" s="201">
        <f t="shared" si="26"/>
        <v>83169.058835588701</v>
      </c>
      <c r="B139" s="194">
        <f t="shared" si="24"/>
        <v>24.85</v>
      </c>
      <c r="C139" s="194">
        <v>5</v>
      </c>
      <c r="D139" s="195">
        <v>1200</v>
      </c>
      <c r="E139" s="195">
        <f t="shared" si="20"/>
        <v>240</v>
      </c>
      <c r="F139" s="201">
        <f t="shared" si="25"/>
        <v>2850.7920000000004</v>
      </c>
      <c r="G139" s="202">
        <f t="shared" si="21"/>
        <v>42972</v>
      </c>
      <c r="H139" s="203">
        <f t="shared" si="22"/>
        <v>3581.4427249775035</v>
      </c>
      <c r="I139" s="203">
        <f t="shared" si="23"/>
        <v>79587.616110611198</v>
      </c>
    </row>
    <row r="140" spans="1:9">
      <c r="A140" s="201">
        <f t="shared" si="26"/>
        <v>86911.666483190187</v>
      </c>
      <c r="B140" s="194">
        <f t="shared" si="24"/>
        <v>25.97</v>
      </c>
      <c r="C140" s="194">
        <v>5</v>
      </c>
      <c r="D140" s="195">
        <v>1200</v>
      </c>
      <c r="E140" s="195">
        <f t="shared" si="20"/>
        <v>240</v>
      </c>
      <c r="F140" s="201">
        <f t="shared" si="25"/>
        <v>2979.2783999999997</v>
      </c>
      <c r="G140" s="202">
        <f t="shared" si="21"/>
        <v>42979</v>
      </c>
      <c r="H140" s="203">
        <f t="shared" si="22"/>
        <v>3742.607647601486</v>
      </c>
      <c r="I140" s="203">
        <f t="shared" si="23"/>
        <v>83169.058835588701</v>
      </c>
    </row>
    <row r="141" spans="1:9">
      <c r="A141" s="201">
        <f t="shared" si="26"/>
        <v>90822.691474933745</v>
      </c>
      <c r="B141" s="194">
        <f t="shared" si="24"/>
        <v>27.14</v>
      </c>
      <c r="C141" s="194">
        <v>5</v>
      </c>
      <c r="D141" s="195">
        <v>1200</v>
      </c>
      <c r="E141" s="195">
        <f t="shared" si="20"/>
        <v>240</v>
      </c>
      <c r="F141" s="201">
        <f t="shared" si="25"/>
        <v>3113.5008000000003</v>
      </c>
      <c r="G141" s="202">
        <f t="shared" si="21"/>
        <v>42986</v>
      </c>
      <c r="H141" s="203">
        <f t="shared" si="22"/>
        <v>3911.0249917435576</v>
      </c>
      <c r="I141" s="203">
        <f t="shared" si="23"/>
        <v>86911.666483190187</v>
      </c>
    </row>
    <row r="142" spans="1:9">
      <c r="A142" s="201">
        <f t="shared" si="26"/>
        <v>94909.712591305753</v>
      </c>
      <c r="B142" s="194">
        <f t="shared" si="24"/>
        <v>28.36</v>
      </c>
      <c r="C142" s="194">
        <v>5</v>
      </c>
      <c r="D142" s="195">
        <v>1200</v>
      </c>
      <c r="E142" s="195">
        <f t="shared" si="20"/>
        <v>240</v>
      </c>
      <c r="F142" s="201">
        <f t="shared" si="25"/>
        <v>3253.4592000000002</v>
      </c>
      <c r="G142" s="202">
        <f t="shared" si="21"/>
        <v>42993</v>
      </c>
      <c r="H142" s="203">
        <f t="shared" si="22"/>
        <v>4087.0211163720087</v>
      </c>
      <c r="I142" s="203">
        <f t="shared" si="23"/>
        <v>90822.691474933745</v>
      </c>
    </row>
    <row r="143" spans="1:9">
      <c r="A143" s="201">
        <f t="shared" si="26"/>
        <v>99180.649657914502</v>
      </c>
      <c r="B143" s="194">
        <f t="shared" si="24"/>
        <v>29.64</v>
      </c>
      <c r="C143" s="194">
        <v>5</v>
      </c>
      <c r="D143" s="195">
        <v>1200</v>
      </c>
      <c r="E143" s="195">
        <f t="shared" si="20"/>
        <v>240</v>
      </c>
      <c r="F143" s="201">
        <f t="shared" si="25"/>
        <v>3400.3008</v>
      </c>
      <c r="G143" s="202">
        <f t="shared" si="21"/>
        <v>43000</v>
      </c>
      <c r="H143" s="203">
        <f t="shared" si="22"/>
        <v>4270.9370666087489</v>
      </c>
      <c r="I143" s="203">
        <f t="shared" si="23"/>
        <v>94909.712591305753</v>
      </c>
    </row>
    <row r="144" spans="1:9">
      <c r="A144" s="201">
        <f t="shared" si="26"/>
        <v>103643.77889252066</v>
      </c>
      <c r="B144" s="194">
        <f t="shared" si="24"/>
        <v>30.97</v>
      </c>
      <c r="C144" s="194">
        <v>5</v>
      </c>
      <c r="D144" s="195">
        <v>1200</v>
      </c>
      <c r="E144" s="195">
        <f t="shared" si="20"/>
        <v>240</v>
      </c>
      <c r="F144" s="201">
        <f t="shared" si="25"/>
        <v>3552.8784000000001</v>
      </c>
      <c r="G144" s="202">
        <f t="shared" si="21"/>
        <v>43007</v>
      </c>
      <c r="H144" s="203">
        <f t="shared" si="22"/>
        <v>4463.1292346061527</v>
      </c>
      <c r="I144" s="203">
        <f t="shared" si="23"/>
        <v>99180.649657914502</v>
      </c>
    </row>
    <row r="145" spans="1:9">
      <c r="A145" s="201">
        <f t="shared" si="26"/>
        <v>108307.74894268408</v>
      </c>
      <c r="B145" s="194">
        <f t="shared" si="24"/>
        <v>32.36</v>
      </c>
      <c r="C145" s="194">
        <v>5</v>
      </c>
      <c r="D145" s="195">
        <v>1200</v>
      </c>
      <c r="E145" s="195">
        <f t="shared" si="20"/>
        <v>240</v>
      </c>
      <c r="F145" s="201">
        <f t="shared" si="25"/>
        <v>3712.3392000000003</v>
      </c>
      <c r="G145" s="202">
        <f t="shared" si="21"/>
        <v>43014</v>
      </c>
      <c r="H145" s="203">
        <f t="shared" si="22"/>
        <v>4663.9700501634215</v>
      </c>
      <c r="I145" s="203">
        <f t="shared" si="23"/>
        <v>103643.77889252066</v>
      </c>
    </row>
    <row r="146" spans="1:9">
      <c r="A146" s="201">
        <f t="shared" si="26"/>
        <v>113181.59764510485</v>
      </c>
      <c r="B146" s="194">
        <f t="shared" si="24"/>
        <v>33.82</v>
      </c>
      <c r="C146" s="194">
        <v>5</v>
      </c>
      <c r="D146" s="195">
        <v>1200</v>
      </c>
      <c r="E146" s="195">
        <f t="shared" si="20"/>
        <v>240</v>
      </c>
      <c r="F146" s="201">
        <f t="shared" si="25"/>
        <v>3879.8304000000003</v>
      </c>
      <c r="G146" s="202">
        <f t="shared" si="21"/>
        <v>43021</v>
      </c>
      <c r="H146" s="203">
        <f t="shared" si="22"/>
        <v>4873.8487024207716</v>
      </c>
      <c r="I146" s="203">
        <f t="shared" si="23"/>
        <v>108307.74894268408</v>
      </c>
    </row>
    <row r="147" spans="1:9">
      <c r="A147" s="201">
        <f t="shared" si="26"/>
        <v>118274.76953913456</v>
      </c>
      <c r="B147" s="194">
        <f t="shared" si="24"/>
        <v>35.340000000000003</v>
      </c>
      <c r="C147" s="194">
        <v>5</v>
      </c>
      <c r="D147" s="195">
        <v>1200</v>
      </c>
      <c r="E147" s="195">
        <f t="shared" si="20"/>
        <v>240</v>
      </c>
      <c r="F147" s="201">
        <f t="shared" si="25"/>
        <v>4054.2048000000009</v>
      </c>
      <c r="G147" s="202">
        <f t="shared" si="21"/>
        <v>43028</v>
      </c>
      <c r="H147" s="203">
        <f t="shared" si="22"/>
        <v>5093.1718940297142</v>
      </c>
      <c r="I147" s="203">
        <f t="shared" si="23"/>
        <v>113181.59764510485</v>
      </c>
    </row>
    <row r="148" spans="1:9">
      <c r="A148" s="201">
        <f t="shared" si="26"/>
        <v>123597.13416839561</v>
      </c>
      <c r="B148" s="194">
        <f t="shared" si="24"/>
        <v>36.93</v>
      </c>
      <c r="C148" s="194">
        <v>5</v>
      </c>
      <c r="D148" s="195">
        <v>1200</v>
      </c>
      <c r="E148" s="195">
        <f t="shared" si="20"/>
        <v>240</v>
      </c>
      <c r="F148" s="201">
        <f t="shared" si="25"/>
        <v>4236.6096000000007</v>
      </c>
      <c r="G148" s="202">
        <f t="shared" si="21"/>
        <v>43035</v>
      </c>
      <c r="H148" s="203">
        <f t="shared" si="22"/>
        <v>5322.3646292610501</v>
      </c>
      <c r="I148" s="203">
        <f t="shared" si="23"/>
        <v>118274.76953913456</v>
      </c>
    </row>
    <row r="149" spans="1:9">
      <c r="A149" s="201">
        <f t="shared" si="26"/>
        <v>129159.0052059734</v>
      </c>
      <c r="B149" s="194">
        <f t="shared" si="24"/>
        <v>38.6</v>
      </c>
      <c r="C149" s="194">
        <v>5</v>
      </c>
      <c r="D149" s="195">
        <v>1200</v>
      </c>
      <c r="E149" s="195">
        <f t="shared" si="20"/>
        <v>240</v>
      </c>
      <c r="F149" s="201">
        <f t="shared" si="25"/>
        <v>4428.1920000000009</v>
      </c>
      <c r="G149" s="202">
        <f t="shared" si="21"/>
        <v>43042</v>
      </c>
      <c r="H149" s="203">
        <f t="shared" si="22"/>
        <v>5561.8710375777882</v>
      </c>
      <c r="I149" s="203">
        <f t="shared" si="23"/>
        <v>123597.13416839561</v>
      </c>
    </row>
    <row r="150" spans="1:9">
      <c r="A150" s="201">
        <f t="shared" si="26"/>
        <v>134971.16044024221</v>
      </c>
      <c r="B150" s="194">
        <f t="shared" si="24"/>
        <v>40.33</v>
      </c>
      <c r="C150" s="194">
        <v>5</v>
      </c>
      <c r="D150" s="195">
        <v>1200</v>
      </c>
      <c r="E150" s="195">
        <f t="shared" si="20"/>
        <v>240</v>
      </c>
      <c r="F150" s="201">
        <f t="shared" si="25"/>
        <v>4626.6576000000005</v>
      </c>
      <c r="G150" s="202">
        <f t="shared" si="21"/>
        <v>43049</v>
      </c>
      <c r="H150" s="203">
        <f t="shared" si="22"/>
        <v>5812.1552342688083</v>
      </c>
      <c r="I150" s="203">
        <f t="shared" si="23"/>
        <v>129159.0052059734</v>
      </c>
    </row>
    <row r="151" spans="1:9">
      <c r="A151" s="201">
        <f t="shared" si="26"/>
        <v>141044.8626600531</v>
      </c>
      <c r="B151" s="194">
        <f t="shared" si="24"/>
        <v>42.15</v>
      </c>
      <c r="C151" s="194">
        <v>5</v>
      </c>
      <c r="D151" s="195">
        <v>1200</v>
      </c>
      <c r="E151" s="195">
        <f t="shared" ref="E151:E155" si="27">D151/C151</f>
        <v>240</v>
      </c>
      <c r="F151" s="201">
        <f t="shared" si="25"/>
        <v>4835.4480000000003</v>
      </c>
      <c r="G151" s="202">
        <f t="shared" ref="G151:G155" si="28">DATE(YEAR(G150),MONTH(G150),DAY(G150)+2+C151)</f>
        <v>43056</v>
      </c>
      <c r="H151" s="203">
        <f t="shared" ref="H151:H155" si="29">A151-A150</f>
        <v>6073.7022198108898</v>
      </c>
      <c r="I151" s="203">
        <f t="shared" ref="I151:I155" si="30">A151-H151</f>
        <v>134971.16044024221</v>
      </c>
    </row>
    <row r="152" spans="1:9">
      <c r="A152" s="201">
        <f t="shared" si="26"/>
        <v>147391.88147975548</v>
      </c>
      <c r="B152" s="194">
        <f t="shared" si="24"/>
        <v>44.05</v>
      </c>
      <c r="C152" s="194">
        <v>5</v>
      </c>
      <c r="D152" s="195">
        <v>1200</v>
      </c>
      <c r="E152" s="195">
        <f t="shared" si="27"/>
        <v>240</v>
      </c>
      <c r="F152" s="201">
        <f t="shared" si="25"/>
        <v>5053.4160000000011</v>
      </c>
      <c r="G152" s="202">
        <f t="shared" si="28"/>
        <v>43063</v>
      </c>
      <c r="H152" s="203">
        <f t="shared" si="29"/>
        <v>6347.0188197023817</v>
      </c>
      <c r="I152" s="203">
        <f t="shared" si="30"/>
        <v>141044.8626600531</v>
      </c>
    </row>
    <row r="153" spans="1:9">
      <c r="A153" s="201">
        <f t="shared" si="26"/>
        <v>154024.51614634445</v>
      </c>
      <c r="B153" s="194">
        <f t="shared" si="24"/>
        <v>46.03</v>
      </c>
      <c r="C153" s="194">
        <v>5</v>
      </c>
      <c r="D153" s="195">
        <v>1200</v>
      </c>
      <c r="E153" s="195">
        <f t="shared" si="27"/>
        <v>240</v>
      </c>
      <c r="F153" s="201">
        <f t="shared" si="25"/>
        <v>5280.5616000000009</v>
      </c>
      <c r="G153" s="202">
        <f t="shared" si="28"/>
        <v>43070</v>
      </c>
      <c r="H153" s="203">
        <f t="shared" si="29"/>
        <v>6632.6346665889723</v>
      </c>
      <c r="I153" s="203">
        <f t="shared" si="30"/>
        <v>147391.88147975548</v>
      </c>
    </row>
    <row r="154" spans="1:9">
      <c r="A154" s="201">
        <f t="shared" si="26"/>
        <v>160955.61937292994</v>
      </c>
      <c r="B154" s="194">
        <f t="shared" si="24"/>
        <v>48.1</v>
      </c>
      <c r="C154" s="194">
        <v>5</v>
      </c>
      <c r="D154" s="195">
        <v>1200</v>
      </c>
      <c r="E154" s="195">
        <f t="shared" si="27"/>
        <v>240</v>
      </c>
      <c r="F154" s="201">
        <f t="shared" si="25"/>
        <v>5518.0320000000002</v>
      </c>
      <c r="G154" s="202">
        <f t="shared" si="28"/>
        <v>43077</v>
      </c>
      <c r="H154" s="203">
        <f t="shared" si="29"/>
        <v>6931.1032265854883</v>
      </c>
      <c r="I154" s="203">
        <f t="shared" si="30"/>
        <v>154024.51614634445</v>
      </c>
    </row>
    <row r="155" spans="1:9">
      <c r="A155" s="201">
        <f t="shared" si="26"/>
        <v>168198.62224471179</v>
      </c>
      <c r="B155" s="194">
        <f t="shared" si="24"/>
        <v>50.26</v>
      </c>
      <c r="C155" s="194">
        <v>5</v>
      </c>
      <c r="D155" s="195">
        <v>1200</v>
      </c>
      <c r="E155" s="195">
        <f t="shared" si="27"/>
        <v>240</v>
      </c>
      <c r="F155" s="201">
        <f t="shared" si="25"/>
        <v>5765.8272000000006</v>
      </c>
      <c r="G155" s="202">
        <f t="shared" si="28"/>
        <v>43084</v>
      </c>
      <c r="H155" s="203">
        <f t="shared" si="29"/>
        <v>7243.0028717818495</v>
      </c>
      <c r="I155" s="203">
        <f t="shared" si="30"/>
        <v>160955.61937292994</v>
      </c>
    </row>
    <row r="156" spans="1:9">
      <c r="A156" s="201"/>
      <c r="B156" s="194"/>
      <c r="C156" s="194"/>
      <c r="D156" s="195"/>
      <c r="E156" s="195"/>
      <c r="F156" s="201"/>
      <c r="G156" s="202"/>
      <c r="H156" s="203"/>
      <c r="I156" s="203"/>
    </row>
    <row r="157" spans="1:9">
      <c r="A157" s="201"/>
      <c r="B157" s="194"/>
      <c r="C157" s="194"/>
      <c r="D157" s="195"/>
      <c r="E157" s="195"/>
      <c r="F157" s="201"/>
      <c r="G157" s="202"/>
      <c r="H157" s="203"/>
      <c r="I157" s="203"/>
    </row>
    <row r="158" spans="1:9">
      <c r="A158" s="201"/>
      <c r="B158" s="194"/>
      <c r="C158" s="194"/>
      <c r="D158" s="195"/>
      <c r="E158" s="195"/>
      <c r="F158" s="201"/>
      <c r="G158" s="202"/>
      <c r="H158" s="203"/>
      <c r="I158" s="203"/>
    </row>
    <row r="159" spans="1:9">
      <c r="A159" s="201"/>
      <c r="B159" s="194"/>
      <c r="C159" s="194"/>
      <c r="D159" s="195"/>
      <c r="E159" s="195"/>
      <c r="F159" s="201"/>
      <c r="G159" s="202"/>
      <c r="H159" s="203"/>
      <c r="I159" s="203"/>
    </row>
    <row r="160" spans="1:9">
      <c r="A160" s="201"/>
      <c r="B160" s="194"/>
      <c r="C160" s="194"/>
      <c r="D160" s="195"/>
      <c r="E160" s="195"/>
      <c r="F160" s="201"/>
      <c r="G160" s="202"/>
      <c r="H160" s="203"/>
      <c r="I160" s="203"/>
    </row>
    <row r="161" spans="1:9">
      <c r="A161" s="201"/>
      <c r="B161" s="194"/>
      <c r="C161" s="194"/>
      <c r="D161" s="195"/>
      <c r="E161" s="195"/>
      <c r="F161" s="201"/>
      <c r="G161" s="202"/>
      <c r="H161" s="203"/>
      <c r="I161" s="203"/>
    </row>
    <row r="162" spans="1:9">
      <c r="A162" s="201"/>
      <c r="B162" s="194"/>
      <c r="C162" s="194"/>
      <c r="D162" s="195"/>
      <c r="E162" s="195"/>
      <c r="F162" s="201"/>
      <c r="G162" s="202"/>
      <c r="H162" s="203"/>
      <c r="I162" s="203"/>
    </row>
    <row r="163" spans="1:9">
      <c r="A163" s="196"/>
      <c r="B163" s="194"/>
      <c r="C163" s="194"/>
      <c r="D163" s="195"/>
      <c r="E163" s="195"/>
      <c r="F163" s="196"/>
      <c r="G163" s="197"/>
      <c r="H163" s="198"/>
      <c r="I163" s="198"/>
    </row>
    <row r="164" spans="1:9">
      <c r="A164" s="196"/>
      <c r="B164" s="194"/>
      <c r="C164" s="194"/>
      <c r="D164" s="195"/>
      <c r="E164" s="195"/>
      <c r="F164" s="196"/>
      <c r="G164" s="197"/>
      <c r="H164" s="198"/>
      <c r="I164" s="198"/>
    </row>
    <row r="165" spans="1:9">
      <c r="A165" s="196"/>
      <c r="B165" s="194"/>
      <c r="C165" s="194"/>
      <c r="D165" s="195"/>
      <c r="E165" s="195"/>
      <c r="F165" s="196"/>
      <c r="G165" s="197"/>
      <c r="H165" s="198"/>
      <c r="I165" s="198"/>
    </row>
    <row r="166" spans="1:9">
      <c r="A166" s="196"/>
      <c r="B166" s="194"/>
      <c r="C166" s="194"/>
      <c r="D166" s="195"/>
      <c r="E166" s="195"/>
      <c r="F166" s="196"/>
      <c r="G166" s="197"/>
      <c r="H166" s="198"/>
      <c r="I166" s="198"/>
    </row>
    <row r="167" spans="1:9">
      <c r="A167" s="196"/>
      <c r="B167" s="194"/>
      <c r="C167" s="194"/>
      <c r="D167" s="195"/>
      <c r="E167" s="195"/>
      <c r="F167" s="196"/>
      <c r="G167" s="197"/>
      <c r="H167" s="198"/>
      <c r="I167" s="198"/>
    </row>
    <row r="168" spans="1:9">
      <c r="A168" s="196"/>
      <c r="B168" s="194"/>
      <c r="C168" s="194"/>
      <c r="D168" s="195"/>
      <c r="E168" s="195"/>
      <c r="F168" s="196"/>
      <c r="G168" s="197"/>
      <c r="H168" s="198"/>
      <c r="I168" s="198"/>
    </row>
    <row r="169" spans="1:9">
      <c r="A169" s="196"/>
      <c r="B169" s="194"/>
      <c r="C169" s="194"/>
      <c r="D169" s="195"/>
      <c r="E169" s="195"/>
      <c r="F169" s="196"/>
      <c r="G169" s="197"/>
      <c r="H169" s="198"/>
      <c r="I169" s="198"/>
    </row>
    <row r="170" spans="1:9">
      <c r="A170" s="196"/>
      <c r="B170" s="194"/>
      <c r="C170" s="194"/>
      <c r="D170" s="195"/>
      <c r="E170" s="195"/>
      <c r="F170" s="196"/>
      <c r="G170" s="197"/>
      <c r="H170" s="198"/>
      <c r="I170" s="198"/>
    </row>
    <row r="171" spans="1:9">
      <c r="A171" s="196"/>
      <c r="B171" s="194"/>
      <c r="C171" s="194"/>
      <c r="D171" s="195"/>
      <c r="E171" s="195"/>
      <c r="F171" s="196"/>
      <c r="G171" s="197"/>
      <c r="H171" s="198"/>
      <c r="I171" s="198"/>
    </row>
    <row r="172" spans="1:9">
      <c r="A172" s="196"/>
      <c r="B172" s="194"/>
      <c r="C172" s="194"/>
      <c r="D172" s="195"/>
      <c r="E172" s="195"/>
      <c r="F172" s="196"/>
      <c r="G172" s="197"/>
      <c r="H172" s="198"/>
      <c r="I172" s="198"/>
    </row>
    <row r="173" spans="1:9">
      <c r="A173" s="196"/>
      <c r="B173" s="194"/>
      <c r="C173" s="194"/>
      <c r="D173" s="195"/>
      <c r="E173" s="195"/>
      <c r="F173" s="196"/>
      <c r="G173" s="197"/>
      <c r="H173" s="198"/>
      <c r="I173" s="198"/>
    </row>
    <row r="174" spans="1:9">
      <c r="A174" s="196"/>
      <c r="B174" s="194"/>
      <c r="C174" s="194"/>
      <c r="D174" s="195"/>
      <c r="E174" s="195"/>
      <c r="F174" s="196"/>
      <c r="G174" s="197"/>
      <c r="H174" s="198"/>
      <c r="I174" s="198"/>
    </row>
    <row r="175" spans="1:9">
      <c r="A175" s="196"/>
      <c r="B175" s="194"/>
      <c r="C175" s="194"/>
      <c r="D175" s="195"/>
      <c r="E175" s="195"/>
      <c r="F175" s="196"/>
      <c r="G175" s="197"/>
      <c r="H175" s="198"/>
      <c r="I175" s="198"/>
    </row>
    <row r="176" spans="1:9">
      <c r="A176" s="196"/>
      <c r="B176" s="194"/>
      <c r="C176" s="194"/>
      <c r="D176" s="195"/>
      <c r="E176" s="195"/>
      <c r="F176" s="196"/>
      <c r="G176" s="197"/>
      <c r="H176" s="198"/>
      <c r="I176" s="198"/>
    </row>
    <row r="177" spans="1:9">
      <c r="A177" s="196"/>
      <c r="B177" s="194"/>
      <c r="C177" s="194"/>
      <c r="D177" s="195"/>
      <c r="E177" s="195"/>
      <c r="F177" s="196"/>
      <c r="G177" s="197"/>
      <c r="H177" s="198"/>
      <c r="I177" s="198"/>
    </row>
    <row r="178" spans="1:9">
      <c r="A178" s="196"/>
      <c r="B178" s="194"/>
      <c r="C178" s="194"/>
      <c r="D178" s="195"/>
      <c r="E178" s="195"/>
      <c r="F178" s="196"/>
      <c r="G178" s="197"/>
      <c r="H178" s="198"/>
      <c r="I178" s="198"/>
    </row>
    <row r="179" spans="1:9">
      <c r="A179" s="196"/>
      <c r="B179" s="194"/>
      <c r="C179" s="194"/>
      <c r="D179" s="195"/>
      <c r="E179" s="195"/>
      <c r="F179" s="196"/>
      <c r="G179" s="197"/>
      <c r="H179" s="198"/>
      <c r="I179" s="198"/>
    </row>
    <row r="180" spans="1:9">
      <c r="A180" s="196"/>
      <c r="B180" s="194"/>
      <c r="C180" s="194"/>
      <c r="D180" s="195"/>
      <c r="E180" s="195"/>
      <c r="F180" s="196"/>
      <c r="G180" s="197"/>
      <c r="H180" s="198"/>
      <c r="I180" s="198"/>
    </row>
    <row r="181" spans="1:9">
      <c r="A181" s="196"/>
      <c r="B181" s="194"/>
      <c r="C181" s="194"/>
      <c r="D181" s="195"/>
      <c r="E181" s="195"/>
      <c r="F181" s="196"/>
      <c r="G181" s="197"/>
      <c r="H181" s="198"/>
      <c r="I181" s="198"/>
    </row>
    <row r="182" spans="1:9">
      <c r="A182" s="196"/>
      <c r="B182" s="194"/>
      <c r="C182" s="194"/>
      <c r="D182" s="195"/>
      <c r="E182" s="195"/>
      <c r="F182" s="196"/>
      <c r="G182" s="197"/>
      <c r="H182" s="198"/>
      <c r="I182" s="198"/>
    </row>
    <row r="183" spans="1:9">
      <c r="A183" s="196"/>
      <c r="B183" s="194"/>
      <c r="C183" s="194"/>
      <c r="D183" s="195"/>
      <c r="E183" s="195"/>
      <c r="F183" s="196"/>
      <c r="G183" s="197"/>
      <c r="H183" s="198"/>
      <c r="I183" s="198"/>
    </row>
    <row r="184" spans="1:9">
      <c r="A184" s="196"/>
      <c r="B184" s="194"/>
      <c r="C184" s="194"/>
      <c r="D184" s="195"/>
      <c r="E184" s="195"/>
      <c r="F184" s="196"/>
      <c r="G184" s="197"/>
      <c r="H184" s="198"/>
      <c r="I184" s="198"/>
    </row>
    <row r="185" spans="1:9">
      <c r="A185" s="196"/>
      <c r="B185" s="194"/>
      <c r="C185" s="194"/>
      <c r="D185" s="195"/>
      <c r="E185" s="195"/>
      <c r="F185" s="196"/>
      <c r="G185" s="197"/>
      <c r="H185" s="198"/>
      <c r="I185" s="198"/>
    </row>
    <row r="186" spans="1:9">
      <c r="A186" s="196"/>
      <c r="B186" s="194"/>
      <c r="C186" s="194"/>
      <c r="D186" s="195"/>
      <c r="E186" s="195"/>
      <c r="F186" s="196"/>
      <c r="G186" s="197"/>
      <c r="H186" s="198"/>
      <c r="I186" s="198"/>
    </row>
    <row r="187" spans="1:9">
      <c r="A187" s="196"/>
      <c r="B187" s="194"/>
      <c r="C187" s="194"/>
      <c r="D187" s="195"/>
      <c r="E187" s="195"/>
      <c r="F187" s="196"/>
      <c r="G187" s="197"/>
      <c r="H187" s="198"/>
      <c r="I187" s="198"/>
    </row>
    <row r="188" spans="1:9">
      <c r="A188" s="201"/>
      <c r="B188" s="194"/>
      <c r="C188" s="194"/>
      <c r="D188" s="195"/>
      <c r="E188" s="195"/>
      <c r="F188" s="201"/>
      <c r="G188" s="202"/>
      <c r="H188" s="203"/>
      <c r="I188" s="203"/>
    </row>
    <row r="189" spans="1:9">
      <c r="A189" s="196"/>
      <c r="B189" s="194"/>
      <c r="C189" s="194"/>
      <c r="D189" s="195"/>
      <c r="E189" s="195"/>
      <c r="F189" s="196"/>
      <c r="G189" s="197"/>
      <c r="H189" s="198"/>
      <c r="I189" s="198"/>
    </row>
    <row r="190" spans="1:9">
      <c r="A190" s="196"/>
      <c r="B190" s="194"/>
      <c r="C190" s="194"/>
      <c r="D190" s="195"/>
      <c r="E190" s="195"/>
      <c r="F190" s="196"/>
      <c r="G190" s="197"/>
      <c r="H190" s="198"/>
      <c r="I190" s="198"/>
    </row>
    <row r="191" spans="1:9">
      <c r="A191" s="196"/>
      <c r="B191" s="194"/>
      <c r="C191" s="194"/>
      <c r="D191" s="195"/>
      <c r="E191" s="195"/>
      <c r="F191" s="196"/>
      <c r="G191" s="197"/>
      <c r="H191" s="198"/>
      <c r="I191" s="198"/>
    </row>
    <row r="192" spans="1:9">
      <c r="A192" s="196"/>
      <c r="B192" s="194"/>
      <c r="C192" s="194"/>
      <c r="D192" s="195"/>
      <c r="E192" s="195"/>
      <c r="F192" s="196"/>
      <c r="G192" s="197"/>
      <c r="H192" s="198"/>
      <c r="I192" s="198"/>
    </row>
    <row r="193" spans="1:9">
      <c r="A193" s="196"/>
      <c r="B193" s="194"/>
      <c r="C193" s="194"/>
      <c r="D193" s="195"/>
      <c r="E193" s="195"/>
      <c r="F193" s="196"/>
      <c r="G193" s="197"/>
      <c r="H193" s="198"/>
      <c r="I193" s="198"/>
    </row>
    <row r="194" spans="1:9">
      <c r="A194" s="196"/>
      <c r="B194" s="194"/>
      <c r="C194" s="194"/>
      <c r="D194" s="195"/>
      <c r="E194" s="195"/>
      <c r="F194" s="196"/>
      <c r="G194" s="197"/>
      <c r="H194" s="198"/>
      <c r="I194" s="198"/>
    </row>
    <row r="195" spans="1:9">
      <c r="A195" s="196"/>
      <c r="B195" s="194"/>
      <c r="C195" s="194"/>
      <c r="D195" s="195"/>
      <c r="E195" s="195"/>
      <c r="F195" s="196"/>
      <c r="G195" s="197"/>
      <c r="H195" s="198"/>
      <c r="I195" s="198"/>
    </row>
    <row r="196" spans="1:9">
      <c r="A196" s="196"/>
      <c r="B196" s="194"/>
      <c r="C196" s="194"/>
      <c r="D196" s="195"/>
      <c r="E196" s="195"/>
      <c r="F196" s="196"/>
      <c r="G196" s="197"/>
      <c r="H196" s="198"/>
      <c r="I196" s="198"/>
    </row>
    <row r="197" spans="1:9">
      <c r="A197" s="196"/>
      <c r="B197" s="194"/>
      <c r="C197" s="194"/>
      <c r="D197" s="195"/>
      <c r="E197" s="195"/>
      <c r="F197" s="196"/>
      <c r="G197" s="197"/>
      <c r="H197" s="198"/>
      <c r="I197" s="198"/>
    </row>
    <row r="198" spans="1:9">
      <c r="A198" s="196"/>
      <c r="B198" s="194"/>
      <c r="C198" s="194"/>
      <c r="D198" s="195"/>
      <c r="E198" s="195"/>
      <c r="F198" s="196"/>
      <c r="G198" s="197"/>
      <c r="H198" s="198"/>
      <c r="I198" s="198"/>
    </row>
    <row r="199" spans="1:9">
      <c r="A199" s="196"/>
      <c r="B199" s="194"/>
      <c r="C199" s="194"/>
      <c r="D199" s="195"/>
      <c r="E199" s="195"/>
      <c r="F199" s="196"/>
      <c r="G199" s="197"/>
      <c r="H199" s="198"/>
      <c r="I199" s="198"/>
    </row>
    <row r="200" spans="1:9">
      <c r="A200" s="196"/>
      <c r="B200" s="194"/>
      <c r="C200" s="194"/>
      <c r="D200" s="195"/>
      <c r="E200" s="195"/>
      <c r="F200" s="196"/>
      <c r="G200" s="197"/>
      <c r="H200" s="198"/>
      <c r="I200" s="198"/>
    </row>
    <row r="201" spans="1:9">
      <c r="A201" s="196"/>
      <c r="B201" s="194"/>
      <c r="C201" s="194"/>
      <c r="D201" s="195"/>
      <c r="E201" s="195"/>
      <c r="F201" s="196"/>
      <c r="G201" s="197"/>
      <c r="H201" s="198"/>
      <c r="I201" s="198"/>
    </row>
    <row r="202" spans="1:9">
      <c r="A202" s="196"/>
      <c r="B202" s="194"/>
      <c r="C202" s="194"/>
      <c r="D202" s="195"/>
      <c r="E202" s="195"/>
      <c r="F202" s="196"/>
      <c r="G202" s="197"/>
      <c r="H202" s="198"/>
      <c r="I202" s="198"/>
    </row>
    <row r="203" spans="1:9">
      <c r="A203" s="196"/>
      <c r="B203" s="194"/>
      <c r="C203" s="194"/>
      <c r="D203" s="195"/>
      <c r="E203" s="195"/>
      <c r="F203" s="196"/>
      <c r="G203" s="197"/>
      <c r="H203" s="198"/>
      <c r="I203" s="198"/>
    </row>
    <row r="204" spans="1:9">
      <c r="A204" s="196"/>
      <c r="B204" s="194"/>
      <c r="C204" s="194"/>
      <c r="D204" s="195"/>
      <c r="E204" s="195"/>
      <c r="F204" s="196"/>
      <c r="G204" s="197"/>
      <c r="H204" s="198"/>
      <c r="I204" s="198"/>
    </row>
    <row r="205" spans="1:9">
      <c r="A205" s="196"/>
      <c r="B205" s="194"/>
      <c r="C205" s="194"/>
      <c r="D205" s="195"/>
      <c r="E205" s="195"/>
      <c r="F205" s="196"/>
      <c r="G205" s="197"/>
      <c r="H205" s="198"/>
      <c r="I205" s="198"/>
    </row>
    <row r="206" spans="1:9">
      <c r="A206" s="196"/>
      <c r="B206" s="194"/>
      <c r="C206" s="194"/>
      <c r="D206" s="195"/>
      <c r="E206" s="195"/>
      <c r="F206" s="196"/>
      <c r="G206" s="197"/>
      <c r="H206" s="198"/>
      <c r="I206" s="198"/>
    </row>
    <row r="207" spans="1:9">
      <c r="A207" s="196"/>
      <c r="B207" s="194"/>
      <c r="C207" s="194"/>
      <c r="D207" s="195"/>
      <c r="E207" s="195"/>
      <c r="F207" s="196"/>
      <c r="G207" s="197"/>
      <c r="H207" s="198"/>
      <c r="I207" s="198"/>
    </row>
    <row r="208" spans="1:9">
      <c r="A208" s="196"/>
      <c r="B208" s="194"/>
      <c r="C208" s="194"/>
      <c r="D208" s="195"/>
      <c r="E208" s="195"/>
      <c r="F208" s="196"/>
      <c r="G208" s="197"/>
      <c r="H208" s="198"/>
      <c r="I208" s="198"/>
    </row>
    <row r="209" spans="1:9">
      <c r="A209" s="196"/>
      <c r="B209" s="194"/>
      <c r="C209" s="194"/>
      <c r="D209" s="195"/>
      <c r="E209" s="195"/>
      <c r="F209" s="196"/>
      <c r="G209" s="197"/>
      <c r="H209" s="198"/>
      <c r="I209" s="198"/>
    </row>
    <row r="210" spans="1:9">
      <c r="A210" s="196"/>
      <c r="B210" s="194"/>
      <c r="C210" s="194"/>
      <c r="D210" s="195"/>
      <c r="E210" s="195"/>
      <c r="F210" s="196"/>
      <c r="G210" s="197"/>
      <c r="H210" s="198"/>
      <c r="I210" s="198"/>
    </row>
    <row r="211" spans="1:9">
      <c r="A211" s="196"/>
      <c r="B211" s="194"/>
      <c r="C211" s="194"/>
      <c r="D211" s="195"/>
      <c r="E211" s="195"/>
      <c r="F211" s="196"/>
      <c r="G211" s="197"/>
      <c r="H211" s="198"/>
      <c r="I211" s="198"/>
    </row>
    <row r="212" spans="1:9">
      <c r="A212" s="196"/>
      <c r="B212" s="194"/>
      <c r="C212" s="194"/>
      <c r="D212" s="195"/>
      <c r="E212" s="195"/>
      <c r="F212" s="196"/>
      <c r="G212" s="197"/>
      <c r="H212" s="198"/>
      <c r="I212" s="198"/>
    </row>
    <row r="213" spans="1:9">
      <c r="A213" s="196"/>
      <c r="B213" s="194"/>
      <c r="C213" s="194"/>
      <c r="D213" s="195"/>
      <c r="E213" s="195"/>
      <c r="F213" s="196"/>
      <c r="G213" s="197"/>
      <c r="H213" s="198"/>
      <c r="I213" s="198"/>
    </row>
    <row r="214" spans="1:9">
      <c r="A214" s="196"/>
      <c r="B214" s="194"/>
      <c r="C214" s="194"/>
      <c r="D214" s="195"/>
      <c r="E214" s="195"/>
      <c r="F214" s="196"/>
      <c r="G214" s="197"/>
      <c r="H214" s="198"/>
      <c r="I214" s="198"/>
    </row>
    <row r="215" spans="1:9">
      <c r="A215" s="196"/>
      <c r="B215" s="194"/>
      <c r="C215" s="194"/>
      <c r="D215" s="195"/>
      <c r="E215" s="195"/>
      <c r="F215" s="196"/>
      <c r="G215" s="197"/>
      <c r="H215" s="198"/>
      <c r="I215" s="198"/>
    </row>
    <row r="216" spans="1:9">
      <c r="A216" s="196"/>
      <c r="B216" s="194"/>
      <c r="C216" s="194"/>
      <c r="D216" s="195"/>
      <c r="E216" s="195"/>
      <c r="F216" s="196"/>
      <c r="G216" s="197"/>
      <c r="H216" s="198"/>
      <c r="I216" s="198"/>
    </row>
    <row r="217" spans="1:9">
      <c r="A217" s="196"/>
      <c r="B217" s="194"/>
      <c r="C217" s="194"/>
      <c r="D217" s="195"/>
      <c r="E217" s="195"/>
      <c r="F217" s="196"/>
      <c r="G217" s="197"/>
      <c r="H217" s="198"/>
      <c r="I217" s="198"/>
    </row>
    <row r="218" spans="1:9">
      <c r="A218" s="196"/>
      <c r="B218" s="194"/>
      <c r="C218" s="194"/>
      <c r="D218" s="195"/>
      <c r="E218" s="195"/>
      <c r="F218" s="196"/>
      <c r="G218" s="197"/>
      <c r="H218" s="198"/>
      <c r="I218" s="198"/>
    </row>
    <row r="219" spans="1:9">
      <c r="A219" s="196"/>
      <c r="B219" s="194"/>
      <c r="C219" s="194"/>
      <c r="D219" s="195"/>
      <c r="E219" s="195"/>
      <c r="F219" s="196"/>
      <c r="G219" s="197"/>
      <c r="H219" s="198"/>
      <c r="I219" s="198"/>
    </row>
    <row r="220" spans="1:9">
      <c r="A220" s="196"/>
      <c r="B220" s="194"/>
      <c r="C220" s="194"/>
      <c r="D220" s="195"/>
      <c r="E220" s="195"/>
      <c r="F220" s="196"/>
      <c r="G220" s="197"/>
      <c r="H220" s="198"/>
      <c r="I220" s="198"/>
    </row>
    <row r="221" spans="1:9">
      <c r="A221" s="196"/>
      <c r="B221" s="194"/>
      <c r="C221" s="194"/>
      <c r="D221" s="195"/>
      <c r="E221" s="195"/>
      <c r="F221" s="196"/>
      <c r="G221" s="197"/>
      <c r="H221" s="198"/>
      <c r="I221" s="198"/>
    </row>
    <row r="222" spans="1:9">
      <c r="A222" s="196"/>
      <c r="B222" s="194"/>
      <c r="C222" s="194"/>
      <c r="D222" s="195"/>
      <c r="E222" s="195"/>
      <c r="F222" s="196"/>
      <c r="G222" s="197"/>
      <c r="H222" s="198"/>
      <c r="I222" s="198"/>
    </row>
    <row r="223" spans="1:9">
      <c r="A223" s="196"/>
      <c r="B223" s="194"/>
      <c r="C223" s="194"/>
      <c r="D223" s="195"/>
      <c r="E223" s="195"/>
      <c r="F223" s="196"/>
      <c r="G223" s="197"/>
      <c r="H223" s="198"/>
      <c r="I223" s="198"/>
    </row>
    <row r="224" spans="1:9">
      <c r="A224" s="196"/>
      <c r="B224" s="194"/>
      <c r="C224" s="194"/>
      <c r="D224" s="195"/>
      <c r="E224" s="195"/>
      <c r="F224" s="196"/>
      <c r="G224" s="197"/>
      <c r="H224" s="198"/>
      <c r="I224" s="198"/>
    </row>
    <row r="225" spans="1:9">
      <c r="A225" s="196"/>
      <c r="B225" s="194"/>
      <c r="C225" s="194"/>
      <c r="D225" s="195"/>
      <c r="E225" s="195"/>
      <c r="F225" s="196"/>
      <c r="G225" s="197"/>
      <c r="H225" s="198"/>
      <c r="I225" s="198"/>
    </row>
    <row r="226" spans="1:9">
      <c r="A226" s="196"/>
      <c r="B226" s="194"/>
      <c r="C226" s="194"/>
      <c r="D226" s="195"/>
      <c r="E226" s="195"/>
      <c r="F226" s="196"/>
      <c r="G226" s="197"/>
      <c r="H226" s="198"/>
      <c r="I226" s="198"/>
    </row>
    <row r="227" spans="1:9">
      <c r="A227" s="196"/>
      <c r="B227" s="194"/>
      <c r="C227" s="194"/>
      <c r="D227" s="195"/>
      <c r="E227" s="195"/>
      <c r="F227" s="196"/>
      <c r="G227" s="197"/>
      <c r="H227" s="198"/>
      <c r="I227" s="198"/>
    </row>
    <row r="228" spans="1:9">
      <c r="A228" s="196"/>
      <c r="B228" s="194"/>
      <c r="C228" s="194"/>
      <c r="D228" s="195"/>
      <c r="E228" s="195"/>
      <c r="F228" s="196"/>
      <c r="G228" s="197"/>
      <c r="H228" s="198"/>
      <c r="I228" s="198"/>
    </row>
    <row r="229" spans="1:9">
      <c r="A229" s="196"/>
      <c r="B229" s="194"/>
      <c r="C229" s="194"/>
      <c r="D229" s="195"/>
      <c r="E229" s="195"/>
      <c r="F229" s="196"/>
      <c r="G229" s="197"/>
      <c r="H229" s="198"/>
      <c r="I229" s="198"/>
    </row>
    <row r="230" spans="1:9">
      <c r="A230" s="196"/>
      <c r="B230" s="194"/>
      <c r="C230" s="194"/>
      <c r="D230" s="195"/>
      <c r="E230" s="195"/>
      <c r="F230" s="196"/>
      <c r="G230" s="197"/>
      <c r="H230" s="198"/>
      <c r="I230" s="198"/>
    </row>
    <row r="231" spans="1:9">
      <c r="A231" s="196"/>
      <c r="B231" s="194"/>
      <c r="C231" s="194"/>
      <c r="D231" s="195"/>
      <c r="E231" s="195"/>
      <c r="F231" s="196"/>
      <c r="G231" s="197"/>
      <c r="H231" s="198"/>
      <c r="I231" s="198"/>
    </row>
    <row r="232" spans="1:9">
      <c r="A232" s="196"/>
      <c r="B232" s="194"/>
      <c r="C232" s="194"/>
      <c r="D232" s="195"/>
      <c r="E232" s="195"/>
      <c r="F232" s="196"/>
      <c r="G232" s="197"/>
      <c r="H232" s="198"/>
      <c r="I232" s="198"/>
    </row>
    <row r="233" spans="1:9">
      <c r="A233" s="196"/>
      <c r="B233" s="194"/>
      <c r="C233" s="194"/>
      <c r="D233" s="195"/>
      <c r="E233" s="195"/>
      <c r="F233" s="196"/>
      <c r="G233" s="197"/>
      <c r="H233" s="198"/>
      <c r="I233" s="198"/>
    </row>
    <row r="234" spans="1:9">
      <c r="A234" s="196"/>
      <c r="B234" s="194"/>
      <c r="C234" s="194"/>
      <c r="D234" s="195"/>
      <c r="E234" s="195"/>
      <c r="F234" s="196"/>
      <c r="G234" s="197"/>
      <c r="H234" s="198"/>
      <c r="I234" s="198"/>
    </row>
    <row r="235" spans="1:9">
      <c r="A235" s="196"/>
      <c r="B235" s="194"/>
      <c r="C235" s="194"/>
      <c r="D235" s="195"/>
      <c r="E235" s="195"/>
      <c r="F235" s="196"/>
      <c r="G235" s="197"/>
      <c r="H235" s="198"/>
      <c r="I235" s="198"/>
    </row>
    <row r="236" spans="1:9">
      <c r="A236" s="196"/>
      <c r="B236" s="194"/>
      <c r="C236" s="194"/>
      <c r="D236" s="195"/>
      <c r="E236" s="195"/>
      <c r="F236" s="196"/>
      <c r="G236" s="197"/>
      <c r="H236" s="198"/>
      <c r="I236" s="198"/>
    </row>
    <row r="237" spans="1:9">
      <c r="A237" s="196"/>
      <c r="B237" s="194"/>
      <c r="C237" s="194"/>
      <c r="D237" s="195"/>
      <c r="E237" s="195"/>
      <c r="F237" s="196"/>
      <c r="G237" s="197"/>
      <c r="H237" s="198"/>
      <c r="I237" s="198"/>
    </row>
    <row r="238" spans="1:9">
      <c r="A238" s="196"/>
      <c r="B238" s="194"/>
      <c r="C238" s="194"/>
      <c r="D238" s="195"/>
      <c r="E238" s="195"/>
      <c r="F238" s="196"/>
      <c r="G238" s="197"/>
      <c r="H238" s="198"/>
      <c r="I238" s="198"/>
    </row>
    <row r="239" spans="1:9">
      <c r="A239" s="196"/>
      <c r="B239" s="194"/>
      <c r="C239" s="194"/>
      <c r="D239" s="195"/>
      <c r="E239" s="195"/>
      <c r="F239" s="196"/>
      <c r="G239" s="197"/>
      <c r="H239" s="198"/>
      <c r="I239" s="198"/>
    </row>
    <row r="240" spans="1:9">
      <c r="A240" s="196"/>
      <c r="B240" s="194"/>
      <c r="C240" s="194"/>
      <c r="D240" s="195"/>
      <c r="E240" s="195"/>
      <c r="F240" s="196"/>
      <c r="G240" s="197"/>
      <c r="H240" s="198"/>
      <c r="I240" s="198"/>
    </row>
    <row r="241" spans="1:9">
      <c r="A241" s="196"/>
      <c r="B241" s="194"/>
      <c r="C241" s="194"/>
      <c r="D241" s="195"/>
      <c r="E241" s="195"/>
      <c r="F241" s="196"/>
      <c r="G241" s="197"/>
      <c r="H241" s="198"/>
      <c r="I241" s="198"/>
    </row>
    <row r="242" spans="1:9">
      <c r="A242" s="196"/>
      <c r="B242" s="194"/>
      <c r="C242" s="194"/>
      <c r="D242" s="195"/>
      <c r="E242" s="195"/>
      <c r="F242" s="196"/>
      <c r="G242" s="197"/>
      <c r="H242" s="198"/>
      <c r="I242" s="198"/>
    </row>
    <row r="243" spans="1:9">
      <c r="A243" s="196"/>
      <c r="B243" s="194"/>
      <c r="C243" s="194"/>
      <c r="D243" s="195"/>
      <c r="E243" s="195"/>
      <c r="F243" s="196"/>
      <c r="G243" s="197"/>
      <c r="H243" s="198"/>
      <c r="I243" s="198"/>
    </row>
    <row r="244" spans="1:9">
      <c r="A244" s="201"/>
      <c r="B244" s="194"/>
      <c r="C244" s="194"/>
      <c r="D244" s="195"/>
      <c r="E244" s="195"/>
      <c r="F244" s="201"/>
      <c r="G244" s="202"/>
      <c r="H244" s="203"/>
      <c r="I244" s="203"/>
    </row>
    <row r="245" spans="1:9">
      <c r="A245" s="196"/>
      <c r="B245" s="194"/>
      <c r="C245" s="194"/>
      <c r="D245" s="195"/>
      <c r="E245" s="195"/>
      <c r="F245" s="196"/>
      <c r="G245" s="197"/>
      <c r="H245" s="198"/>
      <c r="I245" s="198"/>
    </row>
    <row r="246" spans="1:9">
      <c r="A246" s="196"/>
      <c r="B246" s="194"/>
      <c r="C246" s="194"/>
      <c r="D246" s="195"/>
      <c r="E246" s="195"/>
      <c r="F246" s="196"/>
      <c r="G246" s="197"/>
      <c r="H246" s="198"/>
      <c r="I246" s="198"/>
    </row>
    <row r="247" spans="1:9">
      <c r="A247" s="196"/>
      <c r="B247" s="194"/>
      <c r="C247" s="194"/>
      <c r="D247" s="195"/>
      <c r="E247" s="195"/>
      <c r="F247" s="196"/>
      <c r="G247" s="197"/>
      <c r="H247" s="198"/>
      <c r="I247" s="198"/>
    </row>
    <row r="248" spans="1:9">
      <c r="A248" s="196"/>
      <c r="B248" s="194"/>
      <c r="C248" s="194"/>
      <c r="D248" s="195"/>
      <c r="E248" s="195"/>
      <c r="F248" s="196"/>
      <c r="G248" s="197"/>
      <c r="H248" s="198"/>
      <c r="I248" s="198"/>
    </row>
    <row r="249" spans="1:9">
      <c r="A249" s="196"/>
      <c r="B249" s="194"/>
      <c r="C249" s="194"/>
      <c r="D249" s="195"/>
      <c r="E249" s="195"/>
      <c r="F249" s="196"/>
      <c r="G249" s="197"/>
      <c r="H249" s="198"/>
      <c r="I249" s="198"/>
    </row>
    <row r="250" spans="1:9">
      <c r="A250" s="196"/>
      <c r="B250" s="194"/>
      <c r="C250" s="194"/>
      <c r="D250" s="195"/>
      <c r="E250" s="195"/>
      <c r="F250" s="196"/>
      <c r="G250" s="197"/>
      <c r="H250" s="198"/>
      <c r="I250" s="198"/>
    </row>
    <row r="251" spans="1:9">
      <c r="A251" s="196"/>
      <c r="B251" s="194"/>
      <c r="C251" s="194"/>
      <c r="D251" s="195"/>
      <c r="E251" s="195"/>
      <c r="F251" s="196"/>
      <c r="G251" s="197"/>
      <c r="H251" s="198"/>
      <c r="I251" s="198"/>
    </row>
    <row r="252" spans="1:9">
      <c r="A252" s="196"/>
      <c r="B252" s="194"/>
      <c r="C252" s="194"/>
      <c r="D252" s="195"/>
      <c r="E252" s="195"/>
      <c r="F252" s="196"/>
      <c r="G252" s="197"/>
      <c r="H252" s="198"/>
      <c r="I252" s="198"/>
    </row>
    <row r="253" spans="1:9">
      <c r="A253" s="196"/>
      <c r="B253" s="194"/>
      <c r="C253" s="194"/>
      <c r="D253" s="195"/>
      <c r="E253" s="195"/>
      <c r="F253" s="196"/>
      <c r="G253" s="197"/>
      <c r="H253" s="198"/>
      <c r="I253" s="198"/>
    </row>
    <row r="254" spans="1:9">
      <c r="A254" s="196"/>
      <c r="B254" s="194"/>
      <c r="C254" s="194"/>
      <c r="D254" s="195"/>
      <c r="E254" s="195"/>
      <c r="F254" s="196"/>
      <c r="G254" s="197"/>
      <c r="H254" s="198"/>
      <c r="I254" s="198"/>
    </row>
    <row r="255" spans="1:9">
      <c r="A255" s="196"/>
      <c r="B255" s="194"/>
      <c r="C255" s="194"/>
      <c r="D255" s="195"/>
      <c r="E255" s="195"/>
      <c r="F255" s="196"/>
      <c r="G255" s="197"/>
      <c r="H255" s="198"/>
      <c r="I255" s="198"/>
    </row>
    <row r="256" spans="1:9">
      <c r="A256" s="196"/>
      <c r="B256" s="194"/>
      <c r="C256" s="194"/>
      <c r="D256" s="195"/>
      <c r="E256" s="195"/>
      <c r="F256" s="196"/>
      <c r="G256" s="197"/>
      <c r="H256" s="198"/>
      <c r="I256" s="198"/>
    </row>
    <row r="257" spans="1:9">
      <c r="A257" s="196"/>
      <c r="B257" s="194"/>
      <c r="C257" s="194"/>
      <c r="D257" s="195"/>
      <c r="E257" s="195"/>
      <c r="F257" s="196"/>
      <c r="G257" s="197"/>
      <c r="H257" s="198"/>
      <c r="I257" s="198"/>
    </row>
    <row r="258" spans="1:9">
      <c r="A258" s="196"/>
      <c r="B258" s="194"/>
      <c r="C258" s="194"/>
      <c r="D258" s="195"/>
      <c r="E258" s="195"/>
      <c r="F258" s="196"/>
      <c r="G258" s="197"/>
      <c r="H258" s="198"/>
      <c r="I258" s="198"/>
    </row>
    <row r="259" spans="1:9">
      <c r="A259" s="196"/>
      <c r="B259" s="194"/>
      <c r="C259" s="194"/>
      <c r="D259" s="195"/>
      <c r="E259" s="195"/>
      <c r="F259" s="196"/>
      <c r="G259" s="197"/>
      <c r="H259" s="198"/>
      <c r="I259" s="198"/>
    </row>
    <row r="260" spans="1:9">
      <c r="A260" s="196"/>
      <c r="B260" s="194"/>
      <c r="C260" s="194"/>
      <c r="D260" s="195"/>
      <c r="E260" s="195"/>
      <c r="F260" s="196"/>
      <c r="G260" s="197"/>
      <c r="H260" s="198"/>
      <c r="I260" s="198"/>
    </row>
    <row r="261" spans="1:9">
      <c r="A261" s="196"/>
      <c r="B261" s="194"/>
      <c r="C261" s="194"/>
      <c r="D261" s="195"/>
      <c r="E261" s="195"/>
      <c r="F261" s="196"/>
      <c r="G261" s="197"/>
      <c r="H261" s="198"/>
      <c r="I261" s="198"/>
    </row>
    <row r="262" spans="1:9">
      <c r="A262" s="196"/>
      <c r="B262" s="194"/>
      <c r="C262" s="194"/>
      <c r="D262" s="195"/>
      <c r="E262" s="195"/>
      <c r="F262" s="196"/>
      <c r="G262" s="197"/>
      <c r="H262" s="198"/>
      <c r="I262" s="198"/>
    </row>
    <row r="263" spans="1:9">
      <c r="A263" s="196"/>
      <c r="B263" s="194"/>
      <c r="C263" s="194"/>
      <c r="D263" s="195"/>
      <c r="E263" s="195"/>
      <c r="F263" s="196"/>
      <c r="G263" s="197"/>
      <c r="H263" s="198"/>
      <c r="I263" s="198"/>
    </row>
    <row r="264" spans="1:9">
      <c r="A264" s="196"/>
      <c r="B264" s="194"/>
      <c r="C264" s="194"/>
      <c r="D264" s="195"/>
      <c r="E264" s="195"/>
      <c r="F264" s="196"/>
      <c r="G264" s="197"/>
      <c r="H264" s="198"/>
      <c r="I264" s="198"/>
    </row>
    <row r="265" spans="1:9">
      <c r="A265" s="196"/>
      <c r="B265" s="194"/>
      <c r="C265" s="194"/>
      <c r="D265" s="195"/>
      <c r="E265" s="195"/>
      <c r="F265" s="196"/>
      <c r="G265" s="197"/>
      <c r="H265" s="198"/>
      <c r="I265" s="198"/>
    </row>
    <row r="266" spans="1:9">
      <c r="A266" s="196"/>
      <c r="B266" s="194"/>
      <c r="C266" s="194"/>
      <c r="D266" s="195"/>
      <c r="E266" s="195"/>
      <c r="F266" s="196"/>
      <c r="G266" s="197"/>
      <c r="H266" s="198"/>
      <c r="I266" s="198"/>
    </row>
    <row r="267" spans="1:9">
      <c r="A267" s="196"/>
      <c r="B267" s="194"/>
      <c r="C267" s="194"/>
      <c r="D267" s="195"/>
      <c r="E267" s="195"/>
      <c r="F267" s="196"/>
      <c r="G267" s="197"/>
      <c r="H267" s="198"/>
      <c r="I267" s="198"/>
    </row>
    <row r="268" spans="1:9">
      <c r="A268" s="196"/>
      <c r="B268" s="194"/>
      <c r="C268" s="194"/>
      <c r="D268" s="195"/>
      <c r="E268" s="195"/>
      <c r="F268" s="196"/>
      <c r="G268" s="197"/>
      <c r="H268" s="198"/>
      <c r="I268" s="198"/>
    </row>
    <row r="269" spans="1:9">
      <c r="A269" s="196"/>
      <c r="B269" s="194"/>
      <c r="C269" s="194"/>
      <c r="D269" s="195"/>
      <c r="E269" s="195"/>
      <c r="F269" s="196"/>
      <c r="G269" s="197"/>
      <c r="H269" s="198"/>
      <c r="I269" s="198"/>
    </row>
    <row r="270" spans="1:9">
      <c r="A270" s="196"/>
      <c r="B270" s="194"/>
      <c r="C270" s="194"/>
      <c r="D270" s="195"/>
      <c r="E270" s="195"/>
      <c r="F270" s="196"/>
      <c r="G270" s="197"/>
      <c r="H270" s="198"/>
      <c r="I270" s="198"/>
    </row>
    <row r="271" spans="1:9">
      <c r="A271" s="196"/>
      <c r="B271" s="194"/>
      <c r="C271" s="194"/>
      <c r="D271" s="195"/>
      <c r="E271" s="195"/>
      <c r="F271" s="196"/>
      <c r="G271" s="197"/>
      <c r="H271" s="198"/>
      <c r="I271" s="198"/>
    </row>
    <row r="272" spans="1:9">
      <c r="A272" s="196"/>
      <c r="B272" s="194"/>
      <c r="C272" s="194"/>
      <c r="D272" s="195"/>
      <c r="E272" s="195"/>
      <c r="F272" s="196"/>
      <c r="G272" s="197"/>
      <c r="H272" s="198"/>
      <c r="I272" s="198"/>
    </row>
    <row r="273" spans="1:9">
      <c r="A273" s="196"/>
      <c r="B273" s="194"/>
      <c r="C273" s="194"/>
      <c r="D273" s="195"/>
      <c r="E273" s="195"/>
      <c r="F273" s="196"/>
      <c r="G273" s="197"/>
      <c r="H273" s="198"/>
      <c r="I273" s="198"/>
    </row>
    <row r="274" spans="1:9">
      <c r="A274" s="196"/>
      <c r="B274" s="194"/>
      <c r="C274" s="194"/>
      <c r="D274" s="195"/>
      <c r="E274" s="195"/>
      <c r="F274" s="196"/>
      <c r="G274" s="197"/>
      <c r="H274" s="198"/>
      <c r="I274" s="198"/>
    </row>
    <row r="275" spans="1:9">
      <c r="A275" s="196"/>
      <c r="B275" s="194"/>
      <c r="C275" s="194"/>
      <c r="D275" s="195"/>
      <c r="E275" s="195"/>
      <c r="F275" s="196"/>
      <c r="G275" s="197"/>
      <c r="H275" s="198"/>
      <c r="I275" s="198"/>
    </row>
    <row r="276" spans="1:9">
      <c r="A276" s="196"/>
      <c r="B276" s="194"/>
      <c r="C276" s="194"/>
      <c r="D276" s="195"/>
      <c r="E276" s="195"/>
      <c r="F276" s="196"/>
      <c r="G276" s="197"/>
      <c r="H276" s="198"/>
      <c r="I276" s="198"/>
    </row>
    <row r="277" spans="1:9">
      <c r="A277" s="196"/>
      <c r="B277" s="194"/>
      <c r="C277" s="194"/>
      <c r="D277" s="195"/>
      <c r="E277" s="195"/>
      <c r="F277" s="196"/>
      <c r="G277" s="197"/>
      <c r="H277" s="198"/>
      <c r="I277" s="198"/>
    </row>
    <row r="278" spans="1:9">
      <c r="A278" s="196"/>
      <c r="B278" s="194"/>
      <c r="C278" s="194"/>
      <c r="D278" s="195"/>
      <c r="E278" s="195"/>
      <c r="F278" s="196"/>
      <c r="G278" s="197"/>
      <c r="H278" s="198"/>
      <c r="I278" s="198"/>
    </row>
    <row r="279" spans="1:9">
      <c r="A279" s="196"/>
      <c r="B279" s="194"/>
      <c r="C279" s="194"/>
      <c r="D279" s="195"/>
      <c r="E279" s="195"/>
      <c r="F279" s="196"/>
      <c r="G279" s="197"/>
      <c r="H279" s="198"/>
      <c r="I279" s="198"/>
    </row>
    <row r="280" spans="1:9">
      <c r="A280" s="196"/>
      <c r="B280" s="194"/>
      <c r="C280" s="194"/>
      <c r="D280" s="195"/>
      <c r="E280" s="195"/>
      <c r="F280" s="196"/>
      <c r="G280" s="197"/>
      <c r="H280" s="198"/>
      <c r="I280" s="198"/>
    </row>
    <row r="281" spans="1:9">
      <c r="A281" s="196"/>
      <c r="B281" s="194"/>
      <c r="C281" s="194"/>
      <c r="D281" s="195"/>
      <c r="E281" s="195"/>
      <c r="F281" s="196"/>
      <c r="G281" s="197"/>
      <c r="H281" s="198"/>
      <c r="I281" s="198"/>
    </row>
    <row r="282" spans="1:9">
      <c r="A282" s="196"/>
      <c r="B282" s="194"/>
      <c r="C282" s="194"/>
      <c r="D282" s="195"/>
      <c r="E282" s="195"/>
      <c r="F282" s="196"/>
      <c r="G282" s="197"/>
      <c r="H282" s="198"/>
      <c r="I282" s="198"/>
    </row>
    <row r="283" spans="1:9">
      <c r="A283" s="196"/>
      <c r="B283" s="194"/>
      <c r="C283" s="194"/>
      <c r="D283" s="195"/>
      <c r="E283" s="195"/>
      <c r="F283" s="196"/>
      <c r="G283" s="197"/>
      <c r="H283" s="198"/>
      <c r="I283" s="198"/>
    </row>
    <row r="284" spans="1:9">
      <c r="A284" s="196"/>
      <c r="B284" s="194"/>
      <c r="C284" s="194"/>
      <c r="D284" s="195"/>
      <c r="E284" s="195"/>
      <c r="F284" s="196"/>
      <c r="G284" s="197"/>
      <c r="H284" s="198"/>
      <c r="I284" s="198"/>
    </row>
    <row r="285" spans="1:9">
      <c r="A285" s="196"/>
      <c r="B285" s="194"/>
      <c r="C285" s="194"/>
      <c r="D285" s="195"/>
      <c r="E285" s="195"/>
      <c r="F285" s="196"/>
      <c r="G285" s="197"/>
      <c r="H285" s="198"/>
      <c r="I285" s="198"/>
    </row>
    <row r="286" spans="1:9">
      <c r="A286" s="196"/>
      <c r="B286" s="194"/>
      <c r="C286" s="194"/>
      <c r="D286" s="195"/>
      <c r="E286" s="195"/>
      <c r="F286" s="196"/>
      <c r="G286" s="197"/>
      <c r="H286" s="198"/>
      <c r="I286" s="198"/>
    </row>
    <row r="287" spans="1:9">
      <c r="A287" s="196"/>
      <c r="B287" s="194"/>
      <c r="C287" s="194"/>
      <c r="D287" s="195"/>
      <c r="E287" s="195"/>
      <c r="F287" s="196"/>
      <c r="G287" s="197"/>
      <c r="H287" s="198"/>
      <c r="I287" s="198"/>
    </row>
    <row r="288" spans="1:9">
      <c r="A288" s="196"/>
      <c r="B288" s="194"/>
      <c r="C288" s="194"/>
      <c r="D288" s="195"/>
      <c r="E288" s="195"/>
      <c r="F288" s="196"/>
      <c r="G288" s="197"/>
      <c r="H288" s="198"/>
      <c r="I288" s="198"/>
    </row>
    <row r="289" spans="1:9">
      <c r="A289" s="196"/>
      <c r="B289" s="194"/>
      <c r="C289" s="194"/>
      <c r="D289" s="195"/>
      <c r="E289" s="195"/>
      <c r="F289" s="196"/>
      <c r="G289" s="197"/>
      <c r="H289" s="198"/>
      <c r="I289" s="198"/>
    </row>
    <row r="290" spans="1:9">
      <c r="A290" s="196"/>
      <c r="B290" s="194"/>
      <c r="C290" s="194"/>
      <c r="D290" s="195"/>
      <c r="E290" s="195"/>
      <c r="F290" s="196"/>
      <c r="G290" s="197"/>
      <c r="H290" s="198"/>
      <c r="I290" s="198"/>
    </row>
    <row r="291" spans="1:9">
      <c r="A291" s="165"/>
      <c r="B291" s="163"/>
      <c r="C291" s="169"/>
      <c r="D291" s="166"/>
      <c r="E291" s="166"/>
      <c r="F291" s="165"/>
      <c r="G291" s="167"/>
      <c r="H291" s="168"/>
      <c r="I291" s="168"/>
    </row>
    <row r="292" spans="1:9">
      <c r="A292" s="165"/>
      <c r="B292" s="163"/>
      <c r="C292" s="169"/>
      <c r="D292" s="166"/>
      <c r="E292" s="166"/>
      <c r="F292" s="165"/>
      <c r="G292" s="167"/>
      <c r="H292" s="168"/>
      <c r="I292" s="168"/>
    </row>
    <row r="293" spans="1:9">
      <c r="A293" s="165"/>
      <c r="B293" s="163"/>
      <c r="C293" s="169"/>
      <c r="D293" s="166"/>
      <c r="E293" s="166"/>
      <c r="F293" s="165"/>
      <c r="G293" s="167"/>
      <c r="H293" s="168"/>
      <c r="I293" s="168"/>
    </row>
    <row r="294" spans="1:9">
      <c r="A294" s="165"/>
      <c r="B294" s="163"/>
      <c r="C294" s="169"/>
      <c r="D294" s="166"/>
      <c r="E294" s="166"/>
      <c r="F294" s="165"/>
      <c r="G294" s="167"/>
      <c r="H294" s="168"/>
      <c r="I294" s="168"/>
    </row>
    <row r="295" spans="1:9">
      <c r="A295" s="165"/>
      <c r="B295" s="163"/>
      <c r="C295" s="169"/>
      <c r="D295" s="166"/>
      <c r="E295" s="166"/>
      <c r="F295" s="165"/>
      <c r="G295" s="167"/>
      <c r="H295" s="168"/>
      <c r="I295" s="168"/>
    </row>
    <row r="296" spans="1:9">
      <c r="A296" s="165"/>
      <c r="B296" s="163"/>
      <c r="C296" s="169"/>
      <c r="D296" s="166"/>
      <c r="E296" s="166"/>
      <c r="F296" s="165"/>
      <c r="G296" s="167"/>
      <c r="H296" s="168"/>
      <c r="I296" s="168"/>
    </row>
    <row r="297" spans="1:9">
      <c r="A297" s="165"/>
      <c r="B297" s="163"/>
      <c r="C297" s="169"/>
      <c r="D297" s="166"/>
      <c r="E297" s="166"/>
      <c r="F297" s="165"/>
      <c r="G297" s="167"/>
      <c r="H297" s="168"/>
      <c r="I297" s="168"/>
    </row>
    <row r="298" spans="1:9">
      <c r="A298" s="165"/>
      <c r="B298" s="163"/>
      <c r="C298" s="169"/>
      <c r="D298" s="166"/>
      <c r="E298" s="166"/>
      <c r="F298" s="165"/>
      <c r="G298" s="167"/>
      <c r="H298" s="168"/>
      <c r="I298" s="168"/>
    </row>
    <row r="299" spans="1:9">
      <c r="A299" s="165"/>
      <c r="B299" s="163"/>
      <c r="C299" s="169"/>
      <c r="D299" s="166"/>
      <c r="E299" s="166"/>
      <c r="F299" s="165"/>
      <c r="G299" s="167"/>
      <c r="H299" s="168"/>
      <c r="I299" s="168"/>
    </row>
    <row r="300" spans="1:9">
      <c r="A300" s="165"/>
      <c r="B300" s="163"/>
      <c r="C300" s="169"/>
      <c r="D300" s="166"/>
      <c r="E300" s="166"/>
      <c r="F300" s="165"/>
      <c r="G300" s="167"/>
      <c r="H300" s="168"/>
      <c r="I300" s="168"/>
    </row>
    <row r="301" spans="1:9">
      <c r="A301" s="165"/>
      <c r="B301" s="163"/>
      <c r="C301" s="169"/>
      <c r="D301" s="166"/>
      <c r="E301" s="166"/>
      <c r="F301" s="165"/>
      <c r="G301" s="167"/>
      <c r="H301" s="168"/>
      <c r="I301" s="168"/>
    </row>
    <row r="302" spans="1:9">
      <c r="A302" s="165"/>
      <c r="B302" s="163"/>
      <c r="C302" s="169"/>
      <c r="D302" s="166"/>
      <c r="E302" s="166"/>
      <c r="F302" s="165"/>
      <c r="G302" s="167"/>
      <c r="H302" s="168"/>
      <c r="I302" s="168"/>
    </row>
    <row r="303" spans="1:9">
      <c r="A303" s="165"/>
      <c r="B303" s="163"/>
      <c r="C303" s="169"/>
      <c r="D303" s="166"/>
      <c r="E303" s="166"/>
      <c r="F303" s="165"/>
      <c r="G303" s="167"/>
      <c r="H303" s="168"/>
      <c r="I303" s="168"/>
    </row>
    <row r="304" spans="1:9">
      <c r="A304" s="165"/>
      <c r="B304" s="163"/>
      <c r="C304" s="169"/>
      <c r="D304" s="166"/>
      <c r="E304" s="166"/>
      <c r="F304" s="165"/>
      <c r="G304" s="167"/>
      <c r="H304" s="168"/>
      <c r="I304" s="168"/>
    </row>
    <row r="305" spans="1:9">
      <c r="A305" s="165"/>
      <c r="B305" s="163"/>
      <c r="C305" s="169"/>
      <c r="D305" s="166"/>
      <c r="E305" s="166"/>
      <c r="F305" s="165"/>
      <c r="G305" s="167"/>
      <c r="H305" s="168"/>
      <c r="I305" s="168"/>
    </row>
    <row r="306" spans="1:9">
      <c r="A306" s="165"/>
      <c r="B306" s="163"/>
      <c r="C306" s="169"/>
      <c r="D306" s="166"/>
      <c r="E306" s="166"/>
      <c r="F306" s="165"/>
      <c r="G306" s="167"/>
      <c r="H306" s="168"/>
      <c r="I306" s="168"/>
    </row>
    <row r="307" spans="1:9">
      <c r="A307" s="165"/>
      <c r="B307" s="163"/>
      <c r="C307" s="169"/>
      <c r="D307" s="166"/>
      <c r="E307" s="166"/>
      <c r="F307" s="165"/>
      <c r="G307" s="167"/>
      <c r="H307" s="168"/>
      <c r="I307" s="168"/>
    </row>
    <row r="308" spans="1:9">
      <c r="A308" s="165"/>
      <c r="B308" s="163"/>
      <c r="C308" s="169"/>
      <c r="D308" s="166"/>
      <c r="E308" s="166"/>
      <c r="F308" s="165"/>
      <c r="G308" s="167"/>
      <c r="H308" s="168"/>
      <c r="I308" s="168"/>
    </row>
    <row r="309" spans="1:9">
      <c r="A309" s="165"/>
      <c r="B309" s="163"/>
      <c r="C309" s="169"/>
      <c r="D309" s="166"/>
      <c r="E309" s="166"/>
      <c r="F309" s="165"/>
      <c r="G309" s="167"/>
      <c r="H309" s="168"/>
      <c r="I309" s="168"/>
    </row>
    <row r="310" spans="1:9">
      <c r="A310" s="165"/>
      <c r="B310" s="163"/>
      <c r="C310" s="169"/>
      <c r="D310" s="166"/>
      <c r="E310" s="166"/>
      <c r="F310" s="165"/>
      <c r="G310" s="167"/>
      <c r="H310" s="168"/>
      <c r="I310" s="168"/>
    </row>
    <row r="311" spans="1:9">
      <c r="A311" s="165"/>
      <c r="B311" s="163"/>
      <c r="C311" s="169"/>
      <c r="D311" s="166"/>
      <c r="E311" s="166"/>
      <c r="F311" s="165"/>
      <c r="G311" s="167"/>
      <c r="H311" s="168"/>
      <c r="I311" s="168"/>
    </row>
    <row r="312" spans="1:9">
      <c r="A312" s="165"/>
      <c r="B312" s="163"/>
      <c r="C312" s="169"/>
      <c r="D312" s="166"/>
      <c r="E312" s="166"/>
      <c r="F312" s="165"/>
      <c r="G312" s="167"/>
      <c r="H312" s="168"/>
      <c r="I312" s="168"/>
    </row>
    <row r="313" spans="1:9">
      <c r="A313" s="165"/>
      <c r="B313" s="163"/>
      <c r="C313" s="169"/>
      <c r="D313" s="166"/>
      <c r="E313" s="166"/>
      <c r="F313" s="165"/>
      <c r="G313" s="167"/>
      <c r="H313" s="168"/>
      <c r="I313" s="168"/>
    </row>
    <row r="314" spans="1:9">
      <c r="A314" s="165"/>
      <c r="B314" s="163"/>
      <c r="C314" s="169"/>
      <c r="D314" s="166"/>
      <c r="E314" s="166"/>
      <c r="F314" s="165"/>
      <c r="G314" s="167"/>
      <c r="H314" s="168"/>
      <c r="I314" s="168"/>
    </row>
    <row r="315" spans="1:9">
      <c r="A315" s="165"/>
      <c r="B315" s="163"/>
      <c r="C315" s="169"/>
      <c r="D315" s="166"/>
      <c r="E315" s="166"/>
      <c r="F315" s="165"/>
      <c r="G315" s="167"/>
      <c r="H315" s="168"/>
      <c r="I315" s="168"/>
    </row>
    <row r="316" spans="1:9">
      <c r="A316" s="165"/>
      <c r="B316" s="163"/>
      <c r="C316" s="169"/>
      <c r="D316" s="166"/>
      <c r="E316" s="166"/>
      <c r="F316" s="165"/>
      <c r="G316" s="167"/>
      <c r="H316" s="168"/>
      <c r="I316" s="168"/>
    </row>
    <row r="317" spans="1:9">
      <c r="A317" s="165"/>
      <c r="B317" s="163"/>
      <c r="C317" s="169"/>
      <c r="D317" s="166"/>
      <c r="E317" s="166"/>
      <c r="F317" s="165"/>
      <c r="G317" s="167"/>
      <c r="H317" s="168"/>
      <c r="I317" s="168"/>
    </row>
    <row r="318" spans="1:9">
      <c r="A318" s="165"/>
      <c r="B318" s="163"/>
      <c r="C318" s="169"/>
      <c r="D318" s="166"/>
      <c r="E318" s="166"/>
      <c r="F318" s="165"/>
      <c r="G318" s="167"/>
      <c r="H318" s="168"/>
      <c r="I318" s="168"/>
    </row>
    <row r="319" spans="1:9">
      <c r="A319" s="165"/>
      <c r="B319" s="163"/>
      <c r="C319" s="169"/>
      <c r="D319" s="166"/>
      <c r="E319" s="166"/>
      <c r="F319" s="165"/>
      <c r="G319" s="167"/>
      <c r="H319" s="168"/>
      <c r="I319" s="168"/>
    </row>
    <row r="320" spans="1:9">
      <c r="A320" s="165"/>
      <c r="B320" s="163"/>
      <c r="C320" s="169"/>
      <c r="D320" s="166"/>
      <c r="E320" s="166"/>
      <c r="F320" s="165"/>
      <c r="G320" s="167"/>
      <c r="H320" s="168"/>
      <c r="I320" s="168"/>
    </row>
    <row r="321" spans="1:9">
      <c r="A321" s="165"/>
      <c r="B321" s="163"/>
      <c r="C321" s="169"/>
      <c r="D321" s="166"/>
      <c r="E321" s="166"/>
      <c r="F321" s="165"/>
      <c r="G321" s="167"/>
      <c r="H321" s="168"/>
      <c r="I321" s="168"/>
    </row>
    <row r="322" spans="1:9">
      <c r="A322" s="165"/>
      <c r="B322" s="163"/>
      <c r="C322" s="169"/>
      <c r="D322" s="166"/>
      <c r="E322" s="166"/>
      <c r="F322" s="165"/>
      <c r="G322" s="167"/>
      <c r="H322" s="168"/>
      <c r="I322" s="168"/>
    </row>
    <row r="323" spans="1:9">
      <c r="A323" s="165"/>
      <c r="B323" s="163"/>
      <c r="C323" s="169"/>
      <c r="D323" s="166"/>
      <c r="E323" s="166"/>
      <c r="F323" s="165"/>
      <c r="G323" s="167"/>
      <c r="H323" s="168"/>
      <c r="I323" s="168"/>
    </row>
    <row r="324" spans="1:9">
      <c r="A324" s="165"/>
      <c r="B324" s="163"/>
      <c r="C324" s="169"/>
      <c r="D324" s="166"/>
      <c r="E324" s="166"/>
      <c r="F324" s="165"/>
      <c r="G324" s="167"/>
      <c r="H324" s="168"/>
      <c r="I324" s="168"/>
    </row>
    <row r="325" spans="1:9">
      <c r="A325" s="165"/>
      <c r="B325" s="163"/>
      <c r="C325" s="169"/>
      <c r="D325" s="166"/>
      <c r="E325" s="166"/>
      <c r="F325" s="165"/>
      <c r="G325" s="167"/>
      <c r="H325" s="168"/>
      <c r="I325" s="168"/>
    </row>
    <row r="326" spans="1:9">
      <c r="A326" s="165"/>
      <c r="B326" s="163"/>
      <c r="C326" s="169"/>
      <c r="D326" s="166"/>
      <c r="E326" s="166"/>
      <c r="F326" s="165"/>
      <c r="G326" s="167"/>
      <c r="H326" s="168"/>
      <c r="I326" s="168"/>
    </row>
    <row r="327" spans="1:9">
      <c r="A327" s="165"/>
      <c r="B327" s="163"/>
      <c r="C327" s="169"/>
      <c r="D327" s="166"/>
      <c r="E327" s="166"/>
      <c r="F327" s="165"/>
      <c r="G327" s="167"/>
      <c r="H327" s="168"/>
      <c r="I327" s="168"/>
    </row>
    <row r="328" spans="1:9">
      <c r="A328" s="165"/>
      <c r="B328" s="163"/>
      <c r="C328" s="169"/>
      <c r="D328" s="166"/>
      <c r="E328" s="166"/>
      <c r="F328" s="165"/>
      <c r="G328" s="167"/>
      <c r="H328" s="168"/>
      <c r="I328" s="168"/>
    </row>
    <row r="329" spans="1:9">
      <c r="A329" s="165"/>
      <c r="B329" s="163"/>
      <c r="C329" s="169"/>
      <c r="D329" s="166"/>
      <c r="E329" s="166"/>
      <c r="F329" s="165"/>
      <c r="G329" s="167"/>
      <c r="H329" s="168"/>
      <c r="I329" s="168"/>
    </row>
    <row r="330" spans="1:9">
      <c r="A330" s="165"/>
      <c r="B330" s="163"/>
      <c r="C330" s="169"/>
      <c r="D330" s="166"/>
      <c r="E330" s="166"/>
      <c r="F330" s="165"/>
      <c r="G330" s="167"/>
      <c r="H330" s="168"/>
      <c r="I330" s="168"/>
    </row>
    <row r="331" spans="1:9">
      <c r="A331" s="165"/>
      <c r="B331" s="163"/>
      <c r="C331" s="169"/>
      <c r="D331" s="166"/>
      <c r="E331" s="166"/>
      <c r="F331" s="165"/>
      <c r="G331" s="167"/>
      <c r="H331" s="168"/>
      <c r="I331" s="168"/>
    </row>
    <row r="332" spans="1:9">
      <c r="A332" s="165"/>
      <c r="B332" s="163"/>
      <c r="C332" s="169"/>
      <c r="D332" s="166"/>
      <c r="E332" s="166"/>
      <c r="F332" s="165"/>
      <c r="G332" s="167"/>
      <c r="H332" s="168"/>
      <c r="I332" s="168"/>
    </row>
    <row r="333" spans="1:9">
      <c r="A333" s="165"/>
      <c r="B333" s="163"/>
      <c r="C333" s="169"/>
      <c r="D333" s="166"/>
      <c r="E333" s="166"/>
      <c r="F333" s="165"/>
      <c r="G333" s="167"/>
      <c r="H333" s="168"/>
      <c r="I333" s="168"/>
    </row>
    <row r="334" spans="1:9">
      <c r="A334" s="165"/>
      <c r="B334" s="163"/>
      <c r="C334" s="169"/>
      <c r="D334" s="166"/>
      <c r="E334" s="166"/>
      <c r="F334" s="165"/>
      <c r="G334" s="167"/>
      <c r="H334" s="168"/>
      <c r="I334" s="168"/>
    </row>
    <row r="335" spans="1:9">
      <c r="A335" s="165"/>
      <c r="B335" s="163"/>
      <c r="C335" s="169"/>
      <c r="D335" s="166"/>
      <c r="E335" s="166"/>
      <c r="F335" s="165"/>
      <c r="G335" s="167"/>
      <c r="H335" s="168"/>
      <c r="I335" s="168"/>
    </row>
    <row r="336" spans="1:9">
      <c r="A336" s="165"/>
      <c r="B336" s="163"/>
      <c r="C336" s="169"/>
      <c r="D336" s="166"/>
      <c r="E336" s="166"/>
      <c r="F336" s="165"/>
      <c r="G336" s="167"/>
      <c r="H336" s="168"/>
      <c r="I336" s="168"/>
    </row>
    <row r="337" spans="1:9">
      <c r="A337" s="165"/>
      <c r="B337" s="163"/>
      <c r="C337" s="169"/>
      <c r="D337" s="166"/>
      <c r="E337" s="166"/>
      <c r="F337" s="165"/>
      <c r="G337" s="167"/>
      <c r="H337" s="168"/>
      <c r="I337" s="168"/>
    </row>
    <row r="338" spans="1:9">
      <c r="A338" s="165"/>
      <c r="B338" s="163"/>
      <c r="C338" s="169"/>
      <c r="D338" s="166"/>
      <c r="E338" s="166"/>
      <c r="F338" s="165"/>
      <c r="G338" s="167"/>
      <c r="H338" s="168"/>
      <c r="I338" s="168"/>
    </row>
    <row r="339" spans="1:9">
      <c r="A339" s="165"/>
      <c r="B339" s="163"/>
      <c r="C339" s="169"/>
      <c r="D339" s="166"/>
      <c r="E339" s="166"/>
      <c r="F339" s="165"/>
      <c r="G339" s="167"/>
      <c r="H339" s="168"/>
      <c r="I339" s="168"/>
    </row>
    <row r="340" spans="1:9">
      <c r="A340" s="165"/>
      <c r="B340" s="163"/>
      <c r="C340" s="169"/>
      <c r="D340" s="166"/>
      <c r="E340" s="166"/>
      <c r="F340" s="165"/>
      <c r="G340" s="167"/>
      <c r="H340" s="168"/>
      <c r="I340" s="168"/>
    </row>
    <row r="341" spans="1:9">
      <c r="A341" s="165"/>
      <c r="B341" s="163"/>
      <c r="C341" s="169"/>
      <c r="D341" s="166"/>
      <c r="E341" s="166"/>
      <c r="F341" s="165"/>
      <c r="G341" s="167"/>
      <c r="H341" s="168"/>
      <c r="I341" s="168"/>
    </row>
    <row r="342" spans="1:9">
      <c r="A342" s="165"/>
      <c r="B342" s="163"/>
      <c r="C342" s="169"/>
      <c r="D342" s="166"/>
      <c r="E342" s="166"/>
      <c r="F342" s="165"/>
      <c r="G342" s="167"/>
      <c r="H342" s="168"/>
      <c r="I342" s="168"/>
    </row>
    <row r="343" spans="1:9">
      <c r="A343" s="165"/>
      <c r="B343" s="163"/>
      <c r="C343" s="169"/>
      <c r="D343" s="166"/>
      <c r="E343" s="166"/>
      <c r="F343" s="165"/>
      <c r="G343" s="167"/>
      <c r="H343" s="168"/>
      <c r="I343" s="168"/>
    </row>
    <row r="344" spans="1:9">
      <c r="A344" s="165"/>
      <c r="B344" s="163"/>
      <c r="C344" s="169"/>
      <c r="D344" s="166"/>
      <c r="E344" s="166"/>
      <c r="F344" s="165"/>
      <c r="G344" s="167"/>
      <c r="H344" s="168"/>
      <c r="I344" s="168"/>
    </row>
    <row r="345" spans="1:9">
      <c r="A345" s="165"/>
      <c r="B345" s="163"/>
      <c r="C345" s="169"/>
      <c r="D345" s="166"/>
      <c r="E345" s="166"/>
      <c r="F345" s="165"/>
      <c r="G345" s="167"/>
      <c r="H345" s="168"/>
      <c r="I345" s="168"/>
    </row>
    <row r="346" spans="1:9">
      <c r="A346" s="165"/>
      <c r="B346" s="163"/>
      <c r="C346" s="169"/>
      <c r="D346" s="166"/>
      <c r="E346" s="166"/>
      <c r="F346" s="165"/>
      <c r="G346" s="167"/>
      <c r="H346" s="168"/>
      <c r="I346" s="168"/>
    </row>
    <row r="347" spans="1:9">
      <c r="A347" s="165"/>
      <c r="B347" s="163"/>
      <c r="C347" s="169"/>
      <c r="D347" s="166"/>
      <c r="E347" s="166"/>
      <c r="F347" s="165"/>
      <c r="G347" s="167"/>
      <c r="H347" s="168"/>
      <c r="I347" s="168"/>
    </row>
    <row r="348" spans="1:9">
      <c r="A348" s="165"/>
      <c r="B348" s="163"/>
      <c r="C348" s="169"/>
      <c r="D348" s="166"/>
      <c r="E348" s="166"/>
      <c r="F348" s="165"/>
      <c r="G348" s="167"/>
      <c r="H348" s="168"/>
      <c r="I348" s="168"/>
    </row>
    <row r="349" spans="1:9">
      <c r="A349" s="165"/>
      <c r="B349" s="163"/>
      <c r="C349" s="169"/>
      <c r="D349" s="166"/>
      <c r="E349" s="166"/>
      <c r="F349" s="165"/>
      <c r="G349" s="167"/>
      <c r="H349" s="168"/>
      <c r="I349" s="168"/>
    </row>
    <row r="350" spans="1:9">
      <c r="A350" s="165"/>
      <c r="B350" s="163"/>
      <c r="C350" s="169"/>
      <c r="D350" s="166"/>
      <c r="E350" s="166"/>
      <c r="F350" s="165"/>
      <c r="G350" s="167"/>
      <c r="H350" s="168"/>
      <c r="I350" s="168"/>
    </row>
    <row r="351" spans="1:9">
      <c r="A351" s="165"/>
      <c r="B351" s="163"/>
      <c r="C351" s="169"/>
      <c r="D351" s="166"/>
      <c r="E351" s="166"/>
      <c r="F351" s="165"/>
      <c r="G351" s="167"/>
      <c r="H351" s="168"/>
      <c r="I351" s="168"/>
    </row>
    <row r="352" spans="1:9">
      <c r="A352" s="165"/>
      <c r="B352" s="163"/>
      <c r="C352" s="169"/>
      <c r="D352" s="166"/>
      <c r="E352" s="166"/>
      <c r="F352" s="165"/>
      <c r="G352" s="167"/>
      <c r="H352" s="168"/>
      <c r="I352" s="168"/>
    </row>
    <row r="353" spans="1:9">
      <c r="A353" s="165"/>
      <c r="B353" s="163"/>
      <c r="C353" s="169"/>
      <c r="D353" s="166"/>
      <c r="E353" s="166"/>
      <c r="F353" s="165"/>
      <c r="G353" s="167"/>
      <c r="H353" s="168"/>
      <c r="I353" s="168"/>
    </row>
    <row r="354" spans="1:9">
      <c r="A354" s="165"/>
      <c r="B354" s="163"/>
      <c r="C354" s="169"/>
      <c r="D354" s="166"/>
      <c r="E354" s="166"/>
      <c r="F354" s="165"/>
      <c r="G354" s="167"/>
      <c r="H354" s="168"/>
      <c r="I354" s="168"/>
    </row>
    <row r="355" spans="1:9">
      <c r="A355" s="165"/>
      <c r="B355" s="163"/>
      <c r="C355" s="169"/>
      <c r="D355" s="166"/>
      <c r="E355" s="166"/>
      <c r="F355" s="165"/>
      <c r="G355" s="167"/>
      <c r="H355" s="168"/>
      <c r="I355" s="168"/>
    </row>
    <row r="356" spans="1:9">
      <c r="A356" s="165"/>
      <c r="B356" s="163"/>
      <c r="C356" s="169"/>
      <c r="D356" s="166"/>
      <c r="E356" s="166"/>
      <c r="F356" s="165"/>
      <c r="G356" s="167"/>
      <c r="H356" s="168"/>
      <c r="I356" s="168"/>
    </row>
    <row r="357" spans="1:9">
      <c r="A357" s="165"/>
      <c r="B357" s="163"/>
      <c r="C357" s="169"/>
      <c r="D357" s="166"/>
      <c r="E357" s="166"/>
      <c r="F357" s="165"/>
      <c r="G357" s="167"/>
      <c r="H357" s="168"/>
      <c r="I357" s="168"/>
    </row>
    <row r="358" spans="1:9">
      <c r="A358" s="165"/>
      <c r="B358" s="163"/>
      <c r="C358" s="169"/>
      <c r="D358" s="166"/>
      <c r="E358" s="166"/>
      <c r="F358" s="165"/>
      <c r="G358" s="167"/>
      <c r="H358" s="168"/>
      <c r="I358" s="168"/>
    </row>
    <row r="359" spans="1:9">
      <c r="A359" s="165"/>
      <c r="B359" s="163"/>
      <c r="C359" s="169"/>
      <c r="D359" s="166"/>
      <c r="E359" s="166"/>
      <c r="F359" s="165"/>
      <c r="G359" s="167"/>
      <c r="H359" s="168"/>
      <c r="I359" s="168"/>
    </row>
    <row r="360" spans="1:9">
      <c r="A360" s="165"/>
      <c r="B360" s="163"/>
      <c r="C360" s="169"/>
      <c r="D360" s="166"/>
      <c r="E360" s="166"/>
      <c r="F360" s="165"/>
      <c r="G360" s="167"/>
      <c r="H360" s="168"/>
      <c r="I360" s="168"/>
    </row>
    <row r="361" spans="1:9">
      <c r="A361" s="165"/>
      <c r="B361" s="163"/>
      <c r="C361" s="169"/>
      <c r="D361" s="166"/>
      <c r="E361" s="166"/>
      <c r="F361" s="165"/>
      <c r="G361" s="167"/>
      <c r="H361" s="168"/>
      <c r="I361" s="168"/>
    </row>
    <row r="362" spans="1:9">
      <c r="A362" s="165"/>
      <c r="B362" s="163"/>
      <c r="C362" s="169"/>
      <c r="D362" s="166"/>
      <c r="E362" s="166"/>
      <c r="F362" s="165"/>
      <c r="G362" s="167"/>
      <c r="H362" s="168"/>
      <c r="I362" s="168"/>
    </row>
    <row r="363" spans="1:9">
      <c r="A363" s="165"/>
      <c r="B363" s="163"/>
      <c r="C363" s="169"/>
      <c r="D363" s="166"/>
      <c r="E363" s="166"/>
      <c r="F363" s="165"/>
      <c r="G363" s="167"/>
      <c r="H363" s="168"/>
      <c r="I363" s="168"/>
    </row>
    <row r="364" spans="1:9">
      <c r="A364" s="165"/>
      <c r="B364" s="163"/>
      <c r="C364" s="169"/>
      <c r="D364" s="166"/>
      <c r="E364" s="166"/>
      <c r="F364" s="165"/>
      <c r="G364" s="167"/>
      <c r="H364" s="168"/>
      <c r="I364" s="168"/>
    </row>
    <row r="365" spans="1:9">
      <c r="A365" s="165"/>
      <c r="B365" s="163"/>
      <c r="C365" s="169"/>
      <c r="D365" s="166"/>
      <c r="E365" s="166"/>
      <c r="F365" s="165"/>
      <c r="G365" s="167"/>
      <c r="H365" s="168"/>
      <c r="I365" s="168"/>
    </row>
    <row r="366" spans="1:9">
      <c r="A366" s="165"/>
      <c r="B366" s="163"/>
      <c r="C366" s="169"/>
      <c r="D366" s="166"/>
      <c r="E366" s="166"/>
      <c r="F366" s="165"/>
      <c r="G366" s="167"/>
      <c r="H366" s="168"/>
      <c r="I366" s="168"/>
    </row>
    <row r="367" spans="1:9">
      <c r="A367" s="165"/>
      <c r="B367" s="163"/>
      <c r="C367" s="169"/>
      <c r="D367" s="166"/>
      <c r="E367" s="166"/>
      <c r="F367" s="165"/>
      <c r="G367" s="167"/>
      <c r="H367" s="168"/>
      <c r="I367" s="168"/>
    </row>
    <row r="368" spans="1:9">
      <c r="A368" s="165"/>
      <c r="B368" s="163"/>
      <c r="C368" s="169"/>
      <c r="D368" s="166"/>
      <c r="E368" s="166"/>
      <c r="F368" s="165"/>
      <c r="G368" s="167"/>
      <c r="H368" s="168"/>
      <c r="I368" s="168"/>
    </row>
    <row r="369" spans="1:9">
      <c r="A369" s="165"/>
      <c r="B369" s="163"/>
      <c r="C369" s="169"/>
      <c r="D369" s="166"/>
      <c r="E369" s="166"/>
      <c r="F369" s="165"/>
      <c r="G369" s="167"/>
      <c r="H369" s="168"/>
      <c r="I369" s="168"/>
    </row>
    <row r="370" spans="1:9">
      <c r="A370" s="165"/>
      <c r="B370" s="163"/>
      <c r="C370" s="169"/>
      <c r="D370" s="166"/>
      <c r="E370" s="166"/>
      <c r="F370" s="165"/>
      <c r="G370" s="167"/>
      <c r="H370" s="168"/>
      <c r="I370" s="168"/>
    </row>
    <row r="371" spans="1:9">
      <c r="A371" s="165"/>
      <c r="B371" s="163"/>
      <c r="C371" s="169"/>
      <c r="D371" s="166"/>
      <c r="E371" s="166"/>
      <c r="F371" s="165"/>
      <c r="G371" s="167"/>
      <c r="H371" s="168"/>
      <c r="I371" s="168"/>
    </row>
    <row r="372" spans="1:9">
      <c r="A372" s="165"/>
      <c r="B372" s="163"/>
      <c r="C372" s="169"/>
      <c r="D372" s="166"/>
      <c r="E372" s="166"/>
      <c r="F372" s="165"/>
      <c r="G372" s="167"/>
      <c r="H372" s="168"/>
      <c r="I372" s="168"/>
    </row>
    <row r="373" spans="1:9">
      <c r="A373" s="165"/>
      <c r="B373" s="163"/>
      <c r="C373" s="169"/>
      <c r="D373" s="166"/>
      <c r="E373" s="166"/>
      <c r="F373" s="165"/>
      <c r="G373" s="167"/>
      <c r="H373" s="168"/>
      <c r="I373" s="168"/>
    </row>
    <row r="374" spans="1:9">
      <c r="A374" s="165"/>
      <c r="B374" s="163"/>
      <c r="C374" s="169"/>
      <c r="D374" s="166"/>
      <c r="E374" s="166"/>
      <c r="F374" s="165"/>
      <c r="G374" s="167"/>
      <c r="H374" s="168"/>
      <c r="I374" s="168"/>
    </row>
    <row r="375" spans="1:9">
      <c r="A375" s="165"/>
      <c r="B375" s="163"/>
      <c r="C375" s="169"/>
      <c r="D375" s="166"/>
      <c r="E375" s="166"/>
      <c r="F375" s="165"/>
      <c r="G375" s="167"/>
      <c r="H375" s="168"/>
      <c r="I375" s="168"/>
    </row>
    <row r="376" spans="1:9">
      <c r="A376" s="165"/>
      <c r="B376" s="163"/>
      <c r="C376" s="169"/>
      <c r="D376" s="166"/>
      <c r="E376" s="166"/>
      <c r="F376" s="165"/>
      <c r="G376" s="167"/>
      <c r="H376" s="168"/>
      <c r="I376" s="168"/>
    </row>
    <row r="377" spans="1:9">
      <c r="A377" s="165"/>
      <c r="B377" s="163"/>
      <c r="C377" s="169"/>
      <c r="D377" s="166"/>
      <c r="E377" s="166"/>
      <c r="F377" s="165"/>
      <c r="G377" s="167"/>
      <c r="H377" s="168"/>
      <c r="I377" s="168"/>
    </row>
    <row r="378" spans="1:9">
      <c r="A378" s="165"/>
      <c r="B378" s="163"/>
      <c r="C378" s="169"/>
      <c r="D378" s="166"/>
      <c r="E378" s="166"/>
      <c r="F378" s="165"/>
      <c r="G378" s="167"/>
      <c r="H378" s="168"/>
      <c r="I378" s="168"/>
    </row>
    <row r="379" spans="1:9">
      <c r="A379" s="165"/>
      <c r="B379" s="163"/>
      <c r="C379" s="169"/>
      <c r="D379" s="166"/>
      <c r="E379" s="166"/>
      <c r="F379" s="165"/>
      <c r="G379" s="167"/>
      <c r="H379" s="168"/>
      <c r="I379" s="168"/>
    </row>
    <row r="380" spans="1:9">
      <c r="A380" s="165"/>
      <c r="B380" s="163"/>
      <c r="C380" s="169"/>
      <c r="D380" s="166"/>
      <c r="E380" s="166"/>
      <c r="F380" s="165"/>
      <c r="G380" s="167"/>
      <c r="H380" s="168"/>
      <c r="I380" s="168"/>
    </row>
    <row r="381" spans="1:9">
      <c r="A381" s="165"/>
      <c r="B381" s="163"/>
      <c r="C381" s="169"/>
      <c r="D381" s="166"/>
      <c r="E381" s="166"/>
      <c r="F381" s="165"/>
      <c r="G381" s="167"/>
      <c r="H381" s="168"/>
      <c r="I381" s="168"/>
    </row>
    <row r="382" spans="1:9">
      <c r="A382" s="165"/>
      <c r="B382" s="163"/>
      <c r="C382" s="169"/>
      <c r="D382" s="166"/>
      <c r="E382" s="166"/>
      <c r="F382" s="165"/>
      <c r="G382" s="167"/>
      <c r="H382" s="168"/>
      <c r="I382" s="168"/>
    </row>
    <row r="383" spans="1:9">
      <c r="A383" s="165"/>
      <c r="B383" s="163"/>
      <c r="C383" s="169"/>
      <c r="D383" s="166"/>
      <c r="E383" s="166"/>
      <c r="F383" s="165"/>
      <c r="G383" s="167"/>
      <c r="H383" s="168"/>
      <c r="I383" s="168"/>
    </row>
    <row r="384" spans="1:9">
      <c r="A384" s="165"/>
      <c r="B384" s="163"/>
      <c r="C384" s="169"/>
      <c r="D384" s="166"/>
      <c r="E384" s="166"/>
      <c r="F384" s="165"/>
      <c r="G384" s="167"/>
      <c r="H384" s="168"/>
      <c r="I384" s="168"/>
    </row>
    <row r="385" spans="1:9">
      <c r="A385" s="165"/>
      <c r="B385" s="163"/>
      <c r="C385" s="169"/>
      <c r="D385" s="166"/>
      <c r="E385" s="166"/>
      <c r="F385" s="165"/>
      <c r="G385" s="167"/>
      <c r="H385" s="168"/>
      <c r="I385" s="168"/>
    </row>
    <row r="386" spans="1:9">
      <c r="A386" s="165"/>
      <c r="B386" s="163"/>
      <c r="C386" s="169"/>
      <c r="D386" s="166"/>
      <c r="E386" s="166"/>
      <c r="F386" s="165"/>
      <c r="G386" s="167"/>
      <c r="H386" s="168"/>
      <c r="I386" s="168"/>
    </row>
    <row r="387" spans="1:9">
      <c r="A387" s="165"/>
      <c r="B387" s="163"/>
      <c r="C387" s="169"/>
      <c r="D387" s="166"/>
      <c r="E387" s="166"/>
      <c r="F387" s="165"/>
      <c r="G387" s="167"/>
      <c r="H387" s="168"/>
      <c r="I387" s="168"/>
    </row>
    <row r="388" spans="1:9">
      <c r="A388" s="165"/>
      <c r="B388" s="163"/>
      <c r="C388" s="169"/>
      <c r="D388" s="166"/>
      <c r="E388" s="166"/>
      <c r="F388" s="165"/>
      <c r="G388" s="167"/>
      <c r="H388" s="168"/>
      <c r="I388" s="168"/>
    </row>
    <row r="389" spans="1:9">
      <c r="A389" s="165"/>
      <c r="B389" s="163"/>
      <c r="C389" s="169"/>
      <c r="D389" s="166"/>
      <c r="E389" s="166"/>
      <c r="F389" s="165"/>
      <c r="G389" s="167"/>
      <c r="H389" s="168"/>
      <c r="I389" s="168"/>
    </row>
    <row r="390" spans="1:9">
      <c r="A390" s="165"/>
      <c r="B390" s="163"/>
      <c r="C390" s="169"/>
      <c r="D390" s="166"/>
      <c r="E390" s="166"/>
      <c r="F390" s="165"/>
      <c r="G390" s="167"/>
      <c r="H390" s="168"/>
      <c r="I390" s="168"/>
    </row>
    <row r="391" spans="1:9">
      <c r="A391" s="165"/>
      <c r="B391" s="163"/>
      <c r="C391" s="169"/>
      <c r="D391" s="166"/>
      <c r="E391" s="166"/>
      <c r="F391" s="165"/>
      <c r="G391" s="167"/>
      <c r="H391" s="168"/>
      <c r="I391" s="168"/>
    </row>
    <row r="392" spans="1:9">
      <c r="A392" s="165"/>
      <c r="B392" s="163"/>
      <c r="C392" s="169"/>
      <c r="D392" s="166"/>
      <c r="E392" s="166"/>
      <c r="F392" s="165"/>
      <c r="G392" s="167"/>
      <c r="H392" s="168"/>
      <c r="I392" s="168"/>
    </row>
    <row r="393" spans="1:9">
      <c r="A393" s="165"/>
      <c r="B393" s="163"/>
      <c r="C393" s="169"/>
      <c r="D393" s="166"/>
      <c r="E393" s="166"/>
      <c r="F393" s="165"/>
      <c r="G393" s="167"/>
      <c r="H393" s="168"/>
      <c r="I393" s="168"/>
    </row>
    <row r="394" spans="1:9">
      <c r="A394" s="165"/>
      <c r="B394" s="163"/>
      <c r="C394" s="169"/>
      <c r="D394" s="166"/>
      <c r="E394" s="166"/>
      <c r="F394" s="165"/>
      <c r="G394" s="167"/>
      <c r="H394" s="168"/>
      <c r="I394" s="168"/>
    </row>
    <row r="395" spans="1:9">
      <c r="A395" s="165"/>
      <c r="B395" s="163"/>
      <c r="C395" s="169"/>
      <c r="D395" s="166"/>
      <c r="E395" s="166"/>
      <c r="F395" s="165"/>
      <c r="G395" s="167"/>
      <c r="H395" s="168"/>
      <c r="I395" s="168"/>
    </row>
    <row r="396" spans="1:9">
      <c r="A396" s="165"/>
      <c r="B396" s="163"/>
      <c r="C396" s="169"/>
      <c r="D396" s="166"/>
      <c r="E396" s="166"/>
      <c r="F396" s="165"/>
      <c r="G396" s="167"/>
      <c r="H396" s="168"/>
      <c r="I396" s="168"/>
    </row>
    <row r="397" spans="1:9">
      <c r="A397" s="165"/>
      <c r="B397" s="163"/>
      <c r="C397" s="169"/>
      <c r="D397" s="166"/>
      <c r="E397" s="166"/>
      <c r="F397" s="165"/>
      <c r="G397" s="167"/>
      <c r="H397" s="168"/>
      <c r="I397" s="168"/>
    </row>
    <row r="398" spans="1:9">
      <c r="A398" s="165"/>
      <c r="B398" s="163"/>
      <c r="C398" s="169"/>
      <c r="D398" s="166"/>
      <c r="E398" s="166"/>
      <c r="F398" s="165"/>
      <c r="G398" s="167"/>
      <c r="H398" s="168"/>
      <c r="I398" s="168"/>
    </row>
    <row r="399" spans="1:9">
      <c r="A399" s="165"/>
      <c r="B399" s="163"/>
      <c r="C399" s="169"/>
      <c r="D399" s="166"/>
      <c r="E399" s="166"/>
      <c r="F399" s="165"/>
      <c r="G399" s="167"/>
      <c r="H399" s="168"/>
      <c r="I399" s="168"/>
    </row>
    <row r="400" spans="1:9">
      <c r="A400" s="165"/>
      <c r="B400" s="163"/>
      <c r="C400" s="169"/>
      <c r="D400" s="166"/>
      <c r="E400" s="166"/>
      <c r="F400" s="165"/>
      <c r="G400" s="167"/>
      <c r="H400" s="168"/>
      <c r="I400" s="168"/>
    </row>
    <row r="401" spans="1:9">
      <c r="A401" s="165"/>
      <c r="B401" s="163"/>
      <c r="C401" s="169"/>
      <c r="D401" s="166"/>
      <c r="E401" s="166"/>
      <c r="F401" s="165"/>
      <c r="G401" s="167"/>
      <c r="H401" s="168"/>
      <c r="I401" s="168"/>
    </row>
    <row r="402" spans="1:9">
      <c r="A402" s="165"/>
      <c r="B402" s="163"/>
      <c r="C402" s="169"/>
      <c r="D402" s="166"/>
      <c r="E402" s="166"/>
      <c r="F402" s="165"/>
      <c r="G402" s="167"/>
      <c r="H402" s="168"/>
      <c r="I402" s="168"/>
    </row>
    <row r="403" spans="1:9">
      <c r="A403" s="165"/>
      <c r="B403" s="163"/>
      <c r="C403" s="169"/>
      <c r="D403" s="166"/>
      <c r="E403" s="166"/>
      <c r="F403" s="165"/>
      <c r="G403" s="167"/>
      <c r="H403" s="168"/>
      <c r="I403" s="168"/>
    </row>
    <row r="404" spans="1:9">
      <c r="A404" s="165"/>
      <c r="B404" s="163"/>
      <c r="C404" s="169"/>
      <c r="D404" s="166"/>
      <c r="E404" s="166"/>
      <c r="F404" s="165"/>
      <c r="G404" s="167"/>
      <c r="H404" s="168"/>
      <c r="I404" s="168"/>
    </row>
    <row r="405" spans="1:9">
      <c r="A405" s="165"/>
      <c r="B405" s="163"/>
      <c r="C405" s="169"/>
      <c r="D405" s="166"/>
      <c r="E405" s="166"/>
      <c r="F405" s="165"/>
      <c r="G405" s="167"/>
      <c r="H405" s="168"/>
      <c r="I405" s="168"/>
    </row>
    <row r="406" spans="1:9">
      <c r="A406" s="165"/>
      <c r="B406" s="163"/>
      <c r="C406" s="169"/>
      <c r="D406" s="166"/>
      <c r="E406" s="166"/>
      <c r="F406" s="165"/>
      <c r="G406" s="167"/>
      <c r="H406" s="168"/>
      <c r="I406" s="168"/>
    </row>
    <row r="407" spans="1:9">
      <c r="A407" s="165"/>
      <c r="B407" s="163"/>
      <c r="C407" s="169"/>
      <c r="D407" s="166"/>
      <c r="E407" s="166"/>
      <c r="F407" s="165"/>
      <c r="G407" s="167"/>
      <c r="H407" s="168"/>
      <c r="I407" s="168"/>
    </row>
    <row r="408" spans="1:9">
      <c r="A408" s="165"/>
      <c r="B408" s="163"/>
      <c r="C408" s="169"/>
      <c r="D408" s="166"/>
      <c r="E408" s="166"/>
      <c r="F408" s="165"/>
      <c r="G408" s="167"/>
      <c r="H408" s="168"/>
      <c r="I408" s="168"/>
    </row>
    <row r="409" spans="1:9">
      <c r="A409" s="165"/>
      <c r="B409" s="163"/>
      <c r="C409" s="169"/>
      <c r="D409" s="166"/>
      <c r="E409" s="166"/>
      <c r="F409" s="165"/>
      <c r="G409" s="167"/>
      <c r="H409" s="168"/>
      <c r="I409" s="168"/>
    </row>
    <row r="410" spans="1:9">
      <c r="A410" s="165"/>
      <c r="B410" s="163"/>
      <c r="C410" s="169"/>
      <c r="D410" s="166"/>
      <c r="E410" s="166"/>
      <c r="F410" s="165"/>
      <c r="G410" s="167"/>
      <c r="H410" s="168"/>
      <c r="I410" s="168"/>
    </row>
    <row r="411" spans="1:9">
      <c r="A411" s="165"/>
      <c r="B411" s="163"/>
      <c r="C411" s="169"/>
      <c r="D411" s="166"/>
      <c r="E411" s="166"/>
      <c r="F411" s="165"/>
      <c r="G411" s="167"/>
      <c r="H411" s="168"/>
      <c r="I411" s="168"/>
    </row>
    <row r="412" spans="1:9">
      <c r="A412" s="165"/>
      <c r="B412" s="163"/>
      <c r="C412" s="169"/>
      <c r="D412" s="166"/>
      <c r="E412" s="166"/>
      <c r="F412" s="165"/>
      <c r="G412" s="167"/>
      <c r="H412" s="168"/>
      <c r="I412" s="168"/>
    </row>
    <row r="413" spans="1:9">
      <c r="A413" s="165"/>
      <c r="B413" s="163"/>
      <c r="C413" s="169"/>
      <c r="D413" s="166"/>
      <c r="E413" s="166"/>
      <c r="F413" s="165"/>
      <c r="G413" s="167"/>
      <c r="H413" s="168"/>
      <c r="I413" s="168"/>
    </row>
    <row r="414" spans="1:9">
      <c r="A414" s="165"/>
      <c r="B414" s="163"/>
      <c r="C414" s="169"/>
      <c r="D414" s="166"/>
      <c r="E414" s="166"/>
      <c r="F414" s="165"/>
      <c r="G414" s="167"/>
      <c r="H414" s="168"/>
      <c r="I414" s="168"/>
    </row>
    <row r="415" spans="1:9">
      <c r="A415" s="165"/>
      <c r="B415" s="163"/>
      <c r="C415" s="169"/>
      <c r="D415" s="166"/>
      <c r="E415" s="166"/>
      <c r="F415" s="165"/>
      <c r="G415" s="167"/>
      <c r="H415" s="168"/>
      <c r="I415" s="168"/>
    </row>
    <row r="416" spans="1:9">
      <c r="A416" s="165"/>
      <c r="B416" s="163"/>
      <c r="C416" s="169"/>
      <c r="D416" s="166"/>
      <c r="E416" s="166"/>
      <c r="F416" s="165"/>
      <c r="G416" s="167"/>
      <c r="H416" s="168"/>
      <c r="I416" s="168"/>
    </row>
    <row r="417" spans="1:9">
      <c r="A417" s="165"/>
      <c r="B417" s="163"/>
      <c r="C417" s="169"/>
      <c r="D417" s="166"/>
      <c r="E417" s="166"/>
      <c r="F417" s="165"/>
      <c r="G417" s="167"/>
      <c r="H417" s="168"/>
      <c r="I417" s="168"/>
    </row>
    <row r="418" spans="1:9">
      <c r="A418" s="165"/>
      <c r="B418" s="163"/>
      <c r="C418" s="169"/>
      <c r="D418" s="166"/>
      <c r="E418" s="166"/>
      <c r="F418" s="165"/>
      <c r="G418" s="167"/>
      <c r="H418" s="168"/>
      <c r="I418" s="168"/>
    </row>
    <row r="419" spans="1:9">
      <c r="A419" s="165"/>
      <c r="B419" s="163"/>
      <c r="C419" s="169"/>
      <c r="D419" s="166"/>
      <c r="E419" s="166"/>
      <c r="F419" s="165"/>
      <c r="G419" s="167"/>
      <c r="H419" s="168"/>
      <c r="I419" s="168"/>
    </row>
    <row r="420" spans="1:9">
      <c r="A420" s="165"/>
      <c r="B420" s="163"/>
      <c r="C420" s="169"/>
      <c r="D420" s="166"/>
      <c r="E420" s="166"/>
      <c r="F420" s="165"/>
      <c r="G420" s="167"/>
      <c r="H420" s="168"/>
      <c r="I420" s="168"/>
    </row>
    <row r="421" spans="1:9">
      <c r="A421" s="165"/>
      <c r="B421" s="163"/>
      <c r="C421" s="169"/>
      <c r="D421" s="166"/>
      <c r="E421" s="166"/>
      <c r="F421" s="165"/>
      <c r="G421" s="167"/>
      <c r="H421" s="168"/>
      <c r="I421" s="168"/>
    </row>
    <row r="422" spans="1:9">
      <c r="A422" s="165"/>
      <c r="B422" s="163"/>
      <c r="C422" s="169"/>
      <c r="D422" s="166"/>
      <c r="E422" s="166"/>
      <c r="F422" s="165"/>
      <c r="G422" s="167"/>
      <c r="H422" s="168"/>
      <c r="I422" s="168"/>
    </row>
    <row r="423" spans="1:9">
      <c r="A423" s="165"/>
      <c r="B423" s="163"/>
      <c r="C423" s="169"/>
      <c r="D423" s="166"/>
      <c r="E423" s="166"/>
      <c r="F423" s="165"/>
      <c r="G423" s="167"/>
      <c r="H423" s="168"/>
      <c r="I423" s="168"/>
    </row>
    <row r="424" spans="1:9">
      <c r="A424" s="165"/>
      <c r="B424" s="163"/>
      <c r="C424" s="169"/>
      <c r="D424" s="166"/>
      <c r="E424" s="166"/>
      <c r="F424" s="165"/>
      <c r="G424" s="167"/>
      <c r="H424" s="168"/>
      <c r="I424" s="168"/>
    </row>
    <row r="425" spans="1:9">
      <c r="A425" s="165"/>
      <c r="B425" s="163"/>
      <c r="C425" s="169"/>
      <c r="D425" s="166"/>
      <c r="E425" s="166"/>
      <c r="F425" s="165"/>
      <c r="G425" s="167"/>
      <c r="H425" s="168"/>
      <c r="I425" s="168"/>
    </row>
    <row r="426" spans="1:9">
      <c r="A426" s="165"/>
      <c r="B426" s="163"/>
      <c r="C426" s="169"/>
      <c r="D426" s="166"/>
      <c r="E426" s="166"/>
      <c r="F426" s="165"/>
      <c r="G426" s="167"/>
      <c r="H426" s="168"/>
      <c r="I426" s="168"/>
    </row>
    <row r="427" spans="1:9">
      <c r="A427" s="165"/>
      <c r="B427" s="163"/>
      <c r="C427" s="169"/>
      <c r="D427" s="166"/>
      <c r="E427" s="166"/>
      <c r="F427" s="165"/>
      <c r="G427" s="167"/>
      <c r="H427" s="168"/>
      <c r="I427" s="168"/>
    </row>
    <row r="428" spans="1:9">
      <c r="A428" s="165"/>
      <c r="B428" s="163"/>
      <c r="C428" s="169"/>
      <c r="D428" s="166"/>
      <c r="E428" s="166"/>
      <c r="F428" s="165"/>
      <c r="G428" s="167"/>
      <c r="H428" s="168"/>
      <c r="I428" s="168"/>
    </row>
    <row r="429" spans="1:9">
      <c r="A429" s="165"/>
      <c r="B429" s="163"/>
      <c r="C429" s="169"/>
      <c r="D429" s="166"/>
      <c r="E429" s="166"/>
      <c r="F429" s="165"/>
      <c r="G429" s="167"/>
      <c r="H429" s="168"/>
      <c r="I429" s="168"/>
    </row>
    <row r="430" spans="1:9">
      <c r="A430" s="165"/>
      <c r="B430" s="163"/>
      <c r="C430" s="169"/>
      <c r="D430" s="166"/>
      <c r="E430" s="166"/>
      <c r="F430" s="165"/>
      <c r="G430" s="167"/>
      <c r="H430" s="168"/>
      <c r="I430" s="168"/>
    </row>
    <row r="431" spans="1:9">
      <c r="A431" s="165"/>
      <c r="B431" s="163"/>
      <c r="C431" s="169"/>
      <c r="D431" s="166"/>
      <c r="E431" s="166"/>
      <c r="F431" s="165"/>
      <c r="G431" s="167"/>
      <c r="H431" s="168"/>
      <c r="I431" s="168"/>
    </row>
    <row r="432" spans="1:9">
      <c r="A432" s="165"/>
      <c r="B432" s="163"/>
      <c r="C432" s="169"/>
      <c r="D432" s="166"/>
      <c r="E432" s="166"/>
      <c r="F432" s="165"/>
      <c r="G432" s="167"/>
      <c r="H432" s="168"/>
      <c r="I432" s="168"/>
    </row>
    <row r="433" spans="1:9">
      <c r="A433" s="165"/>
      <c r="B433" s="163"/>
      <c r="C433" s="169"/>
      <c r="D433" s="166"/>
      <c r="E433" s="166"/>
      <c r="F433" s="165"/>
      <c r="G433" s="167"/>
      <c r="H433" s="168"/>
      <c r="I433" s="168"/>
    </row>
    <row r="434" spans="1:9">
      <c r="A434" s="165"/>
      <c r="B434" s="163"/>
      <c r="C434" s="169"/>
      <c r="D434" s="166"/>
      <c r="E434" s="166"/>
      <c r="F434" s="165"/>
      <c r="G434" s="167"/>
      <c r="H434" s="168"/>
      <c r="I434" s="168"/>
    </row>
    <row r="435" spans="1:9">
      <c r="A435" s="165"/>
      <c r="B435" s="163"/>
      <c r="C435" s="169"/>
      <c r="D435" s="166"/>
      <c r="E435" s="166"/>
      <c r="F435" s="165"/>
      <c r="G435" s="167"/>
      <c r="H435" s="168"/>
      <c r="I435" s="168"/>
    </row>
    <row r="436" spans="1:9">
      <c r="A436" s="165"/>
      <c r="B436" s="163"/>
      <c r="C436" s="169"/>
      <c r="D436" s="166"/>
      <c r="E436" s="166"/>
      <c r="F436" s="165"/>
      <c r="G436" s="167"/>
      <c r="H436" s="168"/>
      <c r="I436" s="168"/>
    </row>
    <row r="437" spans="1:9">
      <c r="A437" s="165"/>
      <c r="B437" s="163"/>
      <c r="C437" s="169"/>
      <c r="D437" s="166"/>
      <c r="E437" s="166"/>
      <c r="F437" s="165"/>
      <c r="G437" s="167"/>
      <c r="H437" s="168"/>
      <c r="I437" s="168"/>
    </row>
    <row r="438" spans="1:9">
      <c r="A438" s="165"/>
      <c r="B438" s="163"/>
      <c r="C438" s="169"/>
      <c r="D438" s="166"/>
      <c r="E438" s="166"/>
      <c r="F438" s="165"/>
      <c r="G438" s="167"/>
      <c r="H438" s="168"/>
      <c r="I438" s="168"/>
    </row>
    <row r="439" spans="1:9">
      <c r="A439" s="165"/>
      <c r="B439" s="163"/>
      <c r="C439" s="169"/>
      <c r="D439" s="166"/>
      <c r="E439" s="166"/>
      <c r="F439" s="165"/>
      <c r="G439" s="167"/>
      <c r="H439" s="168"/>
      <c r="I439" s="168"/>
    </row>
    <row r="440" spans="1:9">
      <c r="A440" s="165"/>
      <c r="B440" s="163"/>
      <c r="C440" s="169"/>
      <c r="D440" s="166"/>
      <c r="E440" s="166"/>
      <c r="F440" s="165"/>
      <c r="G440" s="167"/>
      <c r="H440" s="168"/>
      <c r="I440" s="168"/>
    </row>
    <row r="441" spans="1:9">
      <c r="A441" s="165"/>
      <c r="B441" s="163"/>
      <c r="C441" s="169"/>
      <c r="D441" s="166"/>
      <c r="E441" s="166"/>
      <c r="F441" s="165"/>
      <c r="G441" s="167"/>
      <c r="H441" s="168"/>
      <c r="I441" s="168"/>
    </row>
    <row r="442" spans="1:9">
      <c r="A442" s="165"/>
      <c r="B442" s="163"/>
      <c r="C442" s="169"/>
      <c r="D442" s="166"/>
      <c r="E442" s="166"/>
      <c r="F442" s="165"/>
      <c r="G442" s="167"/>
      <c r="H442" s="168"/>
      <c r="I442" s="168"/>
    </row>
    <row r="443" spans="1:9">
      <c r="A443" s="165"/>
      <c r="B443" s="163"/>
      <c r="C443" s="169"/>
      <c r="D443" s="166"/>
      <c r="E443" s="166"/>
      <c r="F443" s="165"/>
      <c r="G443" s="167"/>
      <c r="H443" s="168"/>
      <c r="I443" s="168"/>
    </row>
    <row r="444" spans="1:9">
      <c r="A444" s="165"/>
      <c r="B444" s="163"/>
      <c r="C444" s="169"/>
      <c r="D444" s="166"/>
      <c r="E444" s="166"/>
      <c r="F444" s="165"/>
      <c r="G444" s="167"/>
      <c r="H444" s="168"/>
      <c r="I444" s="168"/>
    </row>
    <row r="445" spans="1:9">
      <c r="A445" s="165"/>
      <c r="B445" s="163"/>
      <c r="C445" s="169"/>
      <c r="D445" s="166"/>
      <c r="E445" s="166"/>
      <c r="F445" s="165"/>
      <c r="G445" s="167"/>
      <c r="H445" s="168"/>
      <c r="I445" s="168"/>
    </row>
    <row r="446" spans="1:9">
      <c r="A446" s="165"/>
      <c r="B446" s="163"/>
      <c r="C446" s="169"/>
      <c r="D446" s="166"/>
      <c r="E446" s="166"/>
      <c r="F446" s="165"/>
      <c r="G446" s="167"/>
      <c r="H446" s="168"/>
      <c r="I446" s="168"/>
    </row>
    <row r="447" spans="1:9">
      <c r="A447" s="165"/>
      <c r="B447" s="163"/>
      <c r="C447" s="169"/>
      <c r="D447" s="166"/>
      <c r="E447" s="166"/>
      <c r="F447" s="165"/>
      <c r="G447" s="167"/>
      <c r="H447" s="168"/>
      <c r="I447" s="168"/>
    </row>
    <row r="448" spans="1:9">
      <c r="A448" s="165"/>
      <c r="B448" s="163"/>
      <c r="C448" s="169"/>
      <c r="D448" s="166"/>
      <c r="E448" s="166"/>
      <c r="F448" s="165"/>
      <c r="G448" s="167"/>
      <c r="H448" s="168"/>
      <c r="I448" s="168"/>
    </row>
    <row r="449" spans="1:9">
      <c r="A449" s="165"/>
      <c r="B449" s="163"/>
      <c r="C449" s="169"/>
      <c r="D449" s="166"/>
      <c r="E449" s="166"/>
      <c r="F449" s="165"/>
      <c r="G449" s="167"/>
      <c r="H449" s="168"/>
      <c r="I449" s="168"/>
    </row>
    <row r="450" spans="1:9">
      <c r="A450" s="165"/>
      <c r="B450" s="163"/>
      <c r="C450" s="169"/>
      <c r="D450" s="166"/>
      <c r="E450" s="166"/>
      <c r="F450" s="165"/>
      <c r="G450" s="167"/>
      <c r="H450" s="168"/>
      <c r="I450" s="168"/>
    </row>
    <row r="451" spans="1:9">
      <c r="A451" s="165"/>
      <c r="B451" s="163"/>
      <c r="C451" s="169"/>
      <c r="D451" s="166"/>
      <c r="E451" s="166"/>
      <c r="F451" s="165"/>
      <c r="G451" s="167"/>
      <c r="H451" s="168"/>
      <c r="I451" s="168"/>
    </row>
    <row r="452" spans="1:9">
      <c r="A452" s="165"/>
      <c r="B452" s="163"/>
      <c r="C452" s="169"/>
      <c r="D452" s="166"/>
      <c r="E452" s="166"/>
      <c r="F452" s="165"/>
      <c r="G452" s="167"/>
      <c r="H452" s="168"/>
      <c r="I452" s="168"/>
    </row>
    <row r="453" spans="1:9">
      <c r="A453" s="165"/>
      <c r="B453" s="163"/>
      <c r="C453" s="169"/>
      <c r="D453" s="166"/>
      <c r="E453" s="166"/>
      <c r="F453" s="165"/>
      <c r="G453" s="167"/>
      <c r="H453" s="168"/>
      <c r="I453" s="168"/>
    </row>
    <row r="454" spans="1:9">
      <c r="A454" s="165"/>
      <c r="B454" s="163"/>
      <c r="C454" s="169"/>
      <c r="D454" s="166"/>
      <c r="E454" s="166"/>
      <c r="F454" s="165"/>
      <c r="G454" s="167"/>
      <c r="H454" s="168"/>
      <c r="I454" s="168"/>
    </row>
    <row r="455" spans="1:9">
      <c r="A455" s="165"/>
      <c r="B455" s="163"/>
      <c r="C455" s="169"/>
      <c r="D455" s="166"/>
      <c r="E455" s="166"/>
      <c r="F455" s="165"/>
      <c r="G455" s="167"/>
      <c r="H455" s="168"/>
      <c r="I455" s="168"/>
    </row>
    <row r="456" spans="1:9">
      <c r="A456" s="165"/>
      <c r="B456" s="163"/>
      <c r="C456" s="169"/>
      <c r="D456" s="166"/>
      <c r="E456" s="166"/>
      <c r="F456" s="165"/>
      <c r="G456" s="167"/>
      <c r="H456" s="168"/>
      <c r="I456" s="168"/>
    </row>
    <row r="457" spans="1:9">
      <c r="A457" s="165"/>
      <c r="B457" s="163"/>
      <c r="C457" s="169"/>
      <c r="D457" s="166"/>
      <c r="E457" s="166"/>
      <c r="F457" s="165"/>
      <c r="G457" s="167"/>
      <c r="H457" s="168"/>
      <c r="I457" s="168"/>
    </row>
    <row r="458" spans="1:9">
      <c r="A458" s="165"/>
      <c r="B458" s="163"/>
      <c r="C458" s="169"/>
      <c r="D458" s="166"/>
      <c r="E458" s="166"/>
      <c r="F458" s="165"/>
      <c r="G458" s="167"/>
      <c r="H458" s="168"/>
      <c r="I458" s="168"/>
    </row>
    <row r="459" spans="1:9">
      <c r="A459" s="165"/>
      <c r="B459" s="163"/>
      <c r="C459" s="169"/>
      <c r="D459" s="166"/>
      <c r="E459" s="166"/>
      <c r="F459" s="165"/>
      <c r="G459" s="167"/>
      <c r="H459" s="168"/>
      <c r="I459" s="168"/>
    </row>
    <row r="460" spans="1:9">
      <c r="A460" s="165"/>
      <c r="B460" s="163"/>
      <c r="C460" s="169"/>
      <c r="D460" s="166"/>
      <c r="E460" s="166"/>
      <c r="F460" s="165"/>
      <c r="G460" s="167"/>
      <c r="H460" s="168"/>
      <c r="I460" s="168"/>
    </row>
    <row r="461" spans="1:9">
      <c r="A461" s="165"/>
      <c r="B461" s="163"/>
      <c r="C461" s="169"/>
      <c r="D461" s="166"/>
      <c r="E461" s="166"/>
      <c r="F461" s="165"/>
      <c r="G461" s="167"/>
      <c r="H461" s="168"/>
      <c r="I461" s="168"/>
    </row>
    <row r="462" spans="1:9">
      <c r="A462" s="165"/>
      <c r="B462" s="163"/>
      <c r="C462" s="169"/>
      <c r="D462" s="166"/>
      <c r="E462" s="166"/>
      <c r="F462" s="165"/>
      <c r="G462" s="167"/>
      <c r="H462" s="168"/>
      <c r="I462" s="168"/>
    </row>
    <row r="463" spans="1:9">
      <c r="A463" s="165"/>
      <c r="B463" s="163"/>
      <c r="C463" s="169"/>
      <c r="D463" s="166"/>
      <c r="E463" s="166"/>
      <c r="F463" s="165"/>
      <c r="G463" s="167"/>
      <c r="H463" s="168"/>
      <c r="I463" s="168"/>
    </row>
    <row r="464" spans="1:9">
      <c r="A464" s="165"/>
      <c r="B464" s="163"/>
      <c r="C464" s="169"/>
      <c r="D464" s="166"/>
      <c r="E464" s="166"/>
      <c r="F464" s="165"/>
      <c r="G464" s="167"/>
      <c r="H464" s="168"/>
      <c r="I464" s="168"/>
    </row>
    <row r="465" spans="1:9">
      <c r="A465" s="165"/>
      <c r="B465" s="163"/>
      <c r="C465" s="169"/>
      <c r="D465" s="166"/>
      <c r="E465" s="166"/>
      <c r="F465" s="165"/>
      <c r="G465" s="167"/>
      <c r="H465" s="168"/>
      <c r="I465" s="168"/>
    </row>
    <row r="466" spans="1:9">
      <c r="A466" s="165"/>
      <c r="B466" s="163"/>
      <c r="C466" s="169"/>
      <c r="D466" s="166"/>
      <c r="E466" s="166"/>
      <c r="F466" s="165"/>
      <c r="G466" s="167"/>
      <c r="H466" s="168"/>
      <c r="I466" s="168"/>
    </row>
    <row r="467" spans="1:9">
      <c r="A467" s="165"/>
      <c r="B467" s="163"/>
      <c r="C467" s="169"/>
      <c r="D467" s="166"/>
      <c r="E467" s="166"/>
      <c r="F467" s="165"/>
      <c r="G467" s="167"/>
      <c r="H467" s="168"/>
      <c r="I467" s="168"/>
    </row>
    <row r="468" spans="1:9">
      <c r="A468" s="165"/>
      <c r="B468" s="163"/>
      <c r="C468" s="169"/>
      <c r="D468" s="166"/>
      <c r="E468" s="166"/>
      <c r="F468" s="165"/>
      <c r="G468" s="167"/>
      <c r="H468" s="168"/>
      <c r="I468" s="168"/>
    </row>
    <row r="469" spans="1:9">
      <c r="A469" s="165"/>
      <c r="B469" s="163"/>
      <c r="C469" s="169"/>
      <c r="D469" s="166"/>
      <c r="E469" s="166"/>
      <c r="F469" s="165"/>
      <c r="G469" s="167"/>
      <c r="H469" s="168"/>
      <c r="I469" s="168"/>
    </row>
    <row r="470" spans="1:9">
      <c r="A470" s="165"/>
      <c r="B470" s="163"/>
      <c r="C470" s="169"/>
      <c r="D470" s="166"/>
      <c r="E470" s="166"/>
      <c r="F470" s="165"/>
      <c r="G470" s="167"/>
      <c r="H470" s="168"/>
      <c r="I470" s="168"/>
    </row>
    <row r="471" spans="1:9">
      <c r="A471" s="165"/>
      <c r="B471" s="163"/>
      <c r="C471" s="169"/>
      <c r="D471" s="166"/>
      <c r="E471" s="166"/>
      <c r="F471" s="165"/>
      <c r="G471" s="167"/>
      <c r="H471" s="168"/>
      <c r="I471" s="168"/>
    </row>
    <row r="472" spans="1:9">
      <c r="A472" s="165"/>
      <c r="B472" s="163"/>
      <c r="C472" s="169"/>
      <c r="D472" s="166"/>
      <c r="E472" s="166"/>
      <c r="F472" s="165"/>
      <c r="G472" s="167"/>
      <c r="H472" s="168"/>
      <c r="I472" s="168"/>
    </row>
    <row r="473" spans="1:9">
      <c r="A473" s="165"/>
      <c r="B473" s="163"/>
      <c r="C473" s="169"/>
      <c r="D473" s="166"/>
      <c r="E473" s="166"/>
      <c r="F473" s="165"/>
      <c r="G473" s="167"/>
      <c r="H473" s="168"/>
      <c r="I473" s="168"/>
    </row>
    <row r="474" spans="1:9">
      <c r="A474" s="165"/>
      <c r="B474" s="163"/>
      <c r="C474" s="169"/>
      <c r="D474" s="166"/>
      <c r="E474" s="166"/>
      <c r="F474" s="165"/>
      <c r="G474" s="167"/>
      <c r="H474" s="168"/>
      <c r="I474" s="168"/>
    </row>
    <row r="475" spans="1:9">
      <c r="A475" s="165"/>
      <c r="B475" s="163"/>
      <c r="C475" s="169"/>
      <c r="D475" s="166"/>
      <c r="E475" s="166"/>
      <c r="F475" s="165"/>
      <c r="G475" s="167"/>
      <c r="H475" s="168"/>
      <c r="I475" s="168"/>
    </row>
    <row r="476" spans="1:9">
      <c r="A476" s="165"/>
      <c r="B476" s="163"/>
      <c r="C476" s="169"/>
      <c r="D476" s="166"/>
      <c r="E476" s="166"/>
      <c r="F476" s="165"/>
      <c r="G476" s="167"/>
      <c r="H476" s="168"/>
      <c r="I476" s="168"/>
    </row>
    <row r="477" spans="1:9">
      <c r="A477" s="165"/>
      <c r="B477" s="163"/>
      <c r="C477" s="169"/>
      <c r="D477" s="166"/>
      <c r="E477" s="166"/>
      <c r="F477" s="165"/>
      <c r="G477" s="167"/>
      <c r="H477" s="168"/>
      <c r="I477" s="168"/>
    </row>
    <row r="478" spans="1:9">
      <c r="A478" s="165"/>
      <c r="B478" s="163"/>
      <c r="C478" s="169"/>
      <c r="D478" s="166"/>
      <c r="E478" s="166"/>
      <c r="F478" s="165"/>
      <c r="G478" s="167"/>
      <c r="H478" s="168"/>
      <c r="I478" s="168"/>
    </row>
    <row r="479" spans="1:9">
      <c r="A479" s="165"/>
      <c r="B479" s="163"/>
      <c r="C479" s="169"/>
      <c r="D479" s="166"/>
      <c r="E479" s="166"/>
      <c r="F479" s="165"/>
      <c r="G479" s="167"/>
      <c r="H479" s="168"/>
      <c r="I479" s="168"/>
    </row>
    <row r="480" spans="1:9">
      <c r="A480" s="165"/>
      <c r="B480" s="163"/>
      <c r="C480" s="169"/>
      <c r="D480" s="166"/>
      <c r="E480" s="166"/>
      <c r="F480" s="165"/>
      <c r="G480" s="167"/>
      <c r="H480" s="168"/>
      <c r="I480" s="168"/>
    </row>
    <row r="481" spans="1:9">
      <c r="A481" s="165"/>
      <c r="B481" s="163"/>
      <c r="C481" s="169"/>
      <c r="D481" s="166"/>
      <c r="E481" s="166"/>
      <c r="F481" s="165"/>
      <c r="G481" s="167"/>
      <c r="H481" s="168"/>
      <c r="I481" s="168"/>
    </row>
    <row r="482" spans="1:9">
      <c r="A482" s="165"/>
      <c r="B482" s="163"/>
      <c r="C482" s="169"/>
      <c r="D482" s="166"/>
      <c r="E482" s="166"/>
      <c r="F482" s="165"/>
      <c r="G482" s="167"/>
      <c r="H482" s="168"/>
      <c r="I482" s="168"/>
    </row>
    <row r="483" spans="1:9">
      <c r="A483" s="165"/>
      <c r="B483" s="163"/>
      <c r="C483" s="169"/>
      <c r="D483" s="166"/>
      <c r="E483" s="166"/>
      <c r="F483" s="165"/>
      <c r="G483" s="167"/>
      <c r="H483" s="168"/>
      <c r="I483" s="168"/>
    </row>
    <row r="484" spans="1:9">
      <c r="A484" s="165"/>
      <c r="B484" s="163"/>
      <c r="C484" s="169"/>
      <c r="D484" s="166"/>
      <c r="E484" s="166"/>
      <c r="F484" s="165"/>
      <c r="G484" s="167"/>
      <c r="H484" s="168"/>
      <c r="I484" s="168"/>
    </row>
    <row r="485" spans="1:9">
      <c r="A485" s="165"/>
      <c r="B485" s="163"/>
      <c r="C485" s="169"/>
      <c r="D485" s="166"/>
      <c r="E485" s="166"/>
      <c r="F485" s="165"/>
      <c r="G485" s="167"/>
      <c r="H485" s="168"/>
      <c r="I485" s="168"/>
    </row>
    <row r="486" spans="1:9">
      <c r="A486" s="165"/>
      <c r="B486" s="163"/>
      <c r="C486" s="169"/>
      <c r="D486" s="166"/>
      <c r="E486" s="166"/>
      <c r="F486" s="165"/>
      <c r="G486" s="167"/>
      <c r="H486" s="168"/>
      <c r="I486" s="168"/>
    </row>
    <row r="487" spans="1:9">
      <c r="A487" s="165"/>
      <c r="B487" s="163"/>
      <c r="C487" s="169"/>
      <c r="D487" s="166"/>
      <c r="E487" s="166"/>
      <c r="F487" s="165"/>
      <c r="G487" s="167"/>
      <c r="H487" s="168"/>
      <c r="I487" s="168"/>
    </row>
    <row r="488" spans="1:9">
      <c r="A488" s="165"/>
      <c r="B488" s="163"/>
      <c r="C488" s="169"/>
      <c r="D488" s="166"/>
      <c r="E488" s="166"/>
      <c r="F488" s="165"/>
      <c r="G488" s="167"/>
      <c r="H488" s="168"/>
      <c r="I488" s="168"/>
    </row>
    <row r="489" spans="1:9">
      <c r="A489" s="165"/>
      <c r="B489" s="163"/>
      <c r="C489" s="169"/>
      <c r="D489" s="166"/>
      <c r="E489" s="166"/>
      <c r="F489" s="165"/>
      <c r="G489" s="167"/>
      <c r="H489" s="168"/>
      <c r="I489" s="168"/>
    </row>
    <row r="490" spans="1:9">
      <c r="A490" s="165"/>
      <c r="B490" s="163"/>
      <c r="C490" s="169"/>
      <c r="D490" s="166"/>
      <c r="E490" s="166"/>
      <c r="F490" s="165"/>
      <c r="G490" s="167"/>
      <c r="H490" s="168"/>
      <c r="I490" s="168"/>
    </row>
    <row r="491" spans="1:9">
      <c r="A491" s="165"/>
      <c r="B491" s="163"/>
      <c r="C491" s="169"/>
      <c r="D491" s="166"/>
      <c r="E491" s="166"/>
      <c r="F491" s="165"/>
      <c r="G491" s="167"/>
      <c r="H491" s="168"/>
      <c r="I491" s="168"/>
    </row>
    <row r="492" spans="1:9">
      <c r="A492" s="165"/>
      <c r="B492" s="163"/>
      <c r="C492" s="169"/>
      <c r="D492" s="166"/>
      <c r="E492" s="166"/>
      <c r="F492" s="165"/>
      <c r="G492" s="167"/>
      <c r="H492" s="168"/>
      <c r="I492" s="168"/>
    </row>
    <row r="493" spans="1:9">
      <c r="A493" s="165"/>
      <c r="B493" s="163"/>
      <c r="C493" s="169"/>
      <c r="D493" s="166"/>
      <c r="E493" s="166"/>
      <c r="F493" s="165"/>
      <c r="G493" s="167"/>
      <c r="H493" s="168"/>
      <c r="I493" s="168"/>
    </row>
    <row r="494" spans="1:9">
      <c r="A494" s="165"/>
      <c r="B494" s="163"/>
      <c r="C494" s="169"/>
      <c r="D494" s="166"/>
      <c r="E494" s="166"/>
      <c r="F494" s="165"/>
      <c r="G494" s="167"/>
      <c r="H494" s="168"/>
      <c r="I494" s="168"/>
    </row>
    <row r="495" spans="1:9">
      <c r="A495" s="165"/>
      <c r="B495" s="163"/>
      <c r="C495" s="169"/>
      <c r="D495" s="166"/>
      <c r="E495" s="166"/>
      <c r="F495" s="165"/>
      <c r="G495" s="167"/>
      <c r="H495" s="168"/>
      <c r="I495" s="168"/>
    </row>
    <row r="496" spans="1:9">
      <c r="A496" s="165"/>
      <c r="B496" s="163"/>
      <c r="C496" s="169"/>
      <c r="D496" s="166"/>
      <c r="E496" s="166"/>
      <c r="F496" s="165"/>
      <c r="G496" s="167"/>
      <c r="H496" s="168"/>
      <c r="I496" s="168"/>
    </row>
    <row r="497" spans="1:9">
      <c r="A497" s="165"/>
      <c r="B497" s="163"/>
      <c r="C497" s="169"/>
      <c r="D497" s="166"/>
      <c r="E497" s="166"/>
      <c r="F497" s="165"/>
      <c r="G497" s="167"/>
      <c r="H497" s="168"/>
      <c r="I497" s="168"/>
    </row>
    <row r="498" spans="1:9">
      <c r="A498" s="165"/>
      <c r="B498" s="163"/>
      <c r="C498" s="169"/>
      <c r="D498" s="166"/>
      <c r="E498" s="166"/>
      <c r="F498" s="165"/>
      <c r="G498" s="167"/>
      <c r="H498" s="168"/>
      <c r="I498" s="168"/>
    </row>
    <row r="499" spans="1:9">
      <c r="A499" s="165"/>
      <c r="B499" s="163"/>
      <c r="C499" s="169"/>
      <c r="D499" s="166"/>
      <c r="E499" s="166"/>
      <c r="F499" s="165"/>
      <c r="G499" s="167"/>
      <c r="H499" s="168"/>
      <c r="I499" s="168"/>
    </row>
    <row r="500" spans="1:9">
      <c r="A500" s="165"/>
      <c r="B500" s="163"/>
      <c r="C500" s="169"/>
      <c r="D500" s="166"/>
      <c r="E500" s="166"/>
      <c r="F500" s="165"/>
      <c r="G500" s="167"/>
      <c r="H500" s="168"/>
      <c r="I500" s="168"/>
    </row>
    <row r="501" spans="1:9">
      <c r="A501" s="165"/>
      <c r="B501" s="163"/>
      <c r="C501" s="169"/>
      <c r="D501" s="166"/>
      <c r="E501" s="166"/>
      <c r="F501" s="165"/>
      <c r="G501" s="167"/>
      <c r="H501" s="168"/>
      <c r="I501" s="168"/>
    </row>
    <row r="502" spans="1:9">
      <c r="A502" s="165"/>
      <c r="B502" s="163"/>
      <c r="C502" s="169"/>
      <c r="D502" s="166"/>
      <c r="E502" s="166"/>
      <c r="F502" s="165"/>
      <c r="G502" s="167"/>
      <c r="H502" s="168"/>
      <c r="I502" s="168"/>
    </row>
    <row r="503" spans="1:9">
      <c r="A503" s="165"/>
      <c r="B503" s="163"/>
      <c r="C503" s="169"/>
      <c r="D503" s="166"/>
      <c r="E503" s="166"/>
      <c r="F503" s="165"/>
      <c r="G503" s="167"/>
      <c r="H503" s="168"/>
      <c r="I503" s="168"/>
    </row>
    <row r="504" spans="1:9">
      <c r="A504" s="165"/>
      <c r="B504" s="163"/>
      <c r="C504" s="169"/>
      <c r="D504" s="166"/>
      <c r="E504" s="166"/>
      <c r="F504" s="165"/>
      <c r="G504" s="167"/>
      <c r="H504" s="168"/>
      <c r="I504" s="168"/>
    </row>
    <row r="505" spans="1:9">
      <c r="A505" s="165"/>
      <c r="B505" s="163"/>
      <c r="C505" s="169"/>
      <c r="D505" s="166"/>
      <c r="E505" s="166"/>
      <c r="F505" s="165"/>
      <c r="G505" s="167"/>
      <c r="H505" s="168"/>
      <c r="I505" s="168"/>
    </row>
    <row r="506" spans="1:9">
      <c r="A506" s="165"/>
      <c r="B506" s="163"/>
      <c r="C506" s="169"/>
      <c r="D506" s="166"/>
      <c r="E506" s="166"/>
      <c r="F506" s="165"/>
      <c r="G506" s="167"/>
      <c r="H506" s="168"/>
      <c r="I506" s="168"/>
    </row>
    <row r="507" spans="1:9">
      <c r="A507" s="165"/>
      <c r="B507" s="163"/>
      <c r="C507" s="169"/>
      <c r="D507" s="166"/>
      <c r="E507" s="166"/>
      <c r="F507" s="165"/>
      <c r="G507" s="167"/>
      <c r="H507" s="168"/>
      <c r="I507" s="168"/>
    </row>
    <row r="508" spans="1:9">
      <c r="A508" s="165"/>
      <c r="B508" s="163"/>
      <c r="C508" s="169"/>
      <c r="D508" s="166"/>
      <c r="E508" s="166"/>
      <c r="F508" s="165"/>
      <c r="G508" s="167"/>
      <c r="H508" s="168"/>
      <c r="I508" s="168"/>
    </row>
    <row r="509" spans="1:9">
      <c r="A509" s="165"/>
      <c r="B509" s="163"/>
      <c r="C509" s="169"/>
      <c r="D509" s="166"/>
      <c r="E509" s="166"/>
      <c r="F509" s="165"/>
      <c r="G509" s="167"/>
      <c r="H509" s="168"/>
      <c r="I509" s="168"/>
    </row>
    <row r="510" spans="1:9">
      <c r="A510" s="165"/>
      <c r="B510" s="163"/>
      <c r="C510" s="169"/>
      <c r="D510" s="166"/>
      <c r="E510" s="166"/>
      <c r="F510" s="165"/>
      <c r="G510" s="167"/>
      <c r="H510" s="168"/>
      <c r="I510" s="168"/>
    </row>
    <row r="511" spans="1:9">
      <c r="A511" s="165"/>
      <c r="B511" s="163"/>
      <c r="C511" s="169"/>
      <c r="D511" s="166"/>
      <c r="E511" s="166"/>
      <c r="F511" s="165"/>
      <c r="G511" s="167"/>
      <c r="H511" s="168"/>
      <c r="I511" s="168"/>
    </row>
    <row r="512" spans="1:9">
      <c r="A512" s="165"/>
      <c r="B512" s="163"/>
      <c r="C512" s="169"/>
      <c r="D512" s="166"/>
      <c r="E512" s="166"/>
      <c r="F512" s="165"/>
      <c r="G512" s="167"/>
      <c r="H512" s="168"/>
      <c r="I512" s="168"/>
    </row>
    <row r="513" spans="1:9">
      <c r="A513" s="165"/>
      <c r="B513" s="163"/>
      <c r="C513" s="169"/>
      <c r="D513" s="166"/>
      <c r="E513" s="166"/>
      <c r="F513" s="165"/>
      <c r="G513" s="167"/>
      <c r="H513" s="168"/>
      <c r="I513" s="168"/>
    </row>
    <row r="514" spans="1:9">
      <c r="A514" s="165"/>
      <c r="B514" s="163"/>
      <c r="C514" s="169"/>
      <c r="D514" s="166"/>
      <c r="E514" s="166"/>
      <c r="F514" s="165"/>
      <c r="G514" s="167"/>
      <c r="H514" s="168"/>
      <c r="I514" s="168"/>
    </row>
    <row r="515" spans="1:9">
      <c r="A515" s="165"/>
      <c r="B515" s="163"/>
      <c r="C515" s="169"/>
      <c r="D515" s="166"/>
      <c r="E515" s="166"/>
      <c r="F515" s="165"/>
      <c r="G515" s="167"/>
      <c r="H515" s="168"/>
      <c r="I515" s="168"/>
    </row>
    <row r="516" spans="1:9">
      <c r="A516" s="165"/>
      <c r="B516" s="163"/>
      <c r="C516" s="169"/>
      <c r="D516" s="166"/>
      <c r="E516" s="166"/>
      <c r="F516" s="165"/>
      <c r="G516" s="167"/>
      <c r="H516" s="168"/>
      <c r="I516" s="168"/>
    </row>
    <row r="517" spans="1:9">
      <c r="A517" s="165"/>
      <c r="B517" s="163"/>
      <c r="C517" s="169"/>
      <c r="D517" s="166"/>
      <c r="E517" s="166"/>
      <c r="F517" s="165"/>
      <c r="G517" s="167"/>
      <c r="H517" s="168"/>
      <c r="I517" s="168"/>
    </row>
    <row r="518" spans="1:9">
      <c r="A518" s="165"/>
      <c r="B518" s="163"/>
      <c r="C518" s="169"/>
      <c r="D518" s="166"/>
      <c r="E518" s="166"/>
      <c r="F518" s="165"/>
      <c r="G518" s="167"/>
      <c r="H518" s="168"/>
      <c r="I518" s="168"/>
    </row>
    <row r="519" spans="1:9">
      <c r="A519" s="165"/>
      <c r="B519" s="163"/>
      <c r="C519" s="169"/>
      <c r="D519" s="166"/>
      <c r="E519" s="166"/>
      <c r="F519" s="165"/>
      <c r="G519" s="167"/>
      <c r="H519" s="168"/>
      <c r="I519" s="168"/>
    </row>
    <row r="520" spans="1:9">
      <c r="A520" s="165"/>
      <c r="B520" s="163"/>
      <c r="C520" s="169"/>
      <c r="D520" s="166"/>
      <c r="E520" s="166"/>
      <c r="F520" s="165"/>
      <c r="G520" s="167"/>
      <c r="H520" s="168"/>
      <c r="I520" s="168"/>
    </row>
    <row r="521" spans="1:9">
      <c r="A521" s="165"/>
      <c r="B521" s="163"/>
      <c r="C521" s="169"/>
      <c r="D521" s="166"/>
      <c r="E521" s="166"/>
      <c r="F521" s="165"/>
      <c r="G521" s="167"/>
      <c r="H521" s="168"/>
      <c r="I521" s="168"/>
    </row>
    <row r="522" spans="1:9">
      <c r="A522" s="165"/>
      <c r="B522" s="163"/>
      <c r="C522" s="169"/>
      <c r="D522" s="166"/>
      <c r="E522" s="166"/>
      <c r="F522" s="165"/>
      <c r="G522" s="167"/>
      <c r="H522" s="168"/>
      <c r="I522" s="168"/>
    </row>
    <row r="523" spans="1:9">
      <c r="A523" s="165"/>
      <c r="B523" s="163"/>
      <c r="C523" s="169"/>
      <c r="D523" s="166"/>
      <c r="E523" s="166"/>
      <c r="F523" s="165"/>
      <c r="G523" s="167"/>
      <c r="H523" s="168"/>
      <c r="I523" s="168"/>
    </row>
    <row r="524" spans="1:9">
      <c r="A524" s="165"/>
      <c r="B524" s="163"/>
      <c r="C524" s="169"/>
      <c r="D524" s="166"/>
      <c r="E524" s="166"/>
      <c r="F524" s="165"/>
      <c r="G524" s="167"/>
      <c r="H524" s="168"/>
      <c r="I524" s="168"/>
    </row>
    <row r="525" spans="1:9">
      <c r="A525" s="165"/>
      <c r="B525" s="163"/>
      <c r="C525" s="169"/>
      <c r="D525" s="166"/>
      <c r="E525" s="166"/>
      <c r="F525" s="165"/>
      <c r="G525" s="167"/>
      <c r="H525" s="168"/>
      <c r="I525" s="168"/>
    </row>
    <row r="526" spans="1:9">
      <c r="A526" s="165"/>
      <c r="B526" s="163"/>
      <c r="C526" s="169"/>
      <c r="D526" s="166"/>
      <c r="E526" s="166"/>
      <c r="F526" s="165"/>
      <c r="G526" s="167"/>
      <c r="H526" s="168"/>
      <c r="I526" s="168"/>
    </row>
    <row r="527" spans="1:9">
      <c r="A527" s="165"/>
      <c r="B527" s="163"/>
      <c r="C527" s="169"/>
      <c r="D527" s="166"/>
      <c r="E527" s="166"/>
      <c r="F527" s="165"/>
      <c r="G527" s="167"/>
      <c r="H527" s="168"/>
      <c r="I527" s="168"/>
    </row>
    <row r="528" spans="1:9">
      <c r="A528" s="165"/>
      <c r="B528" s="163"/>
      <c r="C528" s="169"/>
      <c r="D528" s="166"/>
      <c r="E528" s="166"/>
      <c r="F528" s="165"/>
      <c r="G528" s="167"/>
      <c r="H528" s="168"/>
      <c r="I528" s="168"/>
    </row>
    <row r="529" spans="1:9">
      <c r="A529" s="165"/>
      <c r="B529" s="163"/>
      <c r="C529" s="169"/>
      <c r="D529" s="166"/>
      <c r="E529" s="166"/>
      <c r="F529" s="165"/>
      <c r="G529" s="167"/>
      <c r="H529" s="168"/>
      <c r="I529" s="168"/>
    </row>
    <row r="530" spans="1:9">
      <c r="A530" s="165"/>
      <c r="B530" s="163"/>
      <c r="C530" s="169"/>
      <c r="D530" s="166"/>
      <c r="E530" s="166"/>
      <c r="F530" s="165"/>
      <c r="G530" s="167"/>
      <c r="H530" s="168"/>
      <c r="I530" s="168"/>
    </row>
    <row r="531" spans="1:9">
      <c r="A531" s="165"/>
      <c r="B531" s="163"/>
      <c r="C531" s="169"/>
      <c r="D531" s="166"/>
      <c r="E531" s="166"/>
      <c r="F531" s="165"/>
      <c r="G531" s="167"/>
      <c r="H531" s="168"/>
      <c r="I531" s="168"/>
    </row>
    <row r="532" spans="1:9">
      <c r="A532" s="165"/>
      <c r="B532" s="163"/>
      <c r="C532" s="169"/>
      <c r="D532" s="166"/>
      <c r="E532" s="166"/>
      <c r="F532" s="165"/>
      <c r="G532" s="167"/>
      <c r="H532" s="168"/>
      <c r="I532" s="168"/>
    </row>
    <row r="533" spans="1:9">
      <c r="A533" s="165"/>
      <c r="B533" s="163"/>
      <c r="C533" s="169"/>
      <c r="D533" s="166"/>
      <c r="E533" s="166"/>
      <c r="F533" s="165"/>
      <c r="G533" s="167"/>
      <c r="H533" s="168"/>
      <c r="I533" s="168"/>
    </row>
    <row r="534" spans="1:9">
      <c r="A534" s="165"/>
      <c r="B534" s="163"/>
      <c r="C534" s="169"/>
      <c r="D534" s="166"/>
      <c r="E534" s="166"/>
      <c r="F534" s="165"/>
      <c r="G534" s="167"/>
      <c r="H534" s="168"/>
      <c r="I534" s="168"/>
    </row>
    <row r="535" spans="1:9">
      <c r="A535" s="165"/>
      <c r="B535" s="163"/>
      <c r="C535" s="169"/>
      <c r="D535" s="166"/>
      <c r="E535" s="166"/>
      <c r="F535" s="165"/>
      <c r="G535" s="167"/>
      <c r="H535" s="168"/>
      <c r="I535" s="168"/>
    </row>
    <row r="536" spans="1:9">
      <c r="A536" s="165"/>
      <c r="B536" s="163"/>
      <c r="C536" s="169"/>
      <c r="D536" s="166"/>
      <c r="E536" s="166"/>
      <c r="F536" s="165"/>
      <c r="G536" s="167"/>
      <c r="H536" s="168"/>
      <c r="I536" s="168"/>
    </row>
    <row r="537" spans="1:9">
      <c r="A537" s="165"/>
      <c r="B537" s="163"/>
      <c r="C537" s="169"/>
      <c r="D537" s="166"/>
      <c r="E537" s="166"/>
      <c r="F537" s="165"/>
      <c r="G537" s="167"/>
      <c r="H537" s="168"/>
      <c r="I537" s="168"/>
    </row>
    <row r="538" spans="1:9">
      <c r="A538" s="165"/>
      <c r="B538" s="163"/>
      <c r="C538" s="169"/>
      <c r="D538" s="166"/>
      <c r="E538" s="166"/>
      <c r="F538" s="165"/>
      <c r="G538" s="167"/>
      <c r="H538" s="168"/>
      <c r="I538" s="168"/>
    </row>
    <row r="539" spans="1:9">
      <c r="A539" s="165"/>
      <c r="B539" s="163"/>
      <c r="C539" s="169"/>
      <c r="D539" s="166"/>
      <c r="E539" s="166"/>
      <c r="F539" s="165"/>
      <c r="G539" s="167"/>
      <c r="H539" s="168"/>
      <c r="I539" s="168"/>
    </row>
    <row r="540" spans="1:9">
      <c r="A540" s="165"/>
      <c r="B540" s="163"/>
      <c r="C540" s="169"/>
      <c r="D540" s="166"/>
      <c r="E540" s="166"/>
      <c r="F540" s="165"/>
      <c r="G540" s="167"/>
      <c r="H540" s="168"/>
      <c r="I540" s="168"/>
    </row>
    <row r="541" spans="1:9">
      <c r="A541" s="165"/>
      <c r="B541" s="163"/>
      <c r="C541" s="169"/>
      <c r="D541" s="166"/>
      <c r="E541" s="166"/>
      <c r="F541" s="165"/>
      <c r="G541" s="167"/>
      <c r="H541" s="168"/>
      <c r="I541" s="168"/>
    </row>
    <row r="542" spans="1:9">
      <c r="A542" s="165"/>
      <c r="B542" s="163"/>
      <c r="C542" s="169"/>
      <c r="D542" s="166"/>
      <c r="E542" s="166"/>
      <c r="F542" s="165"/>
      <c r="G542" s="167"/>
      <c r="H542" s="168"/>
      <c r="I542" s="168"/>
    </row>
    <row r="543" spans="1:9">
      <c r="A543" s="165"/>
      <c r="B543" s="163"/>
      <c r="C543" s="169"/>
      <c r="D543" s="166"/>
      <c r="E543" s="166"/>
      <c r="F543" s="165"/>
      <c r="G543" s="167"/>
      <c r="H543" s="168"/>
      <c r="I543" s="168"/>
    </row>
    <row r="544" spans="1:9">
      <c r="A544" s="165"/>
      <c r="B544" s="163"/>
      <c r="C544" s="169"/>
      <c r="D544" s="166"/>
      <c r="E544" s="166"/>
      <c r="F544" s="165"/>
      <c r="G544" s="167"/>
      <c r="H544" s="168"/>
      <c r="I544" s="168"/>
    </row>
    <row r="545" spans="1:9">
      <c r="A545" s="165"/>
      <c r="B545" s="163"/>
      <c r="C545" s="169"/>
      <c r="D545" s="166"/>
      <c r="E545" s="166"/>
      <c r="F545" s="165"/>
      <c r="G545" s="167"/>
      <c r="H545" s="168"/>
      <c r="I545" s="168"/>
    </row>
    <row r="546" spans="1:9">
      <c r="A546" s="165"/>
      <c r="B546" s="163"/>
      <c r="C546" s="169"/>
      <c r="D546" s="166"/>
      <c r="E546" s="166"/>
      <c r="F546" s="165"/>
      <c r="G546" s="167"/>
      <c r="H546" s="168"/>
      <c r="I546" s="168"/>
    </row>
    <row r="547" spans="1:9">
      <c r="A547" s="165"/>
      <c r="B547" s="163"/>
      <c r="C547" s="169"/>
      <c r="D547" s="166"/>
      <c r="E547" s="166"/>
      <c r="F547" s="165"/>
      <c r="G547" s="167"/>
      <c r="H547" s="168"/>
      <c r="I547" s="168"/>
    </row>
    <row r="548" spans="1:9">
      <c r="A548" s="165"/>
      <c r="B548" s="163"/>
      <c r="C548" s="169"/>
      <c r="D548" s="166"/>
      <c r="E548" s="166"/>
      <c r="F548" s="165"/>
      <c r="G548" s="167"/>
      <c r="H548" s="168"/>
      <c r="I548" s="168"/>
    </row>
    <row r="549" spans="1:9">
      <c r="A549" s="165"/>
      <c r="B549" s="163"/>
      <c r="C549" s="169"/>
      <c r="D549" s="166"/>
      <c r="E549" s="166"/>
      <c r="F549" s="165"/>
      <c r="G549" s="167"/>
      <c r="H549" s="168"/>
      <c r="I549" s="168"/>
    </row>
    <row r="550" spans="1:9">
      <c r="A550" s="165"/>
      <c r="B550" s="163"/>
      <c r="C550" s="169"/>
      <c r="D550" s="166"/>
      <c r="E550" s="166"/>
      <c r="F550" s="165"/>
      <c r="G550" s="167"/>
      <c r="H550" s="168"/>
      <c r="I550" s="168"/>
    </row>
    <row r="551" spans="1:9">
      <c r="A551" s="165"/>
      <c r="B551" s="163"/>
      <c r="C551" s="169"/>
      <c r="D551" s="166"/>
      <c r="E551" s="166"/>
      <c r="F551" s="165"/>
      <c r="G551" s="167"/>
      <c r="H551" s="168"/>
      <c r="I551" s="168"/>
    </row>
    <row r="552" spans="1:9">
      <c r="A552" s="165"/>
      <c r="B552" s="163"/>
      <c r="C552" s="169"/>
      <c r="D552" s="166"/>
      <c r="E552" s="166"/>
      <c r="F552" s="165"/>
      <c r="G552" s="167"/>
      <c r="H552" s="168"/>
      <c r="I552" s="168"/>
    </row>
    <row r="553" spans="1:9">
      <c r="A553" s="165"/>
      <c r="B553" s="163"/>
      <c r="C553" s="169"/>
      <c r="D553" s="166"/>
      <c r="E553" s="166"/>
      <c r="F553" s="165"/>
      <c r="G553" s="167"/>
      <c r="H553" s="168"/>
      <c r="I553" s="168"/>
    </row>
    <row r="554" spans="1:9">
      <c r="A554" s="165"/>
      <c r="B554" s="163"/>
      <c r="C554" s="169"/>
      <c r="D554" s="166"/>
      <c r="E554" s="166"/>
      <c r="F554" s="165"/>
      <c r="G554" s="167"/>
      <c r="H554" s="168"/>
      <c r="I554" s="168"/>
    </row>
    <row r="555" spans="1:9">
      <c r="A555" s="165"/>
      <c r="B555" s="163"/>
      <c r="C555" s="169"/>
      <c r="D555" s="166"/>
      <c r="E555" s="166"/>
      <c r="F555" s="165"/>
      <c r="G555" s="167"/>
      <c r="H555" s="168"/>
      <c r="I555" s="168"/>
    </row>
    <row r="556" spans="1:9">
      <c r="A556" s="165"/>
      <c r="B556" s="163"/>
      <c r="C556" s="169"/>
      <c r="D556" s="166"/>
      <c r="E556" s="166"/>
      <c r="F556" s="165"/>
      <c r="G556" s="167"/>
      <c r="H556" s="168"/>
      <c r="I556" s="168"/>
    </row>
    <row r="557" spans="1:9">
      <c r="A557" s="165"/>
      <c r="B557" s="163"/>
      <c r="C557" s="169"/>
      <c r="D557" s="166"/>
      <c r="E557" s="166"/>
      <c r="F557" s="165"/>
      <c r="G557" s="167"/>
      <c r="H557" s="168"/>
      <c r="I557" s="168"/>
    </row>
    <row r="558" spans="1:9">
      <c r="A558" s="165"/>
      <c r="B558" s="163"/>
      <c r="C558" s="169"/>
      <c r="D558" s="166"/>
      <c r="E558" s="166"/>
      <c r="F558" s="165"/>
      <c r="G558" s="167"/>
      <c r="H558" s="168"/>
      <c r="I558" s="168"/>
    </row>
    <row r="559" spans="1:9">
      <c r="A559" s="165"/>
      <c r="B559" s="163"/>
      <c r="C559" s="169"/>
      <c r="D559" s="166"/>
      <c r="E559" s="166"/>
      <c r="F559" s="165"/>
      <c r="G559" s="167"/>
      <c r="H559" s="168"/>
      <c r="I559" s="168"/>
    </row>
    <row r="560" spans="1:9">
      <c r="A560" s="165"/>
      <c r="B560" s="163"/>
      <c r="C560" s="169"/>
      <c r="D560" s="166"/>
      <c r="E560" s="166"/>
      <c r="F560" s="165"/>
      <c r="G560" s="167"/>
      <c r="H560" s="168"/>
      <c r="I560" s="168"/>
    </row>
    <row r="561" spans="1:9">
      <c r="A561" s="165"/>
      <c r="B561" s="163"/>
      <c r="C561" s="169"/>
      <c r="D561" s="166"/>
      <c r="E561" s="166"/>
      <c r="F561" s="165"/>
      <c r="G561" s="167"/>
      <c r="H561" s="168"/>
      <c r="I561" s="168"/>
    </row>
    <row r="562" spans="1:9">
      <c r="A562" s="165"/>
      <c r="B562" s="163"/>
      <c r="C562" s="169"/>
      <c r="D562" s="166"/>
      <c r="E562" s="166"/>
      <c r="F562" s="165"/>
      <c r="G562" s="167"/>
      <c r="H562" s="168"/>
      <c r="I562" s="168"/>
    </row>
    <row r="563" spans="1:9">
      <c r="A563" s="165"/>
      <c r="B563" s="163"/>
      <c r="C563" s="169"/>
      <c r="D563" s="166"/>
      <c r="E563" s="166"/>
      <c r="F563" s="165"/>
      <c r="G563" s="167"/>
      <c r="H563" s="168"/>
      <c r="I563" s="168"/>
    </row>
    <row r="564" spans="1:9">
      <c r="A564" s="165"/>
      <c r="B564" s="163"/>
      <c r="C564" s="169"/>
      <c r="D564" s="166"/>
      <c r="E564" s="166"/>
      <c r="F564" s="165"/>
      <c r="G564" s="167"/>
      <c r="H564" s="168"/>
      <c r="I564" s="168"/>
    </row>
    <row r="565" spans="1:9">
      <c r="A565" s="165"/>
      <c r="B565" s="163"/>
      <c r="C565" s="169"/>
      <c r="D565" s="166"/>
      <c r="E565" s="166"/>
      <c r="F565" s="165"/>
      <c r="G565" s="167"/>
      <c r="H565" s="168"/>
      <c r="I565" s="168"/>
    </row>
    <row r="566" spans="1:9">
      <c r="A566" s="165"/>
      <c r="B566" s="163"/>
      <c r="C566" s="169"/>
      <c r="D566" s="166"/>
      <c r="E566" s="166"/>
      <c r="F566" s="165"/>
      <c r="G566" s="167"/>
      <c r="H566" s="168"/>
      <c r="I566" s="168"/>
    </row>
    <row r="567" spans="1:9">
      <c r="A567" s="165"/>
      <c r="B567" s="163"/>
      <c r="C567" s="169"/>
      <c r="D567" s="166"/>
      <c r="E567" s="166"/>
      <c r="F567" s="165"/>
      <c r="G567" s="167"/>
      <c r="H567" s="168"/>
      <c r="I567" s="168"/>
    </row>
    <row r="568" spans="1:9">
      <c r="A568" s="165"/>
      <c r="B568" s="163"/>
      <c r="C568" s="169"/>
      <c r="D568" s="166"/>
      <c r="E568" s="166"/>
      <c r="F568" s="165"/>
      <c r="G568" s="167"/>
      <c r="H568" s="168"/>
      <c r="I568" s="168"/>
    </row>
    <row r="569" spans="1:9">
      <c r="A569" s="165"/>
      <c r="B569" s="163"/>
      <c r="C569" s="169"/>
      <c r="D569" s="166"/>
      <c r="E569" s="166"/>
      <c r="F569" s="165"/>
      <c r="G569" s="167"/>
      <c r="H569" s="168"/>
      <c r="I569" s="168"/>
    </row>
    <row r="570" spans="1:9">
      <c r="A570" s="165"/>
      <c r="B570" s="163"/>
      <c r="C570" s="169"/>
      <c r="D570" s="166"/>
      <c r="E570" s="166"/>
      <c r="F570" s="165"/>
      <c r="G570" s="167"/>
      <c r="H570" s="168"/>
      <c r="I570" s="168"/>
    </row>
    <row r="571" spans="1:9">
      <c r="A571" s="165"/>
      <c r="B571" s="163"/>
      <c r="C571" s="169"/>
      <c r="D571" s="166"/>
      <c r="E571" s="166"/>
      <c r="F571" s="165"/>
      <c r="G571" s="167"/>
      <c r="H571" s="168"/>
      <c r="I571" s="168"/>
    </row>
    <row r="572" spans="1:9">
      <c r="A572" s="165"/>
      <c r="B572" s="163"/>
      <c r="C572" s="169"/>
      <c r="D572" s="166"/>
      <c r="E572" s="166"/>
      <c r="F572" s="165"/>
      <c r="G572" s="167"/>
      <c r="H572" s="168"/>
      <c r="I572" s="168"/>
    </row>
    <row r="573" spans="1:9">
      <c r="A573" s="165"/>
      <c r="B573" s="163"/>
      <c r="C573" s="169"/>
      <c r="D573" s="166"/>
      <c r="E573" s="166"/>
      <c r="F573" s="165"/>
      <c r="G573" s="167"/>
      <c r="H573" s="168"/>
      <c r="I573" s="168"/>
    </row>
    <row r="574" spans="1:9">
      <c r="A574" s="165"/>
      <c r="B574" s="163"/>
      <c r="C574" s="169"/>
      <c r="D574" s="166"/>
      <c r="E574" s="166"/>
      <c r="F574" s="165"/>
      <c r="G574" s="167"/>
      <c r="H574" s="168"/>
      <c r="I574" s="168"/>
    </row>
    <row r="575" spans="1:9">
      <c r="A575" s="165"/>
      <c r="B575" s="163"/>
      <c r="C575" s="169"/>
      <c r="D575" s="166"/>
      <c r="E575" s="166"/>
      <c r="F575" s="165"/>
      <c r="G575" s="167"/>
      <c r="H575" s="168"/>
      <c r="I575" s="168"/>
    </row>
    <row r="576" spans="1:9">
      <c r="A576" s="165"/>
      <c r="B576" s="163"/>
      <c r="C576" s="169"/>
      <c r="D576" s="166"/>
      <c r="E576" s="166"/>
      <c r="F576" s="165"/>
      <c r="G576" s="167"/>
      <c r="H576" s="168"/>
      <c r="I576" s="168"/>
    </row>
    <row r="577" spans="1:9">
      <c r="A577" s="165"/>
      <c r="B577" s="163"/>
      <c r="C577" s="169"/>
      <c r="D577" s="166"/>
      <c r="E577" s="166"/>
      <c r="F577" s="165"/>
      <c r="G577" s="167"/>
      <c r="H577" s="168"/>
      <c r="I577" s="168"/>
    </row>
    <row r="578" spans="1:9">
      <c r="A578" s="165"/>
      <c r="B578" s="163"/>
      <c r="C578" s="169"/>
      <c r="D578" s="166"/>
      <c r="E578" s="166"/>
      <c r="F578" s="165"/>
      <c r="G578" s="167"/>
      <c r="H578" s="168"/>
      <c r="I578" s="168"/>
    </row>
    <row r="579" spans="1:9">
      <c r="A579" s="165"/>
      <c r="B579" s="163"/>
      <c r="C579" s="169"/>
      <c r="D579" s="166"/>
      <c r="E579" s="166"/>
      <c r="F579" s="165"/>
      <c r="G579" s="167"/>
      <c r="H579" s="168"/>
      <c r="I579" s="168"/>
    </row>
    <row r="580" spans="1:9">
      <c r="A580" s="165"/>
      <c r="B580" s="163"/>
      <c r="C580" s="169"/>
      <c r="D580" s="166"/>
      <c r="E580" s="166"/>
      <c r="F580" s="165"/>
      <c r="G580" s="167"/>
      <c r="H580" s="168"/>
      <c r="I580" s="168"/>
    </row>
    <row r="581" spans="1:9">
      <c r="A581" s="165"/>
      <c r="B581" s="163"/>
      <c r="C581" s="169"/>
      <c r="D581" s="166"/>
      <c r="E581" s="166"/>
      <c r="F581" s="165"/>
      <c r="G581" s="167"/>
      <c r="H581" s="168"/>
      <c r="I581" s="168"/>
    </row>
    <row r="582" spans="1:9">
      <c r="A582" s="165"/>
      <c r="B582" s="163"/>
      <c r="C582" s="169"/>
      <c r="D582" s="166"/>
      <c r="E582" s="166"/>
      <c r="F582" s="165"/>
      <c r="G582" s="167"/>
      <c r="H582" s="168"/>
      <c r="I582" s="168"/>
    </row>
    <row r="583" spans="1:9">
      <c r="A583" s="165"/>
      <c r="B583" s="163"/>
      <c r="C583" s="169"/>
      <c r="D583" s="166"/>
      <c r="E583" s="166"/>
      <c r="F583" s="165"/>
      <c r="G583" s="167"/>
      <c r="H583" s="168"/>
      <c r="I583" s="168"/>
    </row>
    <row r="584" spans="1:9">
      <c r="A584" s="165"/>
      <c r="B584" s="163"/>
      <c r="C584" s="169"/>
      <c r="D584" s="166"/>
      <c r="E584" s="166"/>
      <c r="F584" s="165"/>
      <c r="G584" s="167"/>
      <c r="H584" s="168"/>
      <c r="I584" s="168"/>
    </row>
    <row r="585" spans="1:9">
      <c r="A585" s="165"/>
      <c r="B585" s="163"/>
      <c r="C585" s="169"/>
      <c r="D585" s="166"/>
      <c r="E585" s="166"/>
      <c r="F585" s="165"/>
      <c r="G585" s="167"/>
      <c r="H585" s="168"/>
      <c r="I585" s="168"/>
    </row>
    <row r="586" spans="1:9">
      <c r="A586" s="165"/>
      <c r="B586" s="163"/>
      <c r="C586" s="169"/>
      <c r="D586" s="166"/>
      <c r="E586" s="166"/>
      <c r="F586" s="165"/>
      <c r="G586" s="167"/>
      <c r="H586" s="168"/>
      <c r="I586" s="168"/>
    </row>
    <row r="587" spans="1:9">
      <c r="A587" s="165"/>
      <c r="B587" s="163"/>
      <c r="C587" s="169"/>
      <c r="D587" s="166"/>
      <c r="E587" s="166"/>
      <c r="F587" s="165"/>
      <c r="G587" s="167"/>
      <c r="H587" s="168"/>
      <c r="I587" s="168"/>
    </row>
    <row r="588" spans="1:9">
      <c r="A588" s="165"/>
      <c r="B588" s="163"/>
      <c r="C588" s="169"/>
      <c r="D588" s="166"/>
      <c r="E588" s="166"/>
      <c r="F588" s="165"/>
      <c r="G588" s="167"/>
      <c r="H588" s="168"/>
      <c r="I588" s="168"/>
    </row>
    <row r="589" spans="1:9">
      <c r="A589" s="165"/>
      <c r="B589" s="163"/>
      <c r="C589" s="169"/>
      <c r="D589" s="166"/>
      <c r="E589" s="166"/>
      <c r="F589" s="165"/>
      <c r="G589" s="167"/>
      <c r="H589" s="168"/>
      <c r="I589" s="168"/>
    </row>
    <row r="590" spans="1:9">
      <c r="A590" s="165"/>
      <c r="B590" s="163"/>
      <c r="C590" s="169"/>
      <c r="D590" s="166"/>
      <c r="E590" s="166"/>
      <c r="F590" s="165"/>
      <c r="G590" s="167"/>
      <c r="H590" s="168"/>
      <c r="I590" s="168"/>
    </row>
    <row r="591" spans="1:9">
      <c r="A591" s="165"/>
      <c r="B591" s="163"/>
      <c r="C591" s="169"/>
      <c r="D591" s="166"/>
      <c r="E591" s="166"/>
      <c r="F591" s="165"/>
      <c r="G591" s="167"/>
      <c r="H591" s="168"/>
      <c r="I591" s="168"/>
    </row>
    <row r="592" spans="1:9">
      <c r="A592" s="165"/>
      <c r="B592" s="163"/>
      <c r="C592" s="169"/>
      <c r="D592" s="166"/>
      <c r="E592" s="166"/>
      <c r="F592" s="165"/>
      <c r="G592" s="167"/>
      <c r="H592" s="168"/>
      <c r="I592" s="168"/>
    </row>
    <row r="593" spans="1:9">
      <c r="A593" s="165"/>
      <c r="B593" s="163"/>
      <c r="C593" s="169"/>
      <c r="D593" s="166"/>
      <c r="E593" s="166"/>
      <c r="F593" s="165"/>
      <c r="G593" s="167"/>
      <c r="H593" s="168"/>
      <c r="I593" s="168"/>
    </row>
    <row r="594" spans="1:9">
      <c r="A594" s="165"/>
      <c r="B594" s="163"/>
      <c r="C594" s="169"/>
      <c r="D594" s="166"/>
      <c r="E594" s="166"/>
      <c r="F594" s="165"/>
      <c r="G594" s="167"/>
      <c r="H594" s="168"/>
      <c r="I594" s="168"/>
    </row>
    <row r="595" spans="1:9">
      <c r="A595" s="165"/>
      <c r="B595" s="163"/>
      <c r="C595" s="169"/>
      <c r="D595" s="166"/>
      <c r="E595" s="166"/>
      <c r="F595" s="165"/>
      <c r="G595" s="167"/>
      <c r="H595" s="168"/>
      <c r="I595" s="168"/>
    </row>
    <row r="596" spans="1:9">
      <c r="A596" s="165"/>
      <c r="B596" s="163"/>
      <c r="C596" s="169"/>
      <c r="D596" s="166"/>
      <c r="E596" s="166"/>
      <c r="F596" s="165"/>
      <c r="G596" s="167"/>
      <c r="H596" s="168"/>
      <c r="I596" s="168"/>
    </row>
    <row r="597" spans="1:9">
      <c r="A597" s="165"/>
      <c r="B597" s="163"/>
      <c r="C597" s="169"/>
      <c r="D597" s="166"/>
      <c r="E597" s="166"/>
      <c r="F597" s="165"/>
      <c r="G597" s="167"/>
      <c r="H597" s="168"/>
      <c r="I597" s="168"/>
    </row>
    <row r="598" spans="1:9">
      <c r="A598" s="165"/>
      <c r="B598" s="163"/>
      <c r="C598" s="169"/>
      <c r="D598" s="166"/>
      <c r="E598" s="166"/>
      <c r="F598" s="165"/>
      <c r="G598" s="167"/>
      <c r="H598" s="168"/>
      <c r="I598" s="168"/>
    </row>
    <row r="599" spans="1:9">
      <c r="A599" s="165"/>
      <c r="B599" s="163"/>
      <c r="C599" s="169"/>
      <c r="D599" s="166"/>
      <c r="E599" s="166"/>
      <c r="F599" s="165"/>
      <c r="G599" s="167"/>
      <c r="H599" s="168"/>
      <c r="I599" s="168"/>
    </row>
    <row r="600" spans="1:9">
      <c r="A600" s="165"/>
      <c r="B600" s="163"/>
      <c r="C600" s="169"/>
      <c r="D600" s="166"/>
      <c r="E600" s="166"/>
      <c r="F600" s="165"/>
      <c r="G600" s="167"/>
      <c r="H600" s="168"/>
      <c r="I600" s="168"/>
    </row>
    <row r="601" spans="1:9">
      <c r="A601" s="165"/>
      <c r="B601" s="163"/>
      <c r="C601" s="169"/>
      <c r="D601" s="166"/>
      <c r="E601" s="166"/>
      <c r="F601" s="165"/>
      <c r="G601" s="167"/>
      <c r="H601" s="168"/>
      <c r="I601" s="168"/>
    </row>
    <row r="602" spans="1:9">
      <c r="A602" s="165"/>
      <c r="B602" s="163"/>
      <c r="C602" s="169"/>
      <c r="D602" s="166"/>
      <c r="E602" s="166"/>
      <c r="F602" s="165"/>
      <c r="G602" s="167"/>
      <c r="H602" s="168"/>
      <c r="I602" s="168"/>
    </row>
    <row r="603" spans="1:9">
      <c r="A603" s="165"/>
      <c r="B603" s="163"/>
      <c r="C603" s="169"/>
      <c r="D603" s="166"/>
      <c r="E603" s="166"/>
      <c r="F603" s="165"/>
      <c r="G603" s="167"/>
      <c r="H603" s="168"/>
      <c r="I603" s="168"/>
    </row>
    <row r="604" spans="1:9">
      <c r="A604" s="165"/>
      <c r="B604" s="163"/>
      <c r="C604" s="169"/>
      <c r="D604" s="166"/>
      <c r="E604" s="166"/>
      <c r="F604" s="165"/>
      <c r="G604" s="167"/>
      <c r="H604" s="168"/>
      <c r="I604" s="168"/>
    </row>
    <row r="605" spans="1:9">
      <c r="A605" s="165"/>
      <c r="B605" s="163"/>
      <c r="C605" s="169"/>
      <c r="D605" s="166"/>
      <c r="E605" s="166"/>
      <c r="F605" s="165"/>
      <c r="G605" s="167"/>
      <c r="H605" s="168"/>
      <c r="I605" s="168"/>
    </row>
    <row r="606" spans="1:9">
      <c r="A606" s="165"/>
      <c r="B606" s="163"/>
      <c r="C606" s="169"/>
      <c r="D606" s="166"/>
      <c r="E606" s="166"/>
      <c r="F606" s="165"/>
      <c r="G606" s="167"/>
      <c r="H606" s="168"/>
      <c r="I606" s="168"/>
    </row>
    <row r="607" spans="1:9">
      <c r="A607" s="165"/>
      <c r="B607" s="163"/>
      <c r="C607" s="169"/>
      <c r="D607" s="166"/>
      <c r="E607" s="166"/>
      <c r="F607" s="165"/>
      <c r="G607" s="167"/>
      <c r="H607" s="168"/>
      <c r="I607" s="168"/>
    </row>
    <row r="608" spans="1:9">
      <c r="A608" s="165"/>
      <c r="B608" s="163"/>
      <c r="C608" s="169"/>
      <c r="D608" s="166"/>
      <c r="E608" s="166"/>
      <c r="F608" s="165"/>
      <c r="G608" s="167"/>
      <c r="H608" s="168"/>
      <c r="I608" s="168"/>
    </row>
    <row r="609" spans="1:9">
      <c r="A609" s="165"/>
      <c r="B609" s="163"/>
      <c r="C609" s="169"/>
      <c r="D609" s="166"/>
      <c r="E609" s="166"/>
      <c r="F609" s="165"/>
      <c r="G609" s="167"/>
      <c r="H609" s="168"/>
      <c r="I609" s="168"/>
    </row>
    <row r="610" spans="1:9">
      <c r="A610" s="165"/>
      <c r="B610" s="163"/>
      <c r="C610" s="169"/>
      <c r="D610" s="166"/>
      <c r="E610" s="166"/>
      <c r="F610" s="165"/>
      <c r="G610" s="167"/>
      <c r="H610" s="168"/>
      <c r="I610" s="168"/>
    </row>
    <row r="611" spans="1:9">
      <c r="A611" s="165"/>
      <c r="B611" s="163"/>
      <c r="C611" s="169"/>
      <c r="D611" s="166"/>
      <c r="E611" s="166"/>
      <c r="F611" s="165"/>
      <c r="G611" s="167"/>
      <c r="H611" s="168"/>
      <c r="I611" s="168"/>
    </row>
    <row r="612" spans="1:9">
      <c r="A612" s="165"/>
      <c r="B612" s="163"/>
      <c r="C612" s="169"/>
      <c r="D612" s="166"/>
      <c r="E612" s="166"/>
      <c r="F612" s="165"/>
      <c r="G612" s="167"/>
      <c r="H612" s="168"/>
      <c r="I612" s="168"/>
    </row>
    <row r="613" spans="1:9">
      <c r="A613" s="165"/>
      <c r="B613" s="163"/>
      <c r="C613" s="169"/>
      <c r="D613" s="166"/>
      <c r="E613" s="166"/>
      <c r="F613" s="165"/>
      <c r="G613" s="167"/>
      <c r="H613" s="168"/>
      <c r="I613" s="168"/>
    </row>
    <row r="614" spans="1:9">
      <c r="A614" s="165"/>
      <c r="B614" s="163"/>
      <c r="C614" s="169"/>
      <c r="D614" s="166"/>
      <c r="E614" s="166"/>
      <c r="F614" s="165"/>
      <c r="G614" s="167"/>
      <c r="H614" s="168"/>
      <c r="I614" s="168"/>
    </row>
    <row r="615" spans="1:9">
      <c r="A615" s="165"/>
      <c r="B615" s="163"/>
      <c r="C615" s="169"/>
      <c r="D615" s="166"/>
      <c r="E615" s="166"/>
      <c r="F615" s="165"/>
      <c r="G615" s="167"/>
      <c r="H615" s="168"/>
      <c r="I615" s="168"/>
    </row>
    <row r="616" spans="1:9">
      <c r="A616" s="165"/>
      <c r="B616" s="163"/>
      <c r="C616" s="169"/>
      <c r="D616" s="166"/>
      <c r="E616" s="166"/>
      <c r="F616" s="165"/>
      <c r="G616" s="167"/>
      <c r="H616" s="168"/>
      <c r="I616" s="168"/>
    </row>
    <row r="617" spans="1:9">
      <c r="A617" s="165"/>
      <c r="B617" s="163"/>
      <c r="C617" s="169"/>
      <c r="D617" s="166"/>
      <c r="E617" s="166"/>
      <c r="F617" s="165"/>
      <c r="G617" s="167"/>
      <c r="H617" s="168"/>
      <c r="I617" s="168"/>
    </row>
    <row r="618" spans="1:9">
      <c r="A618" s="165"/>
      <c r="B618" s="163"/>
      <c r="C618" s="169"/>
      <c r="D618" s="166"/>
      <c r="E618" s="166"/>
      <c r="F618" s="165"/>
      <c r="G618" s="167"/>
      <c r="H618" s="168"/>
      <c r="I618" s="168"/>
    </row>
    <row r="619" spans="1:9">
      <c r="A619" s="165"/>
      <c r="B619" s="163"/>
      <c r="C619" s="169"/>
      <c r="D619" s="166"/>
      <c r="E619" s="166"/>
      <c r="F619" s="165"/>
      <c r="G619" s="167"/>
      <c r="H619" s="168"/>
      <c r="I619" s="168"/>
    </row>
    <row r="620" spans="1:9">
      <c r="A620" s="165"/>
      <c r="B620" s="163"/>
      <c r="C620" s="169"/>
      <c r="D620" s="166"/>
      <c r="E620" s="166"/>
      <c r="F620" s="165"/>
      <c r="G620" s="167"/>
      <c r="H620" s="168"/>
      <c r="I620" s="168"/>
    </row>
    <row r="621" spans="1:9">
      <c r="A621" s="165"/>
      <c r="B621" s="163"/>
      <c r="C621" s="169"/>
      <c r="D621" s="166"/>
      <c r="E621" s="166"/>
      <c r="F621" s="165"/>
      <c r="G621" s="167"/>
      <c r="H621" s="168"/>
      <c r="I621" s="168"/>
    </row>
    <row r="622" spans="1:9">
      <c r="A622" s="165"/>
      <c r="B622" s="163"/>
      <c r="C622" s="169"/>
      <c r="D622" s="166"/>
      <c r="E622" s="166"/>
      <c r="F622" s="165"/>
      <c r="G622" s="167"/>
      <c r="H622" s="168"/>
      <c r="I622" s="168"/>
    </row>
    <row r="623" spans="1:9">
      <c r="A623" s="165"/>
      <c r="B623" s="163"/>
      <c r="C623" s="169"/>
      <c r="D623" s="166"/>
      <c r="E623" s="166"/>
      <c r="F623" s="165"/>
      <c r="G623" s="167"/>
      <c r="H623" s="168"/>
      <c r="I623" s="168"/>
    </row>
    <row r="624" spans="1:9">
      <c r="A624" s="165"/>
      <c r="B624" s="163"/>
      <c r="C624" s="169"/>
      <c r="D624" s="166"/>
      <c r="E624" s="166"/>
      <c r="F624" s="165"/>
      <c r="G624" s="167"/>
      <c r="H624" s="168"/>
      <c r="I624" s="168"/>
    </row>
    <row r="625" spans="1:9">
      <c r="A625" s="165"/>
      <c r="B625" s="163"/>
      <c r="C625" s="169"/>
      <c r="D625" s="166"/>
      <c r="E625" s="166"/>
      <c r="F625" s="165"/>
      <c r="G625" s="167"/>
      <c r="H625" s="168"/>
      <c r="I625" s="168"/>
    </row>
    <row r="626" spans="1:9">
      <c r="A626" s="165"/>
      <c r="B626" s="163"/>
      <c r="C626" s="169"/>
      <c r="D626" s="166"/>
      <c r="E626" s="166"/>
      <c r="F626" s="165"/>
      <c r="G626" s="167"/>
      <c r="H626" s="168"/>
      <c r="I626" s="168"/>
    </row>
    <row r="627" spans="1:9">
      <c r="A627" s="165"/>
      <c r="B627" s="163"/>
      <c r="C627" s="169"/>
      <c r="D627" s="166"/>
      <c r="E627" s="166"/>
      <c r="F627" s="165"/>
      <c r="G627" s="167"/>
      <c r="H627" s="168"/>
      <c r="I627" s="168"/>
    </row>
    <row r="628" spans="1:9">
      <c r="A628" s="165"/>
      <c r="B628" s="163"/>
      <c r="C628" s="169"/>
      <c r="D628" s="166"/>
      <c r="E628" s="166"/>
      <c r="F628" s="165"/>
      <c r="G628" s="167"/>
      <c r="H628" s="168"/>
      <c r="I628" s="168"/>
    </row>
    <row r="629" spans="1:9">
      <c r="A629" s="165"/>
      <c r="B629" s="163"/>
      <c r="C629" s="169"/>
      <c r="D629" s="166"/>
      <c r="E629" s="166"/>
      <c r="F629" s="165"/>
      <c r="G629" s="167"/>
      <c r="H629" s="168"/>
      <c r="I629" s="168"/>
    </row>
    <row r="630" spans="1:9">
      <c r="A630" s="165"/>
      <c r="B630" s="163"/>
      <c r="C630" s="169"/>
      <c r="D630" s="166"/>
      <c r="E630" s="166"/>
      <c r="F630" s="165"/>
      <c r="G630" s="167"/>
      <c r="H630" s="168"/>
      <c r="I630" s="168"/>
    </row>
    <row r="631" spans="1:9">
      <c r="A631" s="165"/>
      <c r="B631" s="163"/>
      <c r="C631" s="169"/>
      <c r="D631" s="166"/>
      <c r="E631" s="166"/>
      <c r="F631" s="165"/>
      <c r="G631" s="167"/>
      <c r="H631" s="168"/>
      <c r="I631" s="168"/>
    </row>
    <row r="632" spans="1:9">
      <c r="A632" s="165"/>
      <c r="B632" s="163"/>
      <c r="C632" s="169"/>
      <c r="D632" s="166"/>
      <c r="E632" s="166"/>
      <c r="F632" s="165"/>
      <c r="G632" s="167"/>
      <c r="H632" s="168"/>
      <c r="I632" s="168"/>
    </row>
    <row r="633" spans="1:9">
      <c r="A633" s="165"/>
      <c r="B633" s="163"/>
      <c r="C633" s="169"/>
      <c r="D633" s="166"/>
      <c r="E633" s="166"/>
      <c r="F633" s="165"/>
      <c r="G633" s="167"/>
      <c r="H633" s="168"/>
      <c r="I633" s="168"/>
    </row>
    <row r="634" spans="1:9">
      <c r="A634" s="165"/>
      <c r="B634" s="163"/>
      <c r="C634" s="169"/>
      <c r="D634" s="166"/>
      <c r="E634" s="166"/>
      <c r="F634" s="165"/>
      <c r="G634" s="167"/>
      <c r="H634" s="168"/>
      <c r="I634" s="168"/>
    </row>
    <row r="635" spans="1:9">
      <c r="A635" s="165"/>
      <c r="B635" s="163"/>
      <c r="C635" s="169"/>
      <c r="D635" s="166"/>
      <c r="E635" s="166"/>
      <c r="F635" s="165"/>
      <c r="G635" s="167"/>
      <c r="H635" s="168"/>
      <c r="I635" s="168"/>
    </row>
    <row r="636" spans="1:9">
      <c r="A636" s="165"/>
      <c r="B636" s="163"/>
      <c r="C636" s="169"/>
      <c r="D636" s="166"/>
      <c r="E636" s="166"/>
      <c r="F636" s="165"/>
      <c r="G636" s="167"/>
      <c r="H636" s="168"/>
      <c r="I636" s="168"/>
    </row>
    <row r="637" spans="1:9">
      <c r="A637" s="165"/>
      <c r="B637" s="163"/>
      <c r="C637" s="169"/>
      <c r="D637" s="166"/>
      <c r="E637" s="166"/>
      <c r="F637" s="165"/>
      <c r="G637" s="167"/>
      <c r="H637" s="168"/>
      <c r="I637" s="168"/>
    </row>
    <row r="638" spans="1:9">
      <c r="A638" s="165"/>
      <c r="B638" s="163"/>
      <c r="C638" s="169"/>
      <c r="D638" s="166"/>
      <c r="E638" s="166"/>
      <c r="F638" s="165"/>
      <c r="G638" s="167"/>
      <c r="H638" s="168"/>
      <c r="I638" s="168"/>
    </row>
    <row r="639" spans="1:9">
      <c r="A639" s="165"/>
      <c r="B639" s="163"/>
      <c r="C639" s="169"/>
      <c r="D639" s="166"/>
      <c r="E639" s="166"/>
      <c r="F639" s="165"/>
      <c r="G639" s="167"/>
      <c r="H639" s="168"/>
      <c r="I639" s="168"/>
    </row>
    <row r="640" spans="1:9">
      <c r="A640" s="165"/>
      <c r="B640" s="163"/>
      <c r="C640" s="169"/>
      <c r="D640" s="166"/>
      <c r="E640" s="166"/>
      <c r="F640" s="165"/>
      <c r="G640" s="167"/>
      <c r="H640" s="168"/>
      <c r="I640" s="168"/>
    </row>
    <row r="641" spans="1:9">
      <c r="A641" s="165"/>
      <c r="B641" s="163"/>
      <c r="C641" s="169"/>
      <c r="D641" s="166"/>
      <c r="E641" s="166"/>
      <c r="F641" s="165"/>
      <c r="G641" s="167"/>
      <c r="H641" s="168"/>
      <c r="I641" s="168"/>
    </row>
    <row r="642" spans="1:9">
      <c r="A642" s="165"/>
      <c r="B642" s="163"/>
      <c r="C642" s="169"/>
      <c r="D642" s="166"/>
      <c r="E642" s="166"/>
      <c r="F642" s="165"/>
      <c r="G642" s="167"/>
      <c r="H642" s="168"/>
      <c r="I642" s="168"/>
    </row>
    <row r="643" spans="1:9">
      <c r="A643" s="165"/>
      <c r="B643" s="163"/>
      <c r="C643" s="169"/>
      <c r="D643" s="166"/>
      <c r="E643" s="166"/>
      <c r="F643" s="165"/>
      <c r="G643" s="167"/>
      <c r="H643" s="168"/>
      <c r="I643" s="168"/>
    </row>
    <row r="644" spans="1:9">
      <c r="A644" s="165"/>
      <c r="B644" s="163"/>
      <c r="C644" s="169"/>
      <c r="D644" s="166"/>
      <c r="E644" s="166"/>
      <c r="F644" s="165"/>
      <c r="G644" s="167"/>
      <c r="H644" s="168"/>
      <c r="I644" s="168"/>
    </row>
    <row r="645" spans="1:9">
      <c r="A645" s="165"/>
      <c r="B645" s="163"/>
      <c r="C645" s="169"/>
      <c r="D645" s="166"/>
      <c r="E645" s="166"/>
      <c r="F645" s="165"/>
      <c r="G645" s="167"/>
      <c r="H645" s="168"/>
      <c r="I645" s="168"/>
    </row>
    <row r="646" spans="1:9">
      <c r="A646" s="165"/>
      <c r="B646" s="163"/>
      <c r="C646" s="169"/>
      <c r="D646" s="166"/>
      <c r="E646" s="166"/>
      <c r="F646" s="165"/>
      <c r="G646" s="167"/>
      <c r="H646" s="168"/>
      <c r="I646" s="168"/>
    </row>
    <row r="647" spans="1:9">
      <c r="A647" s="165"/>
      <c r="B647" s="163"/>
      <c r="C647" s="169"/>
      <c r="D647" s="166"/>
      <c r="E647" s="166"/>
      <c r="F647" s="165"/>
      <c r="G647" s="167"/>
      <c r="H647" s="168"/>
      <c r="I647" s="168"/>
    </row>
    <row r="648" spans="1:9">
      <c r="A648" s="165"/>
      <c r="B648" s="163"/>
      <c r="C648" s="169"/>
      <c r="D648" s="166"/>
      <c r="E648" s="166"/>
      <c r="F648" s="165"/>
      <c r="G648" s="167"/>
      <c r="H648" s="168"/>
      <c r="I648" s="168"/>
    </row>
    <row r="649" spans="1:9">
      <c r="A649" s="165"/>
      <c r="B649" s="163"/>
      <c r="C649" s="169"/>
      <c r="D649" s="166"/>
      <c r="E649" s="166"/>
      <c r="F649" s="165"/>
      <c r="G649" s="167"/>
      <c r="H649" s="168"/>
      <c r="I649" s="168"/>
    </row>
    <row r="650" spans="1:9">
      <c r="A650" s="165"/>
      <c r="B650" s="163"/>
      <c r="C650" s="169"/>
      <c r="D650" s="166"/>
      <c r="E650" s="166"/>
      <c r="F650" s="165"/>
      <c r="G650" s="167"/>
      <c r="H650" s="168"/>
      <c r="I650" s="168"/>
    </row>
    <row r="651" spans="1:9">
      <c r="A651" s="165"/>
      <c r="B651" s="163"/>
      <c r="C651" s="169"/>
      <c r="D651" s="166"/>
      <c r="E651" s="166"/>
      <c r="F651" s="165"/>
      <c r="G651" s="167"/>
      <c r="H651" s="168"/>
      <c r="I651" s="168"/>
    </row>
    <row r="652" spans="1:9">
      <c r="A652" s="165"/>
      <c r="B652" s="163"/>
      <c r="C652" s="169"/>
      <c r="D652" s="166"/>
      <c r="E652" s="166"/>
      <c r="F652" s="165"/>
      <c r="G652" s="167"/>
      <c r="H652" s="168"/>
      <c r="I652" s="168"/>
    </row>
    <row r="653" spans="1:9">
      <c r="A653" s="165"/>
      <c r="B653" s="163"/>
      <c r="C653" s="169"/>
      <c r="D653" s="166"/>
      <c r="E653" s="166"/>
      <c r="F653" s="165"/>
      <c r="G653" s="167"/>
      <c r="H653" s="168"/>
      <c r="I653" s="168"/>
    </row>
    <row r="654" spans="1:9">
      <c r="A654" s="165"/>
      <c r="B654" s="163"/>
      <c r="C654" s="169"/>
      <c r="D654" s="166"/>
      <c r="E654" s="166"/>
      <c r="F654" s="165"/>
      <c r="G654" s="167"/>
      <c r="H654" s="168"/>
      <c r="I654" s="168"/>
    </row>
    <row r="655" spans="1:9">
      <c r="A655" s="165"/>
      <c r="B655" s="163"/>
      <c r="C655" s="169"/>
      <c r="D655" s="166"/>
      <c r="E655" s="166"/>
      <c r="F655" s="165"/>
      <c r="G655" s="167"/>
      <c r="H655" s="168"/>
      <c r="I655" s="168"/>
    </row>
    <row r="656" spans="1:9">
      <c r="A656" s="165"/>
      <c r="B656" s="163"/>
      <c r="C656" s="169"/>
      <c r="D656" s="166"/>
      <c r="E656" s="166"/>
      <c r="F656" s="165"/>
      <c r="G656" s="167"/>
      <c r="H656" s="168"/>
      <c r="I656" s="168"/>
    </row>
    <row r="657" spans="1:9">
      <c r="A657" s="165"/>
      <c r="B657" s="163"/>
      <c r="C657" s="169"/>
      <c r="D657" s="166"/>
      <c r="E657" s="166"/>
      <c r="F657" s="165"/>
      <c r="G657" s="167"/>
      <c r="H657" s="168"/>
      <c r="I657" s="168"/>
    </row>
    <row r="658" spans="1:9">
      <c r="A658" s="165"/>
      <c r="B658" s="163"/>
      <c r="C658" s="169"/>
      <c r="D658" s="166"/>
      <c r="E658" s="166"/>
      <c r="F658" s="165"/>
      <c r="G658" s="167"/>
      <c r="H658" s="168"/>
      <c r="I658" s="168"/>
    </row>
    <row r="659" spans="1:9">
      <c r="A659" s="165"/>
      <c r="B659" s="163"/>
      <c r="C659" s="169"/>
      <c r="D659" s="166"/>
      <c r="E659" s="166"/>
      <c r="F659" s="165"/>
      <c r="G659" s="167"/>
      <c r="H659" s="168"/>
      <c r="I659" s="168"/>
    </row>
    <row r="660" spans="1:9">
      <c r="A660" s="165"/>
      <c r="B660" s="163"/>
      <c r="C660" s="169"/>
      <c r="D660" s="166"/>
      <c r="E660" s="166"/>
      <c r="F660" s="165"/>
      <c r="G660" s="167"/>
      <c r="H660" s="168"/>
      <c r="I660" s="168"/>
    </row>
    <row r="661" spans="1:9">
      <c r="A661" s="165"/>
      <c r="B661" s="163"/>
      <c r="C661" s="169"/>
      <c r="D661" s="166"/>
      <c r="E661" s="166"/>
      <c r="F661" s="165"/>
      <c r="G661" s="167"/>
      <c r="H661" s="168"/>
      <c r="I661" s="168"/>
    </row>
    <row r="662" spans="1:9">
      <c r="A662" s="165"/>
      <c r="B662" s="163"/>
      <c r="C662" s="169"/>
      <c r="D662" s="166"/>
      <c r="E662" s="166"/>
      <c r="F662" s="165"/>
      <c r="G662" s="167"/>
      <c r="H662" s="168"/>
      <c r="I662" s="168"/>
    </row>
    <row r="663" spans="1:9">
      <c r="A663" s="165"/>
      <c r="B663" s="163"/>
      <c r="C663" s="169"/>
      <c r="D663" s="166"/>
      <c r="E663" s="166"/>
      <c r="F663" s="165"/>
      <c r="G663" s="167"/>
      <c r="H663" s="168"/>
      <c r="I663" s="168"/>
    </row>
    <row r="664" spans="1:9">
      <c r="A664" s="165"/>
      <c r="B664" s="163"/>
      <c r="C664" s="169"/>
      <c r="D664" s="166"/>
      <c r="E664" s="166"/>
      <c r="F664" s="165"/>
      <c r="G664" s="167"/>
      <c r="H664" s="168"/>
      <c r="I664" s="168"/>
    </row>
    <row r="665" spans="1:9">
      <c r="A665" s="165"/>
      <c r="B665" s="163"/>
      <c r="C665" s="169"/>
      <c r="D665" s="166"/>
      <c r="E665" s="166"/>
      <c r="F665" s="165"/>
      <c r="G665" s="167"/>
      <c r="H665" s="168"/>
      <c r="I665" s="168"/>
    </row>
    <row r="666" spans="1:9">
      <c r="A666" s="165"/>
      <c r="B666" s="163"/>
      <c r="C666" s="169"/>
      <c r="D666" s="166"/>
      <c r="E666" s="166"/>
      <c r="F666" s="165"/>
      <c r="G666" s="167"/>
      <c r="H666" s="168"/>
      <c r="I666" s="168"/>
    </row>
    <row r="667" spans="1:9">
      <c r="A667" s="165"/>
      <c r="B667" s="163"/>
      <c r="C667" s="169"/>
      <c r="D667" s="166"/>
      <c r="E667" s="166"/>
      <c r="F667" s="165"/>
      <c r="G667" s="167"/>
      <c r="H667" s="168"/>
      <c r="I667" s="168"/>
    </row>
    <row r="668" spans="1:9">
      <c r="A668" s="165"/>
      <c r="B668" s="163"/>
      <c r="C668" s="169"/>
      <c r="D668" s="166"/>
      <c r="E668" s="166"/>
      <c r="F668" s="165"/>
      <c r="G668" s="167"/>
      <c r="H668" s="168"/>
      <c r="I668" s="168"/>
    </row>
    <row r="669" spans="1:9">
      <c r="A669" s="165"/>
      <c r="B669" s="163"/>
      <c r="C669" s="169"/>
      <c r="D669" s="166"/>
      <c r="E669" s="166"/>
      <c r="F669" s="165"/>
      <c r="G669" s="167"/>
      <c r="H669" s="168"/>
      <c r="I669" s="168"/>
    </row>
    <row r="670" spans="1:9">
      <c r="A670" s="165"/>
      <c r="B670" s="163"/>
      <c r="C670" s="169"/>
      <c r="D670" s="166"/>
      <c r="E670" s="166"/>
      <c r="F670" s="165"/>
      <c r="G670" s="167"/>
      <c r="H670" s="168"/>
      <c r="I670" s="168"/>
    </row>
    <row r="671" spans="1:9">
      <c r="A671" s="165"/>
      <c r="B671" s="163"/>
      <c r="C671" s="169"/>
      <c r="D671" s="166"/>
      <c r="E671" s="166"/>
      <c r="F671" s="165"/>
      <c r="G671" s="167"/>
      <c r="H671" s="168"/>
      <c r="I671" s="168"/>
    </row>
    <row r="672" spans="1:9">
      <c r="A672" s="165"/>
      <c r="B672" s="163"/>
      <c r="C672" s="169"/>
      <c r="D672" s="166"/>
      <c r="E672" s="166"/>
      <c r="F672" s="165"/>
      <c r="G672" s="167"/>
      <c r="H672" s="168"/>
      <c r="I672" s="168"/>
    </row>
    <row r="673" spans="1:9">
      <c r="A673" s="165"/>
      <c r="B673" s="163"/>
      <c r="C673" s="169"/>
      <c r="D673" s="166"/>
      <c r="E673" s="166"/>
      <c r="F673" s="165"/>
      <c r="G673" s="167"/>
      <c r="H673" s="168"/>
      <c r="I673" s="168"/>
    </row>
    <row r="674" spans="1:9">
      <c r="A674" s="165"/>
      <c r="B674" s="163"/>
      <c r="C674" s="169"/>
      <c r="D674" s="166"/>
      <c r="E674" s="166"/>
      <c r="F674" s="165"/>
      <c r="G674" s="167"/>
      <c r="H674" s="168"/>
      <c r="I674" s="168"/>
    </row>
    <row r="675" spans="1:9">
      <c r="A675" s="165"/>
      <c r="B675" s="163"/>
      <c r="C675" s="169"/>
      <c r="D675" s="166"/>
      <c r="E675" s="166"/>
      <c r="F675" s="165"/>
      <c r="G675" s="167"/>
      <c r="H675" s="168"/>
      <c r="I675" s="168"/>
    </row>
    <row r="676" spans="1:9">
      <c r="A676" s="165"/>
      <c r="B676" s="163"/>
      <c r="C676" s="169"/>
      <c r="D676" s="166"/>
      <c r="E676" s="166"/>
      <c r="F676" s="165"/>
      <c r="G676" s="167"/>
      <c r="H676" s="168"/>
      <c r="I676" s="168"/>
    </row>
    <row r="677" spans="1:9">
      <c r="A677" s="165"/>
      <c r="B677" s="163"/>
      <c r="C677" s="169"/>
      <c r="D677" s="166"/>
      <c r="E677" s="166"/>
      <c r="F677" s="165"/>
      <c r="G677" s="167"/>
      <c r="H677" s="168"/>
      <c r="I677" s="168"/>
    </row>
    <row r="678" spans="1:9">
      <c r="A678" s="165"/>
      <c r="B678" s="163"/>
      <c r="C678" s="169"/>
      <c r="D678" s="166"/>
      <c r="E678" s="166"/>
      <c r="F678" s="165"/>
      <c r="G678" s="167"/>
      <c r="H678" s="168"/>
      <c r="I678" s="168"/>
    </row>
    <row r="679" spans="1:9">
      <c r="A679" s="165"/>
      <c r="B679" s="163"/>
      <c r="C679" s="169"/>
      <c r="D679" s="166"/>
      <c r="E679" s="166"/>
      <c r="F679" s="165"/>
      <c r="G679" s="167"/>
      <c r="H679" s="168"/>
      <c r="I679" s="168"/>
    </row>
    <row r="680" spans="1:9">
      <c r="A680" s="165"/>
      <c r="B680" s="163"/>
      <c r="C680" s="169"/>
      <c r="D680" s="166"/>
      <c r="E680" s="166"/>
      <c r="F680" s="165"/>
      <c r="G680" s="167"/>
      <c r="H680" s="168"/>
      <c r="I680" s="168"/>
    </row>
    <row r="681" spans="1:9">
      <c r="A681" s="165"/>
      <c r="B681" s="163"/>
      <c r="C681" s="169"/>
      <c r="D681" s="166"/>
      <c r="E681" s="166"/>
      <c r="F681" s="165"/>
      <c r="G681" s="167"/>
      <c r="H681" s="168"/>
      <c r="I681" s="168"/>
    </row>
    <row r="682" spans="1:9">
      <c r="A682" s="165"/>
      <c r="B682" s="163"/>
      <c r="C682" s="169"/>
      <c r="D682" s="166"/>
      <c r="E682" s="166"/>
      <c r="F682" s="165"/>
      <c r="G682" s="167"/>
      <c r="H682" s="168"/>
      <c r="I682" s="168"/>
    </row>
    <row r="683" spans="1:9">
      <c r="A683" s="165"/>
      <c r="B683" s="163"/>
      <c r="C683" s="169"/>
      <c r="D683" s="166"/>
      <c r="E683" s="166"/>
      <c r="F683" s="165"/>
      <c r="G683" s="167"/>
      <c r="H683" s="168"/>
      <c r="I683" s="168"/>
    </row>
    <row r="684" spans="1:9">
      <c r="A684" s="165"/>
      <c r="B684" s="163"/>
      <c r="C684" s="169"/>
      <c r="D684" s="166"/>
      <c r="E684" s="166"/>
      <c r="F684" s="165"/>
      <c r="G684" s="167"/>
      <c r="H684" s="168"/>
      <c r="I684" s="168"/>
    </row>
    <row r="685" spans="1:9">
      <c r="A685" s="165"/>
      <c r="B685" s="163"/>
      <c r="C685" s="169"/>
      <c r="D685" s="166"/>
      <c r="E685" s="166"/>
      <c r="F685" s="165"/>
      <c r="G685" s="167"/>
      <c r="H685" s="168"/>
      <c r="I685" s="168"/>
    </row>
    <row r="686" spans="1:9">
      <c r="A686" s="165"/>
      <c r="B686" s="163"/>
      <c r="C686" s="169"/>
      <c r="D686" s="166"/>
      <c r="E686" s="166"/>
      <c r="F686" s="165"/>
      <c r="G686" s="167"/>
      <c r="H686" s="168"/>
      <c r="I686" s="168"/>
    </row>
    <row r="687" spans="1:9">
      <c r="A687" s="165"/>
      <c r="B687" s="163"/>
      <c r="C687" s="169"/>
      <c r="D687" s="166"/>
      <c r="E687" s="166"/>
      <c r="F687" s="165"/>
      <c r="G687" s="167"/>
      <c r="H687" s="168"/>
      <c r="I687" s="168"/>
    </row>
    <row r="688" spans="1:9">
      <c r="A688" s="165"/>
      <c r="B688" s="163"/>
      <c r="C688" s="169"/>
      <c r="D688" s="166"/>
      <c r="E688" s="166"/>
      <c r="F688" s="165"/>
      <c r="G688" s="167"/>
      <c r="H688" s="168"/>
      <c r="I688" s="168"/>
    </row>
    <row r="689" spans="1:9">
      <c r="A689" s="165"/>
      <c r="B689" s="163"/>
      <c r="C689" s="169"/>
      <c r="D689" s="166"/>
      <c r="E689" s="166"/>
      <c r="F689" s="165"/>
      <c r="G689" s="167"/>
      <c r="H689" s="168"/>
      <c r="I689" s="168"/>
    </row>
    <row r="690" spans="1:9">
      <c r="A690" s="165"/>
      <c r="B690" s="163"/>
      <c r="C690" s="169"/>
      <c r="D690" s="166"/>
      <c r="E690" s="166"/>
      <c r="F690" s="165"/>
      <c r="G690" s="167"/>
      <c r="H690" s="168"/>
      <c r="I690" s="168"/>
    </row>
    <row r="691" spans="1:9">
      <c r="A691" s="165"/>
      <c r="B691" s="163"/>
      <c r="C691" s="169"/>
      <c r="D691" s="166"/>
      <c r="E691" s="166"/>
      <c r="F691" s="165"/>
      <c r="G691" s="167"/>
      <c r="H691" s="168"/>
      <c r="I691" s="168"/>
    </row>
    <row r="692" spans="1:9">
      <c r="A692" s="165"/>
      <c r="B692" s="163"/>
      <c r="C692" s="169"/>
      <c r="D692" s="166"/>
      <c r="E692" s="166"/>
      <c r="F692" s="165"/>
      <c r="G692" s="167"/>
      <c r="H692" s="168"/>
      <c r="I692" s="168"/>
    </row>
    <row r="693" spans="1:9">
      <c r="A693" s="165"/>
      <c r="B693" s="163"/>
      <c r="C693" s="169"/>
      <c r="D693" s="166"/>
      <c r="E693" s="166"/>
      <c r="F693" s="165"/>
      <c r="G693" s="167"/>
      <c r="H693" s="168"/>
      <c r="I693" s="168"/>
    </row>
    <row r="694" spans="1:9">
      <c r="A694" s="165"/>
      <c r="B694" s="163"/>
      <c r="C694" s="169"/>
      <c r="D694" s="166"/>
      <c r="E694" s="166"/>
      <c r="F694" s="165"/>
      <c r="G694" s="167"/>
      <c r="H694" s="168"/>
      <c r="I694" s="168"/>
    </row>
    <row r="695" spans="1:9">
      <c r="A695" s="165"/>
      <c r="B695" s="163"/>
      <c r="C695" s="169"/>
      <c r="D695" s="166"/>
      <c r="E695" s="166"/>
      <c r="F695" s="165"/>
      <c r="G695" s="167"/>
      <c r="H695" s="168"/>
      <c r="I695" s="168"/>
    </row>
    <row r="696" spans="1:9">
      <c r="A696" s="165"/>
      <c r="B696" s="163"/>
      <c r="C696" s="169"/>
      <c r="D696" s="166"/>
      <c r="E696" s="166"/>
      <c r="F696" s="165"/>
      <c r="G696" s="167"/>
      <c r="H696" s="168"/>
      <c r="I696" s="168"/>
    </row>
    <row r="697" spans="1:9">
      <c r="A697" s="165"/>
      <c r="B697" s="163"/>
      <c r="C697" s="169"/>
      <c r="D697" s="166"/>
      <c r="E697" s="166"/>
      <c r="F697" s="165"/>
      <c r="G697" s="167"/>
      <c r="H697" s="168"/>
      <c r="I697" s="168"/>
    </row>
    <row r="698" spans="1:9">
      <c r="A698" s="165"/>
      <c r="B698" s="163"/>
      <c r="C698" s="169"/>
      <c r="D698" s="166"/>
      <c r="E698" s="166"/>
      <c r="F698" s="165"/>
      <c r="G698" s="167"/>
      <c r="H698" s="168"/>
      <c r="I698" s="168"/>
    </row>
    <row r="699" spans="1:9">
      <c r="A699" s="165"/>
      <c r="B699" s="163"/>
      <c r="C699" s="169"/>
      <c r="D699" s="166"/>
      <c r="E699" s="166"/>
      <c r="F699" s="165"/>
      <c r="G699" s="167"/>
      <c r="H699" s="168"/>
      <c r="I699" s="168"/>
    </row>
    <row r="700" spans="1:9">
      <c r="A700" s="165"/>
      <c r="B700" s="163"/>
      <c r="C700" s="169"/>
      <c r="D700" s="166"/>
      <c r="E700" s="166"/>
      <c r="F700" s="165"/>
      <c r="G700" s="167"/>
      <c r="H700" s="168"/>
      <c r="I700" s="168"/>
    </row>
    <row r="701" spans="1:9">
      <c r="A701" s="165"/>
      <c r="B701" s="163"/>
      <c r="C701" s="169"/>
      <c r="D701" s="166"/>
      <c r="E701" s="166"/>
      <c r="F701" s="165"/>
      <c r="G701" s="167"/>
      <c r="H701" s="168"/>
      <c r="I701" s="168"/>
    </row>
    <row r="702" spans="1:9">
      <c r="A702" s="165"/>
      <c r="B702" s="163"/>
      <c r="C702" s="169"/>
      <c r="D702" s="166"/>
      <c r="E702" s="166"/>
      <c r="F702" s="165"/>
      <c r="G702" s="167"/>
      <c r="H702" s="168"/>
      <c r="I702" s="168"/>
    </row>
    <row r="703" spans="1:9">
      <c r="A703" s="165"/>
      <c r="B703" s="163"/>
      <c r="C703" s="169"/>
      <c r="D703" s="166"/>
      <c r="E703" s="166"/>
      <c r="F703" s="165"/>
      <c r="G703" s="167"/>
      <c r="H703" s="168"/>
      <c r="I703" s="168"/>
    </row>
    <row r="704" spans="1:9">
      <c r="A704" s="165"/>
      <c r="B704" s="163"/>
      <c r="C704" s="169"/>
      <c r="D704" s="166"/>
      <c r="E704" s="166"/>
      <c r="F704" s="165"/>
      <c r="G704" s="167"/>
      <c r="H704" s="168"/>
      <c r="I704" s="168"/>
    </row>
    <row r="705" spans="1:9">
      <c r="A705" s="165"/>
      <c r="B705" s="163"/>
      <c r="C705" s="169"/>
      <c r="D705" s="166"/>
      <c r="E705" s="166"/>
      <c r="F705" s="165"/>
      <c r="G705" s="167"/>
      <c r="H705" s="168"/>
      <c r="I705" s="168"/>
    </row>
    <row r="706" spans="1:9">
      <c r="A706" s="165"/>
      <c r="B706" s="163"/>
      <c r="C706" s="169"/>
      <c r="D706" s="166"/>
      <c r="E706" s="166"/>
      <c r="F706" s="165"/>
      <c r="G706" s="167"/>
      <c r="H706" s="168"/>
      <c r="I706" s="168"/>
    </row>
    <row r="707" spans="1:9">
      <c r="A707" s="165"/>
      <c r="B707" s="163"/>
      <c r="C707" s="169"/>
      <c r="D707" s="166"/>
      <c r="E707" s="166"/>
      <c r="F707" s="165"/>
      <c r="G707" s="167"/>
      <c r="H707" s="168"/>
      <c r="I707" s="168"/>
    </row>
    <row r="708" spans="1:9">
      <c r="A708" s="165"/>
      <c r="B708" s="163"/>
      <c r="C708" s="169"/>
      <c r="D708" s="166"/>
      <c r="E708" s="166"/>
      <c r="F708" s="165"/>
      <c r="G708" s="167"/>
      <c r="H708" s="168"/>
      <c r="I708" s="168"/>
    </row>
    <row r="709" spans="1:9">
      <c r="A709" s="165"/>
      <c r="B709" s="163"/>
      <c r="C709" s="169"/>
      <c r="D709" s="166"/>
      <c r="E709" s="166"/>
      <c r="F709" s="165"/>
      <c r="G709" s="167"/>
      <c r="H709" s="168"/>
      <c r="I709" s="168"/>
    </row>
    <row r="710" spans="1:9">
      <c r="A710" s="165"/>
      <c r="B710" s="163"/>
      <c r="C710" s="169"/>
      <c r="D710" s="166"/>
      <c r="E710" s="166"/>
      <c r="F710" s="165"/>
      <c r="G710" s="167"/>
      <c r="H710" s="168"/>
      <c r="I710" s="168"/>
    </row>
    <row r="711" spans="1:9">
      <c r="A711" s="165"/>
      <c r="B711" s="163"/>
      <c r="C711" s="169"/>
      <c r="D711" s="166"/>
      <c r="E711" s="166"/>
      <c r="F711" s="165"/>
      <c r="G711" s="167"/>
      <c r="H711" s="168"/>
      <c r="I711" s="168"/>
    </row>
    <row r="712" spans="1:9">
      <c r="A712" s="165"/>
      <c r="B712" s="163"/>
      <c r="C712" s="169"/>
      <c r="D712" s="166"/>
      <c r="E712" s="166"/>
      <c r="F712" s="165"/>
      <c r="G712" s="167"/>
      <c r="H712" s="168"/>
      <c r="I712" s="168"/>
    </row>
    <row r="713" spans="1:9">
      <c r="A713" s="165"/>
      <c r="B713" s="163"/>
      <c r="C713" s="169"/>
      <c r="D713" s="166"/>
      <c r="E713" s="166"/>
      <c r="F713" s="165"/>
      <c r="G713" s="167"/>
      <c r="H713" s="168"/>
      <c r="I713" s="168"/>
    </row>
    <row r="714" spans="1:9">
      <c r="A714" s="165"/>
      <c r="B714" s="163"/>
      <c r="C714" s="169"/>
      <c r="D714" s="166"/>
      <c r="E714" s="166"/>
      <c r="F714" s="165"/>
      <c r="G714" s="167"/>
      <c r="H714" s="168"/>
      <c r="I714" s="168"/>
    </row>
    <row r="715" spans="1:9">
      <c r="A715" s="165"/>
      <c r="B715" s="163"/>
      <c r="C715" s="169"/>
      <c r="D715" s="166"/>
      <c r="E715" s="166"/>
      <c r="F715" s="165"/>
      <c r="G715" s="167"/>
      <c r="H715" s="168"/>
      <c r="I715" s="168"/>
    </row>
    <row r="716" spans="1:9">
      <c r="A716" s="165"/>
      <c r="B716" s="163"/>
      <c r="C716" s="169"/>
      <c r="D716" s="166"/>
      <c r="E716" s="166"/>
      <c r="F716" s="165"/>
      <c r="G716" s="167"/>
      <c r="H716" s="168"/>
      <c r="I716" s="168"/>
    </row>
    <row r="717" spans="1:9">
      <c r="A717" s="165"/>
      <c r="B717" s="163"/>
      <c r="C717" s="169"/>
      <c r="D717" s="166"/>
      <c r="E717" s="166"/>
      <c r="F717" s="165"/>
      <c r="G717" s="167"/>
      <c r="H717" s="168"/>
      <c r="I717" s="168"/>
    </row>
    <row r="718" spans="1:9">
      <c r="A718" s="165"/>
      <c r="B718" s="163"/>
      <c r="C718" s="169"/>
      <c r="D718" s="166"/>
      <c r="E718" s="166"/>
      <c r="F718" s="165"/>
      <c r="G718" s="167"/>
      <c r="H718" s="168"/>
      <c r="I718" s="168"/>
    </row>
    <row r="719" spans="1:9">
      <c r="A719" s="165"/>
      <c r="B719" s="163"/>
      <c r="C719" s="169"/>
      <c r="D719" s="166"/>
      <c r="E719" s="166"/>
      <c r="F719" s="165"/>
      <c r="G719" s="167"/>
      <c r="H719" s="168"/>
      <c r="I719" s="168"/>
    </row>
    <row r="720" spans="1:9">
      <c r="A720" s="165"/>
      <c r="B720" s="163"/>
      <c r="C720" s="169"/>
      <c r="D720" s="166"/>
      <c r="E720" s="166"/>
      <c r="F720" s="165"/>
      <c r="G720" s="167"/>
      <c r="H720" s="168"/>
      <c r="I720" s="168"/>
    </row>
    <row r="721" spans="1:9">
      <c r="A721" s="165"/>
      <c r="B721" s="163"/>
      <c r="C721" s="169"/>
      <c r="D721" s="166"/>
      <c r="E721" s="166"/>
      <c r="F721" s="165"/>
      <c r="G721" s="167"/>
      <c r="H721" s="168"/>
      <c r="I721" s="168"/>
    </row>
    <row r="722" spans="1:9">
      <c r="A722" s="165"/>
      <c r="B722" s="163"/>
      <c r="C722" s="169"/>
      <c r="D722" s="166"/>
      <c r="E722" s="166"/>
      <c r="F722" s="165"/>
      <c r="G722" s="167"/>
      <c r="H722" s="168"/>
      <c r="I722" s="168"/>
    </row>
    <row r="723" spans="1:9">
      <c r="A723" s="165"/>
      <c r="B723" s="163"/>
      <c r="C723" s="169"/>
      <c r="D723" s="166"/>
      <c r="E723" s="166"/>
      <c r="F723" s="165"/>
      <c r="G723" s="167"/>
      <c r="H723" s="168"/>
      <c r="I723" s="168"/>
    </row>
    <row r="724" spans="1:9">
      <c r="A724" s="165"/>
      <c r="B724" s="163"/>
      <c r="C724" s="169"/>
      <c r="D724" s="166"/>
      <c r="E724" s="166"/>
      <c r="F724" s="165"/>
      <c r="G724" s="167"/>
      <c r="H724" s="168"/>
      <c r="I724" s="168"/>
    </row>
    <row r="725" spans="1:9">
      <c r="A725" s="165"/>
      <c r="B725" s="163"/>
      <c r="C725" s="169"/>
      <c r="D725" s="166"/>
      <c r="E725" s="166"/>
      <c r="F725" s="165"/>
      <c r="G725" s="167"/>
      <c r="H725" s="168"/>
      <c r="I725" s="168"/>
    </row>
    <row r="726" spans="1:9">
      <c r="A726" s="165"/>
      <c r="B726" s="163"/>
      <c r="C726" s="169"/>
      <c r="D726" s="166"/>
      <c r="E726" s="166"/>
      <c r="F726" s="165"/>
      <c r="G726" s="167"/>
      <c r="H726" s="168"/>
      <c r="I726" s="168"/>
    </row>
    <row r="727" spans="1:9">
      <c r="A727" s="165"/>
      <c r="B727" s="163"/>
      <c r="C727" s="169"/>
      <c r="D727" s="166"/>
      <c r="E727" s="166"/>
      <c r="F727" s="165"/>
      <c r="G727" s="167"/>
      <c r="H727" s="168"/>
      <c r="I727" s="168"/>
    </row>
    <row r="728" spans="1:9">
      <c r="A728" s="165"/>
      <c r="B728" s="163"/>
      <c r="C728" s="169"/>
      <c r="D728" s="166"/>
      <c r="E728" s="166"/>
      <c r="F728" s="165"/>
      <c r="G728" s="167"/>
      <c r="H728" s="168"/>
      <c r="I728" s="168"/>
    </row>
    <row r="729" spans="1:9">
      <c r="A729" s="165"/>
      <c r="B729" s="163"/>
      <c r="C729" s="169"/>
      <c r="D729" s="166"/>
      <c r="E729" s="166"/>
      <c r="F729" s="165"/>
      <c r="G729" s="167"/>
      <c r="H729" s="168"/>
      <c r="I729" s="168"/>
    </row>
    <row r="730" spans="1:9">
      <c r="A730" s="165"/>
      <c r="B730" s="163"/>
      <c r="C730" s="169"/>
      <c r="D730" s="166"/>
      <c r="E730" s="166"/>
      <c r="F730" s="165"/>
      <c r="G730" s="167"/>
      <c r="H730" s="168"/>
      <c r="I730" s="168"/>
    </row>
    <row r="731" spans="1:9">
      <c r="A731" s="165"/>
      <c r="B731" s="163"/>
      <c r="C731" s="169"/>
      <c r="D731" s="166"/>
      <c r="E731" s="166"/>
      <c r="F731" s="165"/>
      <c r="G731" s="167"/>
      <c r="H731" s="168"/>
      <c r="I731" s="168"/>
    </row>
    <row r="732" spans="1:9">
      <c r="A732" s="165"/>
      <c r="B732" s="163"/>
      <c r="C732" s="169"/>
      <c r="D732" s="166"/>
      <c r="E732" s="166"/>
      <c r="F732" s="165"/>
      <c r="G732" s="167"/>
      <c r="H732" s="168"/>
      <c r="I732" s="168"/>
    </row>
    <row r="733" spans="1:9">
      <c r="A733" s="165"/>
      <c r="B733" s="163"/>
      <c r="C733" s="169"/>
      <c r="D733" s="166"/>
      <c r="E733" s="166"/>
      <c r="F733" s="165"/>
      <c r="G733" s="167"/>
      <c r="H733" s="168"/>
      <c r="I733" s="168"/>
    </row>
    <row r="734" spans="1:9">
      <c r="A734" s="165"/>
      <c r="B734" s="163"/>
      <c r="C734" s="169"/>
      <c r="D734" s="166"/>
      <c r="E734" s="166"/>
      <c r="F734" s="165"/>
      <c r="G734" s="167"/>
      <c r="H734" s="168"/>
      <c r="I734" s="168"/>
    </row>
    <row r="735" spans="1:9">
      <c r="A735" s="165"/>
      <c r="B735" s="163"/>
      <c r="C735" s="169"/>
      <c r="D735" s="166"/>
      <c r="E735" s="166"/>
      <c r="F735" s="165"/>
      <c r="G735" s="167"/>
      <c r="H735" s="168"/>
      <c r="I735" s="168"/>
    </row>
    <row r="736" spans="1:9">
      <c r="A736" s="165"/>
      <c r="B736" s="163"/>
      <c r="C736" s="169"/>
      <c r="D736" s="166"/>
      <c r="E736" s="166"/>
      <c r="F736" s="165"/>
      <c r="G736" s="167"/>
      <c r="H736" s="168"/>
      <c r="I736" s="168"/>
    </row>
    <row r="737" spans="1:9">
      <c r="A737" s="165"/>
      <c r="B737" s="163"/>
      <c r="C737" s="169"/>
      <c r="D737" s="166"/>
      <c r="E737" s="166"/>
      <c r="F737" s="165"/>
      <c r="G737" s="167"/>
      <c r="H737" s="168"/>
      <c r="I737" s="168"/>
    </row>
    <row r="738" spans="1:9">
      <c r="A738" s="165"/>
      <c r="B738" s="163"/>
      <c r="C738" s="169"/>
      <c r="D738" s="166"/>
      <c r="E738" s="166"/>
      <c r="F738" s="165"/>
      <c r="G738" s="167"/>
      <c r="H738" s="168"/>
      <c r="I738" s="168"/>
    </row>
    <row r="739" spans="1:9">
      <c r="A739" s="165"/>
      <c r="B739" s="163"/>
      <c r="C739" s="169"/>
      <c r="D739" s="166"/>
      <c r="E739" s="166"/>
      <c r="F739" s="165"/>
      <c r="G739" s="167"/>
      <c r="H739" s="168"/>
      <c r="I739" s="168"/>
    </row>
    <row r="740" spans="1:9">
      <c r="A740" s="165"/>
      <c r="B740" s="163"/>
      <c r="C740" s="169"/>
      <c r="D740" s="166"/>
      <c r="E740" s="166"/>
      <c r="F740" s="165"/>
      <c r="G740" s="167"/>
      <c r="H740" s="168"/>
      <c r="I740" s="168"/>
    </row>
    <row r="741" spans="1:9">
      <c r="A741" s="165"/>
      <c r="B741" s="163"/>
      <c r="C741" s="169"/>
      <c r="D741" s="166"/>
      <c r="E741" s="166"/>
      <c r="F741" s="165"/>
      <c r="G741" s="167"/>
      <c r="H741" s="168"/>
      <c r="I741" s="168"/>
    </row>
    <row r="742" spans="1:9">
      <c r="A742" s="165"/>
      <c r="B742" s="163"/>
      <c r="C742" s="169"/>
      <c r="D742" s="166"/>
      <c r="E742" s="166"/>
      <c r="F742" s="165"/>
      <c r="G742" s="167"/>
      <c r="H742" s="168"/>
      <c r="I742" s="168"/>
    </row>
    <row r="743" spans="1:9">
      <c r="A743" s="165"/>
      <c r="B743" s="163"/>
      <c r="C743" s="169"/>
      <c r="D743" s="166"/>
      <c r="E743" s="166"/>
      <c r="F743" s="165"/>
      <c r="G743" s="167"/>
      <c r="H743" s="168"/>
      <c r="I743" s="168"/>
    </row>
    <row r="744" spans="1:9">
      <c r="A744" s="165"/>
      <c r="B744" s="163"/>
      <c r="C744" s="169"/>
      <c r="D744" s="166"/>
      <c r="E744" s="166"/>
      <c r="F744" s="165"/>
      <c r="G744" s="167"/>
      <c r="H744" s="168"/>
      <c r="I744" s="168"/>
    </row>
    <row r="745" spans="1:9">
      <c r="A745" s="165"/>
      <c r="B745" s="163"/>
      <c r="C745" s="169"/>
      <c r="D745" s="166"/>
      <c r="E745" s="166"/>
      <c r="F745" s="165"/>
      <c r="G745" s="167"/>
      <c r="H745" s="168"/>
      <c r="I745" s="168"/>
    </row>
    <row r="746" spans="1:9">
      <c r="A746" s="165"/>
      <c r="B746" s="163"/>
      <c r="C746" s="169"/>
      <c r="D746" s="166"/>
      <c r="E746" s="166"/>
      <c r="F746" s="165"/>
      <c r="G746" s="167"/>
      <c r="H746" s="168"/>
      <c r="I746" s="168"/>
    </row>
    <row r="747" spans="1:9">
      <c r="A747" s="165"/>
      <c r="B747" s="163"/>
      <c r="C747" s="169"/>
      <c r="D747" s="166"/>
      <c r="E747" s="166"/>
      <c r="F747" s="165"/>
      <c r="G747" s="167"/>
      <c r="H747" s="168"/>
      <c r="I747" s="168"/>
    </row>
    <row r="748" spans="1:9">
      <c r="A748" s="165"/>
      <c r="B748" s="163"/>
      <c r="C748" s="169"/>
      <c r="D748" s="166"/>
      <c r="E748" s="166"/>
      <c r="F748" s="165"/>
      <c r="G748" s="167"/>
      <c r="H748" s="168"/>
      <c r="I748" s="168"/>
    </row>
    <row r="749" spans="1:9">
      <c r="A749" s="165"/>
      <c r="B749" s="163"/>
      <c r="C749" s="169"/>
      <c r="D749" s="166"/>
      <c r="E749" s="166"/>
      <c r="F749" s="165"/>
      <c r="G749" s="167"/>
      <c r="H749" s="168"/>
      <c r="I749" s="168"/>
    </row>
    <row r="750" spans="1:9">
      <c r="A750" s="165"/>
      <c r="B750" s="163"/>
      <c r="C750" s="169"/>
      <c r="D750" s="166"/>
      <c r="E750" s="166"/>
      <c r="F750" s="165"/>
      <c r="G750" s="167"/>
      <c r="H750" s="168"/>
      <c r="I750" s="168"/>
    </row>
    <row r="751" spans="1:9">
      <c r="A751" s="165"/>
      <c r="B751" s="163"/>
      <c r="C751" s="169"/>
      <c r="D751" s="166"/>
      <c r="E751" s="166"/>
      <c r="F751" s="165"/>
      <c r="G751" s="167"/>
      <c r="H751" s="168"/>
      <c r="I751" s="168"/>
    </row>
    <row r="752" spans="1:9">
      <c r="A752" s="165"/>
      <c r="B752" s="163"/>
      <c r="C752" s="169"/>
      <c r="D752" s="166"/>
      <c r="E752" s="166"/>
      <c r="F752" s="165"/>
      <c r="G752" s="167"/>
      <c r="H752" s="168"/>
      <c r="I752" s="168"/>
    </row>
    <row r="753" spans="1:9">
      <c r="A753" s="165"/>
      <c r="B753" s="163"/>
      <c r="C753" s="169"/>
      <c r="D753" s="166"/>
      <c r="E753" s="166"/>
      <c r="F753" s="165"/>
      <c r="G753" s="167"/>
      <c r="H753" s="168"/>
      <c r="I753" s="168"/>
    </row>
    <row r="754" spans="1:9">
      <c r="A754" s="165"/>
      <c r="B754" s="163"/>
      <c r="C754" s="169"/>
      <c r="D754" s="166"/>
      <c r="E754" s="166"/>
      <c r="F754" s="165"/>
      <c r="G754" s="167"/>
      <c r="H754" s="168"/>
      <c r="I754" s="168"/>
    </row>
    <row r="755" spans="1:9">
      <c r="A755" s="165"/>
      <c r="B755" s="163"/>
      <c r="C755" s="169"/>
      <c r="D755" s="166"/>
      <c r="E755" s="166"/>
      <c r="F755" s="165"/>
      <c r="G755" s="167"/>
      <c r="H755" s="168"/>
      <c r="I755" s="168"/>
    </row>
    <row r="756" spans="1:9">
      <c r="A756" s="165"/>
      <c r="B756" s="163"/>
      <c r="C756" s="169"/>
      <c r="D756" s="166"/>
      <c r="E756" s="166"/>
      <c r="F756" s="165"/>
      <c r="G756" s="167"/>
      <c r="H756" s="168"/>
      <c r="I756" s="168"/>
    </row>
    <row r="757" spans="1:9">
      <c r="A757" s="165"/>
      <c r="B757" s="163"/>
      <c r="C757" s="169"/>
      <c r="D757" s="166"/>
      <c r="E757" s="166"/>
      <c r="F757" s="165"/>
      <c r="G757" s="167"/>
      <c r="H757" s="168"/>
      <c r="I757" s="168"/>
    </row>
    <row r="758" spans="1:9">
      <c r="A758" s="165"/>
      <c r="B758" s="163"/>
      <c r="C758" s="169"/>
      <c r="D758" s="166"/>
      <c r="E758" s="166"/>
      <c r="F758" s="165"/>
      <c r="G758" s="167"/>
      <c r="H758" s="168"/>
      <c r="I758" s="168"/>
    </row>
    <row r="759" spans="1:9">
      <c r="A759" s="165"/>
      <c r="B759" s="163"/>
      <c r="C759" s="169"/>
      <c r="D759" s="166"/>
      <c r="E759" s="166"/>
      <c r="F759" s="165"/>
      <c r="G759" s="167"/>
      <c r="H759" s="168"/>
      <c r="I759" s="168"/>
    </row>
    <row r="760" spans="1:9">
      <c r="A760" s="165"/>
      <c r="B760" s="163"/>
      <c r="C760" s="169"/>
      <c r="D760" s="166"/>
      <c r="E760" s="166"/>
      <c r="F760" s="165"/>
      <c r="G760" s="167"/>
      <c r="H760" s="168"/>
      <c r="I760" s="168"/>
    </row>
    <row r="761" spans="1:9">
      <c r="A761" s="165"/>
      <c r="B761" s="163"/>
      <c r="C761" s="169"/>
      <c r="D761" s="166"/>
      <c r="E761" s="166"/>
      <c r="F761" s="165"/>
      <c r="G761" s="167"/>
      <c r="H761" s="168"/>
      <c r="I761" s="168"/>
    </row>
    <row r="762" spans="1:9">
      <c r="A762" s="165"/>
      <c r="B762" s="163"/>
      <c r="C762" s="169"/>
      <c r="D762" s="166"/>
      <c r="E762" s="166"/>
      <c r="F762" s="165"/>
      <c r="G762" s="167"/>
      <c r="H762" s="168"/>
      <c r="I762" s="168"/>
    </row>
    <row r="763" spans="1:9">
      <c r="A763" s="165"/>
      <c r="B763" s="163"/>
      <c r="C763" s="169"/>
      <c r="D763" s="166"/>
      <c r="E763" s="166"/>
      <c r="F763" s="165"/>
      <c r="G763" s="167"/>
      <c r="H763" s="168"/>
      <c r="I763" s="168"/>
    </row>
    <row r="764" spans="1:9">
      <c r="A764" s="165"/>
      <c r="B764" s="163"/>
      <c r="C764" s="169"/>
      <c r="D764" s="166"/>
      <c r="E764" s="166"/>
      <c r="F764" s="165"/>
      <c r="G764" s="167"/>
      <c r="H764" s="168"/>
      <c r="I764" s="168"/>
    </row>
    <row r="765" spans="1:9">
      <c r="A765" s="165"/>
      <c r="B765" s="163"/>
      <c r="C765" s="169"/>
      <c r="D765" s="166"/>
      <c r="E765" s="166"/>
      <c r="F765" s="165"/>
      <c r="G765" s="167"/>
      <c r="H765" s="168"/>
      <c r="I765" s="168"/>
    </row>
    <row r="766" spans="1:9">
      <c r="A766" s="165"/>
      <c r="B766" s="163"/>
      <c r="C766" s="169"/>
      <c r="D766" s="166"/>
      <c r="E766" s="166"/>
      <c r="F766" s="165"/>
      <c r="G766" s="167"/>
      <c r="H766" s="168"/>
      <c r="I766" s="168"/>
    </row>
    <row r="767" spans="1:9">
      <c r="A767" s="165"/>
      <c r="B767" s="163"/>
      <c r="C767" s="169"/>
      <c r="D767" s="166"/>
      <c r="E767" s="166"/>
      <c r="F767" s="165"/>
      <c r="G767" s="167"/>
      <c r="H767" s="168"/>
      <c r="I767" s="168"/>
    </row>
    <row r="768" spans="1:9">
      <c r="A768" s="165"/>
      <c r="B768" s="163"/>
      <c r="C768" s="169"/>
      <c r="D768" s="166"/>
      <c r="E768" s="166"/>
      <c r="F768" s="165"/>
      <c r="G768" s="167"/>
      <c r="H768" s="168"/>
      <c r="I768" s="168"/>
    </row>
    <row r="769" spans="1:9">
      <c r="A769" s="165"/>
      <c r="B769" s="163"/>
      <c r="C769" s="169"/>
      <c r="D769" s="166"/>
      <c r="E769" s="166"/>
      <c r="F769" s="165"/>
      <c r="G769" s="167"/>
      <c r="H769" s="168"/>
      <c r="I769" s="168"/>
    </row>
    <row r="770" spans="1:9">
      <c r="A770" s="165"/>
      <c r="B770" s="163"/>
      <c r="C770" s="169"/>
      <c r="D770" s="166"/>
      <c r="E770" s="166"/>
      <c r="F770" s="165"/>
      <c r="G770" s="167"/>
      <c r="H770" s="168"/>
      <c r="I770" s="168"/>
    </row>
    <row r="771" spans="1:9">
      <c r="A771" s="165"/>
      <c r="B771" s="163"/>
      <c r="C771" s="169"/>
      <c r="D771" s="166"/>
      <c r="E771" s="166"/>
      <c r="F771" s="165"/>
      <c r="G771" s="167"/>
      <c r="H771" s="168"/>
      <c r="I771" s="168"/>
    </row>
    <row r="772" spans="1:9">
      <c r="A772" s="165"/>
      <c r="B772" s="163"/>
      <c r="C772" s="169"/>
      <c r="D772" s="166"/>
      <c r="E772" s="166"/>
      <c r="F772" s="165"/>
      <c r="G772" s="167"/>
      <c r="H772" s="168"/>
      <c r="I772" s="168"/>
    </row>
    <row r="773" spans="1:9">
      <c r="A773" s="165"/>
      <c r="B773" s="163"/>
      <c r="C773" s="169"/>
      <c r="D773" s="166"/>
      <c r="E773" s="166"/>
      <c r="F773" s="165"/>
      <c r="G773" s="167"/>
      <c r="H773" s="168"/>
      <c r="I773" s="168"/>
    </row>
    <row r="774" spans="1:9">
      <c r="A774" s="165"/>
      <c r="B774" s="163"/>
      <c r="C774" s="169"/>
      <c r="D774" s="166"/>
      <c r="E774" s="166"/>
      <c r="F774" s="165"/>
      <c r="G774" s="167"/>
      <c r="H774" s="168"/>
      <c r="I774" s="168"/>
    </row>
    <row r="775" spans="1:9">
      <c r="A775" s="165"/>
      <c r="B775" s="163"/>
      <c r="C775" s="169"/>
      <c r="D775" s="166"/>
      <c r="E775" s="166"/>
      <c r="F775" s="165"/>
      <c r="G775" s="167"/>
      <c r="H775" s="168"/>
      <c r="I775" s="168"/>
    </row>
    <row r="776" spans="1:9">
      <c r="A776" s="165"/>
      <c r="B776" s="163"/>
      <c r="C776" s="169"/>
      <c r="D776" s="166"/>
      <c r="E776" s="166"/>
      <c r="F776" s="165"/>
      <c r="G776" s="167"/>
      <c r="H776" s="168"/>
      <c r="I776" s="168"/>
    </row>
    <row r="777" spans="1:9">
      <c r="A777" s="165"/>
      <c r="B777" s="163"/>
      <c r="C777" s="169"/>
      <c r="D777" s="166"/>
      <c r="E777" s="166"/>
      <c r="F777" s="165"/>
      <c r="G777" s="167"/>
      <c r="H777" s="168"/>
      <c r="I777" s="168"/>
    </row>
    <row r="778" spans="1:9">
      <c r="A778" s="165"/>
      <c r="B778" s="163"/>
      <c r="C778" s="169"/>
      <c r="D778" s="166"/>
      <c r="E778" s="166"/>
      <c r="F778" s="165"/>
      <c r="G778" s="167"/>
      <c r="H778" s="168"/>
      <c r="I778" s="168"/>
    </row>
    <row r="779" spans="1:9">
      <c r="A779" s="165"/>
      <c r="B779" s="163"/>
      <c r="C779" s="169"/>
      <c r="D779" s="166"/>
      <c r="E779" s="166"/>
      <c r="F779" s="165"/>
      <c r="G779" s="167"/>
      <c r="H779" s="168"/>
      <c r="I779" s="168"/>
    </row>
    <row r="780" spans="1:9">
      <c r="A780" s="165"/>
      <c r="B780" s="163"/>
      <c r="C780" s="169"/>
      <c r="D780" s="166"/>
      <c r="E780" s="166"/>
      <c r="F780" s="165"/>
      <c r="G780" s="167"/>
      <c r="H780" s="168"/>
      <c r="I780" s="168"/>
    </row>
    <row r="781" spans="1:9">
      <c r="A781" s="165"/>
      <c r="B781" s="163"/>
      <c r="C781" s="169"/>
      <c r="D781" s="166"/>
      <c r="E781" s="166"/>
      <c r="F781" s="165"/>
      <c r="G781" s="167"/>
      <c r="H781" s="168"/>
      <c r="I781" s="168"/>
    </row>
    <row r="782" spans="1:9">
      <c r="A782" s="165"/>
      <c r="B782" s="163"/>
      <c r="C782" s="169"/>
      <c r="D782" s="166"/>
      <c r="E782" s="166"/>
      <c r="F782" s="165"/>
      <c r="G782" s="167"/>
      <c r="H782" s="168"/>
      <c r="I782" s="168"/>
    </row>
    <row r="783" spans="1:9">
      <c r="A783" s="165"/>
      <c r="B783" s="163"/>
      <c r="C783" s="169"/>
      <c r="D783" s="166"/>
      <c r="E783" s="166"/>
      <c r="F783" s="165"/>
      <c r="G783" s="167"/>
      <c r="H783" s="168"/>
      <c r="I783" s="168"/>
    </row>
    <row r="784" spans="1:9">
      <c r="A784" s="165"/>
      <c r="B784" s="163"/>
      <c r="C784" s="169"/>
      <c r="D784" s="166"/>
      <c r="E784" s="166"/>
      <c r="F784" s="165"/>
      <c r="G784" s="167"/>
      <c r="H784" s="168"/>
      <c r="I784" s="168"/>
    </row>
    <row r="785" spans="1:9">
      <c r="A785" s="165"/>
      <c r="B785" s="163"/>
      <c r="C785" s="169"/>
      <c r="D785" s="166"/>
      <c r="E785" s="166"/>
      <c r="F785" s="165"/>
      <c r="G785" s="167"/>
      <c r="H785" s="168"/>
      <c r="I785" s="168"/>
    </row>
    <row r="786" spans="1:9">
      <c r="A786" s="165"/>
      <c r="B786" s="163"/>
      <c r="C786" s="169"/>
      <c r="D786" s="166"/>
      <c r="E786" s="166"/>
      <c r="F786" s="165"/>
      <c r="G786" s="167"/>
      <c r="H786" s="168"/>
      <c r="I786" s="168"/>
    </row>
    <row r="787" spans="1:9">
      <c r="A787" s="165"/>
      <c r="B787" s="163"/>
      <c r="C787" s="169"/>
      <c r="D787" s="166"/>
      <c r="E787" s="166"/>
      <c r="F787" s="165"/>
      <c r="G787" s="167"/>
      <c r="H787" s="168"/>
      <c r="I787" s="168"/>
    </row>
    <row r="788" spans="1:9">
      <c r="A788" s="165"/>
      <c r="B788" s="163"/>
      <c r="C788" s="169"/>
      <c r="D788" s="166"/>
      <c r="E788" s="166"/>
      <c r="F788" s="165"/>
      <c r="G788" s="167"/>
      <c r="H788" s="168"/>
      <c r="I788" s="168"/>
    </row>
    <row r="789" spans="1:9">
      <c r="A789" s="165"/>
      <c r="B789" s="163"/>
      <c r="C789" s="169"/>
      <c r="D789" s="166"/>
      <c r="E789" s="166"/>
      <c r="F789" s="165"/>
      <c r="G789" s="167"/>
      <c r="H789" s="168"/>
      <c r="I789" s="168"/>
    </row>
    <row r="790" spans="1:9">
      <c r="A790" s="165"/>
      <c r="B790" s="163"/>
      <c r="C790" s="169"/>
      <c r="D790" s="166"/>
      <c r="E790" s="166"/>
      <c r="F790" s="165"/>
      <c r="G790" s="167"/>
      <c r="H790" s="168"/>
      <c r="I790" s="168"/>
    </row>
    <row r="791" spans="1:9">
      <c r="A791" s="165"/>
      <c r="B791" s="163"/>
      <c r="C791" s="169"/>
      <c r="D791" s="166"/>
      <c r="E791" s="166"/>
      <c r="F791" s="165"/>
      <c r="G791" s="167"/>
      <c r="H791" s="168"/>
      <c r="I791" s="168"/>
    </row>
    <row r="792" spans="1:9">
      <c r="A792" s="165"/>
      <c r="B792" s="163"/>
      <c r="C792" s="169"/>
      <c r="D792" s="166"/>
      <c r="E792" s="166"/>
      <c r="F792" s="165"/>
      <c r="G792" s="167"/>
      <c r="H792" s="168"/>
      <c r="I792" s="168"/>
    </row>
    <row r="793" spans="1:9">
      <c r="A793" s="165"/>
      <c r="B793" s="163"/>
      <c r="C793" s="169"/>
      <c r="D793" s="166"/>
      <c r="E793" s="166"/>
      <c r="F793" s="165"/>
      <c r="G793" s="167"/>
      <c r="H793" s="168"/>
      <c r="I793" s="168"/>
    </row>
    <row r="794" spans="1:9">
      <c r="A794" s="165"/>
      <c r="B794" s="163"/>
      <c r="C794" s="169"/>
      <c r="D794" s="166"/>
      <c r="E794" s="166"/>
      <c r="F794" s="165"/>
      <c r="G794" s="167"/>
      <c r="H794" s="168"/>
      <c r="I794" s="168"/>
    </row>
    <row r="795" spans="1:9">
      <c r="A795" s="165"/>
      <c r="B795" s="163"/>
      <c r="C795" s="169"/>
      <c r="D795" s="166"/>
      <c r="E795" s="166"/>
      <c r="F795" s="165"/>
      <c r="G795" s="167"/>
      <c r="H795" s="168"/>
      <c r="I795" s="168"/>
    </row>
    <row r="796" spans="1:9">
      <c r="A796" s="165"/>
      <c r="B796" s="163"/>
      <c r="C796" s="169"/>
      <c r="D796" s="166"/>
      <c r="E796" s="166"/>
      <c r="F796" s="165"/>
      <c r="G796" s="167"/>
      <c r="H796" s="168"/>
      <c r="I796" s="168"/>
    </row>
    <row r="797" spans="1:9">
      <c r="A797" s="165"/>
      <c r="B797" s="163"/>
      <c r="C797" s="169"/>
      <c r="D797" s="166"/>
      <c r="E797" s="166"/>
      <c r="F797" s="165"/>
      <c r="G797" s="167"/>
      <c r="H797" s="168"/>
      <c r="I797" s="168"/>
    </row>
    <row r="798" spans="1:9">
      <c r="A798" s="165"/>
      <c r="B798" s="163"/>
      <c r="C798" s="169"/>
      <c r="D798" s="166"/>
      <c r="E798" s="166"/>
      <c r="F798" s="165"/>
      <c r="G798" s="167"/>
      <c r="H798" s="168"/>
      <c r="I798" s="168"/>
    </row>
    <row r="799" spans="1:9">
      <c r="A799" s="165"/>
      <c r="B799" s="163"/>
      <c r="C799" s="169"/>
      <c r="D799" s="166"/>
      <c r="E799" s="166"/>
      <c r="F799" s="165"/>
      <c r="G799" s="167"/>
      <c r="H799" s="168"/>
      <c r="I799" s="168"/>
    </row>
    <row r="800" spans="1:9">
      <c r="A800" s="165"/>
      <c r="B800" s="163"/>
      <c r="C800" s="169"/>
      <c r="D800" s="166"/>
      <c r="E800" s="166"/>
      <c r="F800" s="165"/>
      <c r="G800" s="167"/>
      <c r="H800" s="168"/>
      <c r="I800" s="168"/>
    </row>
    <row r="801" spans="1:9">
      <c r="A801" s="165"/>
      <c r="B801" s="163"/>
      <c r="C801" s="169"/>
      <c r="D801" s="166"/>
      <c r="E801" s="166"/>
      <c r="F801" s="165"/>
      <c r="G801" s="167"/>
      <c r="H801" s="168"/>
      <c r="I801" s="168"/>
    </row>
    <row r="802" spans="1:9">
      <c r="A802" s="165"/>
      <c r="B802" s="163"/>
      <c r="C802" s="169"/>
      <c r="D802" s="166"/>
      <c r="E802" s="166"/>
      <c r="F802" s="165"/>
      <c r="G802" s="167"/>
      <c r="H802" s="168"/>
      <c r="I802" s="168"/>
    </row>
    <row r="803" spans="1:9">
      <c r="A803" s="165"/>
      <c r="B803" s="163"/>
      <c r="C803" s="169"/>
      <c r="D803" s="166"/>
      <c r="E803" s="166"/>
      <c r="F803" s="165"/>
      <c r="G803" s="167"/>
      <c r="H803" s="168"/>
      <c r="I803" s="168"/>
    </row>
    <row r="804" spans="1:9">
      <c r="A804" s="165"/>
      <c r="B804" s="163"/>
      <c r="C804" s="169"/>
      <c r="D804" s="166"/>
      <c r="E804" s="166"/>
      <c r="F804" s="165"/>
      <c r="G804" s="167"/>
      <c r="H804" s="168"/>
      <c r="I804" s="168"/>
    </row>
    <row r="805" spans="1:9">
      <c r="A805" s="165"/>
      <c r="B805" s="163"/>
      <c r="C805" s="169"/>
      <c r="D805" s="166"/>
      <c r="E805" s="166"/>
      <c r="F805" s="165"/>
      <c r="G805" s="167"/>
      <c r="H805" s="168"/>
      <c r="I805" s="168"/>
    </row>
    <row r="806" spans="1:9">
      <c r="A806" s="165"/>
      <c r="B806" s="163"/>
      <c r="C806" s="169"/>
      <c r="D806" s="166"/>
      <c r="E806" s="166"/>
      <c r="F806" s="165"/>
      <c r="G806" s="167"/>
      <c r="H806" s="168"/>
      <c r="I806" s="168"/>
    </row>
    <row r="807" spans="1:9">
      <c r="A807" s="165"/>
      <c r="B807" s="163"/>
      <c r="C807" s="169"/>
      <c r="D807" s="166"/>
      <c r="E807" s="166"/>
      <c r="F807" s="165"/>
      <c r="G807" s="167"/>
      <c r="H807" s="168"/>
      <c r="I807" s="168"/>
    </row>
    <row r="808" spans="1:9">
      <c r="A808" s="165"/>
      <c r="B808" s="163"/>
      <c r="C808" s="169"/>
      <c r="D808" s="166"/>
      <c r="E808" s="166"/>
      <c r="F808" s="165"/>
      <c r="G808" s="167"/>
      <c r="H808" s="168"/>
      <c r="I808" s="168"/>
    </row>
    <row r="809" spans="1:9">
      <c r="A809" s="165"/>
      <c r="B809" s="163"/>
      <c r="C809" s="169"/>
      <c r="D809" s="166"/>
      <c r="E809" s="166"/>
      <c r="F809" s="165"/>
      <c r="G809" s="167"/>
      <c r="H809" s="168"/>
      <c r="I809" s="168"/>
    </row>
    <row r="810" spans="1:9">
      <c r="A810" s="165"/>
      <c r="B810" s="163"/>
      <c r="C810" s="169"/>
      <c r="D810" s="166"/>
      <c r="E810" s="166"/>
      <c r="F810" s="165"/>
      <c r="G810" s="167"/>
      <c r="H810" s="168"/>
      <c r="I810" s="168"/>
    </row>
    <row r="811" spans="1:9">
      <c r="A811" s="165"/>
      <c r="B811" s="163"/>
      <c r="C811" s="169"/>
      <c r="D811" s="166"/>
      <c r="E811" s="166"/>
      <c r="F811" s="165"/>
      <c r="G811" s="167"/>
      <c r="H811" s="168"/>
      <c r="I811" s="168"/>
    </row>
    <row r="812" spans="1:9">
      <c r="A812" s="165"/>
      <c r="B812" s="163"/>
      <c r="C812" s="169"/>
      <c r="D812" s="166"/>
      <c r="E812" s="166"/>
      <c r="F812" s="165"/>
      <c r="G812" s="167"/>
      <c r="H812" s="168"/>
      <c r="I812" s="168"/>
    </row>
    <row r="813" spans="1:9">
      <c r="A813" s="165"/>
      <c r="B813" s="163"/>
      <c r="C813" s="169"/>
      <c r="D813" s="166"/>
      <c r="E813" s="166"/>
      <c r="F813" s="165"/>
      <c r="G813" s="167"/>
      <c r="H813" s="168"/>
      <c r="I813" s="168"/>
    </row>
    <row r="814" spans="1:9">
      <c r="A814" s="165"/>
      <c r="B814" s="163"/>
      <c r="C814" s="169"/>
      <c r="D814" s="166"/>
      <c r="E814" s="166"/>
      <c r="F814" s="165"/>
      <c r="G814" s="167"/>
      <c r="H814" s="168"/>
      <c r="I814" s="168"/>
    </row>
    <row r="815" spans="1:9">
      <c r="A815" s="165"/>
      <c r="B815" s="163"/>
      <c r="C815" s="169"/>
      <c r="D815" s="166"/>
      <c r="E815" s="166"/>
      <c r="F815" s="165"/>
      <c r="G815" s="167"/>
      <c r="H815" s="168"/>
      <c r="I815" s="168"/>
    </row>
    <row r="816" spans="1:9">
      <c r="A816" s="165"/>
      <c r="B816" s="163"/>
      <c r="C816" s="169"/>
      <c r="D816" s="166"/>
      <c r="E816" s="166"/>
      <c r="F816" s="165"/>
      <c r="G816" s="167"/>
      <c r="H816" s="168"/>
      <c r="I816" s="168"/>
    </row>
    <row r="817" spans="1:9">
      <c r="A817" s="165"/>
      <c r="B817" s="163"/>
      <c r="C817" s="169"/>
      <c r="D817" s="166"/>
      <c r="E817" s="166"/>
      <c r="F817" s="165"/>
      <c r="G817" s="167"/>
      <c r="H817" s="168"/>
      <c r="I817" s="168"/>
    </row>
    <row r="818" spans="1:9">
      <c r="A818" s="165"/>
      <c r="B818" s="163"/>
      <c r="C818" s="169"/>
      <c r="D818" s="166"/>
      <c r="E818" s="166"/>
      <c r="F818" s="165"/>
      <c r="G818" s="167"/>
      <c r="H818" s="168"/>
      <c r="I818" s="168"/>
    </row>
    <row r="819" spans="1:9">
      <c r="A819" s="165"/>
      <c r="B819" s="163"/>
      <c r="C819" s="169"/>
      <c r="D819" s="166"/>
      <c r="E819" s="166"/>
      <c r="F819" s="165"/>
      <c r="G819" s="167"/>
      <c r="H819" s="168"/>
      <c r="I819" s="168"/>
    </row>
    <row r="820" spans="1:9">
      <c r="A820" s="165"/>
      <c r="B820" s="163"/>
      <c r="C820" s="169"/>
      <c r="D820" s="166"/>
      <c r="E820" s="166"/>
      <c r="F820" s="165"/>
      <c r="G820" s="167"/>
      <c r="H820" s="168"/>
      <c r="I820" s="168"/>
    </row>
    <row r="821" spans="1:9">
      <c r="A821" s="165"/>
      <c r="B821" s="163"/>
      <c r="C821" s="169"/>
      <c r="D821" s="166"/>
      <c r="E821" s="166"/>
      <c r="F821" s="165"/>
      <c r="G821" s="167"/>
      <c r="H821" s="168"/>
      <c r="I821" s="168"/>
    </row>
    <row r="822" spans="1:9">
      <c r="A822" s="165"/>
      <c r="B822" s="163"/>
      <c r="C822" s="169"/>
      <c r="D822" s="166"/>
      <c r="E822" s="166"/>
      <c r="F822" s="165"/>
      <c r="G822" s="167"/>
      <c r="H822" s="168"/>
      <c r="I822" s="168"/>
    </row>
    <row r="823" spans="1:9">
      <c r="A823" s="165"/>
      <c r="B823" s="163"/>
      <c r="C823" s="169"/>
      <c r="D823" s="166"/>
      <c r="E823" s="166"/>
      <c r="F823" s="165"/>
      <c r="G823" s="167"/>
      <c r="H823" s="168"/>
      <c r="I823" s="168"/>
    </row>
    <row r="824" spans="1:9">
      <c r="A824" s="165"/>
      <c r="B824" s="163"/>
      <c r="C824" s="169"/>
      <c r="D824" s="166"/>
      <c r="E824" s="166"/>
      <c r="F824" s="165"/>
      <c r="G824" s="167"/>
      <c r="H824" s="168"/>
      <c r="I824" s="168"/>
    </row>
    <row r="825" spans="1:9">
      <c r="A825" s="165"/>
      <c r="B825" s="163"/>
      <c r="C825" s="169"/>
      <c r="D825" s="166"/>
      <c r="E825" s="166"/>
      <c r="F825" s="165"/>
      <c r="G825" s="167"/>
      <c r="H825" s="168"/>
      <c r="I825" s="168"/>
    </row>
    <row r="826" spans="1:9">
      <c r="A826" s="165"/>
      <c r="B826" s="163"/>
      <c r="C826" s="169"/>
      <c r="D826" s="166"/>
      <c r="E826" s="166"/>
      <c r="F826" s="165"/>
      <c r="G826" s="167"/>
      <c r="H826" s="168"/>
      <c r="I826" s="168"/>
    </row>
    <row r="827" spans="1:9">
      <c r="A827" s="165"/>
      <c r="B827" s="163"/>
      <c r="C827" s="169"/>
      <c r="D827" s="166"/>
      <c r="E827" s="166"/>
      <c r="F827" s="165"/>
      <c r="G827" s="167"/>
      <c r="H827" s="168"/>
      <c r="I827" s="168"/>
    </row>
    <row r="828" spans="1:9">
      <c r="A828" s="165"/>
      <c r="B828" s="163"/>
      <c r="C828" s="169"/>
      <c r="D828" s="166"/>
      <c r="E828" s="166"/>
      <c r="F828" s="165"/>
      <c r="G828" s="167"/>
      <c r="H828" s="168"/>
      <c r="I828" s="168"/>
    </row>
    <row r="829" spans="1:9">
      <c r="A829" s="165"/>
      <c r="B829" s="163"/>
      <c r="C829" s="169"/>
      <c r="D829" s="166"/>
      <c r="E829" s="166"/>
      <c r="F829" s="165"/>
      <c r="G829" s="167"/>
      <c r="H829" s="168"/>
      <c r="I829" s="168"/>
    </row>
    <row r="830" spans="1:9">
      <c r="A830" s="165"/>
      <c r="B830" s="163"/>
      <c r="C830" s="169"/>
      <c r="D830" s="166"/>
      <c r="E830" s="166"/>
      <c r="F830" s="165"/>
      <c r="G830" s="167"/>
      <c r="H830" s="168"/>
      <c r="I830" s="168"/>
    </row>
    <row r="831" spans="1:9">
      <c r="A831" s="165"/>
      <c r="B831" s="163"/>
      <c r="C831" s="169"/>
      <c r="D831" s="166"/>
      <c r="E831" s="166"/>
      <c r="F831" s="165"/>
      <c r="G831" s="167"/>
      <c r="H831" s="168"/>
      <c r="I831" s="168"/>
    </row>
    <row r="832" spans="1:9">
      <c r="A832" s="165"/>
      <c r="B832" s="163"/>
      <c r="C832" s="169"/>
      <c r="D832" s="166"/>
      <c r="E832" s="166"/>
      <c r="F832" s="165"/>
      <c r="G832" s="167"/>
      <c r="H832" s="168"/>
      <c r="I832" s="168"/>
    </row>
    <row r="833" spans="1:9">
      <c r="A833" s="165"/>
      <c r="B833" s="163"/>
      <c r="C833" s="169"/>
      <c r="D833" s="166"/>
      <c r="E833" s="166"/>
      <c r="F833" s="165"/>
      <c r="G833" s="167"/>
      <c r="H833" s="168"/>
      <c r="I833" s="168"/>
    </row>
    <row r="834" spans="1:9">
      <c r="A834" s="165"/>
      <c r="B834" s="163"/>
      <c r="C834" s="169"/>
      <c r="D834" s="166"/>
      <c r="E834" s="166"/>
      <c r="F834" s="165"/>
      <c r="G834" s="167"/>
      <c r="H834" s="168"/>
      <c r="I834" s="168"/>
    </row>
    <row r="835" spans="1:9">
      <c r="A835" s="165"/>
      <c r="B835" s="163"/>
      <c r="C835" s="169"/>
      <c r="D835" s="166"/>
      <c r="E835" s="166"/>
      <c r="F835" s="165"/>
      <c r="G835" s="167"/>
      <c r="H835" s="168"/>
      <c r="I835" s="168"/>
    </row>
    <row r="836" spans="1:9">
      <c r="A836" s="165"/>
      <c r="B836" s="163"/>
      <c r="C836" s="169"/>
      <c r="D836" s="166"/>
      <c r="E836" s="166"/>
      <c r="F836" s="165"/>
      <c r="G836" s="167"/>
      <c r="H836" s="168"/>
      <c r="I836" s="168"/>
    </row>
    <row r="837" spans="1:9">
      <c r="A837" s="165"/>
      <c r="B837" s="163"/>
      <c r="C837" s="169"/>
      <c r="D837" s="166"/>
      <c r="E837" s="166"/>
      <c r="F837" s="165"/>
      <c r="G837" s="167"/>
      <c r="H837" s="168"/>
      <c r="I837" s="168"/>
    </row>
    <row r="838" spans="1:9">
      <c r="A838" s="165"/>
      <c r="B838" s="163"/>
      <c r="C838" s="169"/>
      <c r="D838" s="166"/>
      <c r="E838" s="166"/>
      <c r="F838" s="165"/>
      <c r="G838" s="167"/>
      <c r="H838" s="168"/>
      <c r="I838" s="168"/>
    </row>
    <row r="839" spans="1:9">
      <c r="A839" s="165"/>
      <c r="B839" s="163"/>
      <c r="C839" s="169"/>
      <c r="D839" s="166"/>
      <c r="E839" s="166"/>
      <c r="F839" s="165"/>
      <c r="G839" s="167"/>
      <c r="H839" s="168"/>
      <c r="I839" s="168"/>
    </row>
    <row r="840" spans="1:9">
      <c r="A840" s="165"/>
      <c r="B840" s="163"/>
      <c r="C840" s="169"/>
      <c r="D840" s="166"/>
      <c r="E840" s="166"/>
      <c r="F840" s="165"/>
      <c r="G840" s="167"/>
      <c r="H840" s="168"/>
      <c r="I840" s="168"/>
    </row>
    <row r="841" spans="1:9">
      <c r="A841" s="165"/>
      <c r="B841" s="163"/>
      <c r="C841" s="169"/>
      <c r="D841" s="166"/>
      <c r="E841" s="166"/>
      <c r="F841" s="165"/>
      <c r="G841" s="167"/>
      <c r="H841" s="168"/>
      <c r="I841" s="168"/>
    </row>
    <row r="842" spans="1:9">
      <c r="A842" s="165"/>
      <c r="B842" s="163"/>
      <c r="C842" s="169"/>
      <c r="D842" s="166"/>
      <c r="E842" s="166"/>
      <c r="F842" s="165"/>
      <c r="G842" s="167"/>
      <c r="H842" s="168"/>
      <c r="I842" s="168"/>
    </row>
    <row r="843" spans="1:9">
      <c r="A843" s="165"/>
      <c r="B843" s="163"/>
      <c r="C843" s="169"/>
      <c r="D843" s="166"/>
      <c r="E843" s="166"/>
      <c r="F843" s="165"/>
      <c r="G843" s="167"/>
      <c r="H843" s="168"/>
      <c r="I843" s="168"/>
    </row>
    <row r="844" spans="1:9">
      <c r="A844" s="165"/>
      <c r="B844" s="163"/>
      <c r="C844" s="169"/>
      <c r="D844" s="166"/>
      <c r="E844" s="166"/>
      <c r="F844" s="165"/>
      <c r="G844" s="167"/>
      <c r="H844" s="168"/>
      <c r="I844" s="168"/>
    </row>
    <row r="845" spans="1:9">
      <c r="A845" s="165"/>
      <c r="B845" s="163"/>
      <c r="C845" s="169"/>
      <c r="D845" s="166"/>
      <c r="E845" s="166"/>
      <c r="F845" s="165"/>
      <c r="G845" s="167"/>
      <c r="H845" s="168"/>
      <c r="I845" s="168"/>
    </row>
    <row r="846" spans="1:9">
      <c r="A846" s="165"/>
      <c r="B846" s="163"/>
      <c r="C846" s="169"/>
      <c r="D846" s="166"/>
      <c r="E846" s="166"/>
      <c r="F846" s="165"/>
      <c r="G846" s="167"/>
      <c r="H846" s="168"/>
      <c r="I846" s="168"/>
    </row>
    <row r="847" spans="1:9">
      <c r="A847" s="165"/>
      <c r="B847" s="163"/>
      <c r="C847" s="169"/>
      <c r="D847" s="166"/>
      <c r="E847" s="166"/>
      <c r="F847" s="165"/>
      <c r="G847" s="167"/>
      <c r="H847" s="168"/>
      <c r="I847" s="168"/>
    </row>
    <row r="848" spans="1:9">
      <c r="A848" s="165"/>
      <c r="B848" s="163"/>
      <c r="C848" s="169"/>
      <c r="D848" s="166"/>
      <c r="E848" s="166"/>
      <c r="F848" s="165"/>
      <c r="G848" s="167"/>
      <c r="H848" s="168"/>
      <c r="I848" s="168"/>
    </row>
    <row r="849" spans="1:9">
      <c r="A849" s="165"/>
      <c r="B849" s="163"/>
      <c r="C849" s="169"/>
      <c r="D849" s="166"/>
      <c r="E849" s="166"/>
      <c r="F849" s="165"/>
      <c r="G849" s="167"/>
      <c r="H849" s="168"/>
      <c r="I849" s="168"/>
    </row>
    <row r="850" spans="1:9">
      <c r="A850" s="165"/>
      <c r="B850" s="163"/>
      <c r="C850" s="169"/>
      <c r="D850" s="166"/>
      <c r="E850" s="166"/>
      <c r="F850" s="165"/>
      <c r="G850" s="167"/>
      <c r="H850" s="168"/>
      <c r="I850" s="168"/>
    </row>
    <row r="851" spans="1:9">
      <c r="A851" s="165"/>
      <c r="B851" s="163"/>
      <c r="C851" s="169"/>
      <c r="D851" s="166"/>
      <c r="E851" s="166"/>
      <c r="F851" s="165"/>
      <c r="G851" s="167"/>
      <c r="H851" s="168"/>
      <c r="I851" s="168"/>
    </row>
    <row r="852" spans="1:9">
      <c r="A852" s="165"/>
      <c r="B852" s="163"/>
      <c r="C852" s="169"/>
      <c r="D852" s="166"/>
      <c r="E852" s="166"/>
      <c r="F852" s="165"/>
      <c r="G852" s="167"/>
      <c r="H852" s="168"/>
      <c r="I852" s="168"/>
    </row>
    <row r="853" spans="1:9">
      <c r="A853" s="165"/>
      <c r="B853" s="163"/>
      <c r="C853" s="169"/>
      <c r="D853" s="166"/>
      <c r="E853" s="166"/>
      <c r="F853" s="165"/>
      <c r="G853" s="167"/>
      <c r="H853" s="168"/>
      <c r="I853" s="168"/>
    </row>
    <row r="854" spans="1:9">
      <c r="A854" s="165"/>
      <c r="B854" s="163"/>
      <c r="C854" s="169"/>
      <c r="D854" s="166"/>
      <c r="E854" s="166"/>
      <c r="F854" s="165"/>
      <c r="G854" s="167"/>
      <c r="H854" s="168"/>
      <c r="I854" s="168"/>
    </row>
    <row r="855" spans="1:9">
      <c r="A855" s="165"/>
      <c r="B855" s="163"/>
      <c r="C855" s="169"/>
      <c r="D855" s="166"/>
      <c r="E855" s="166"/>
      <c r="F855" s="165"/>
      <c r="G855" s="167"/>
      <c r="H855" s="168"/>
      <c r="I855" s="168"/>
    </row>
    <row r="856" spans="1:9">
      <c r="A856" s="165"/>
      <c r="B856" s="163"/>
      <c r="C856" s="169"/>
      <c r="D856" s="166"/>
      <c r="E856" s="166"/>
      <c r="F856" s="165"/>
      <c r="G856" s="167"/>
      <c r="H856" s="168"/>
      <c r="I856" s="168"/>
    </row>
    <row r="857" spans="1:9">
      <c r="A857" s="165"/>
      <c r="B857" s="163"/>
      <c r="C857" s="169"/>
      <c r="D857" s="166"/>
      <c r="E857" s="166"/>
      <c r="F857" s="165"/>
      <c r="G857" s="167"/>
      <c r="H857" s="168"/>
      <c r="I857" s="168"/>
    </row>
    <row r="858" spans="1:9">
      <c r="A858" s="165"/>
      <c r="B858" s="163"/>
      <c r="C858" s="169"/>
      <c r="D858" s="166"/>
      <c r="E858" s="166"/>
      <c r="F858" s="165"/>
      <c r="G858" s="167"/>
      <c r="H858" s="168"/>
      <c r="I858" s="168"/>
    </row>
    <row r="859" spans="1:9">
      <c r="A859" s="165"/>
      <c r="B859" s="163"/>
      <c r="C859" s="169"/>
      <c r="D859" s="166"/>
      <c r="E859" s="166"/>
      <c r="F859" s="165"/>
      <c r="G859" s="167"/>
      <c r="H859" s="168"/>
      <c r="I859" s="168"/>
    </row>
    <row r="860" spans="1:9">
      <c r="A860" s="165"/>
      <c r="B860" s="163"/>
      <c r="C860" s="169"/>
      <c r="D860" s="166"/>
      <c r="E860" s="166"/>
      <c r="F860" s="165"/>
      <c r="G860" s="167"/>
      <c r="H860" s="168"/>
      <c r="I860" s="168"/>
    </row>
    <row r="861" spans="1:9">
      <c r="A861" s="165"/>
      <c r="B861" s="163"/>
      <c r="C861" s="169"/>
      <c r="D861" s="166"/>
      <c r="E861" s="166"/>
      <c r="F861" s="165"/>
      <c r="G861" s="167"/>
      <c r="H861" s="168"/>
      <c r="I861" s="168"/>
    </row>
    <row r="862" spans="1:9">
      <c r="A862" s="165"/>
      <c r="B862" s="163"/>
      <c r="C862" s="169"/>
      <c r="D862" s="166"/>
      <c r="E862" s="166"/>
      <c r="F862" s="165"/>
      <c r="G862" s="167"/>
      <c r="H862" s="168"/>
      <c r="I862" s="168"/>
    </row>
    <row r="863" spans="1:9">
      <c r="A863" s="165"/>
      <c r="B863" s="163"/>
      <c r="C863" s="169"/>
      <c r="D863" s="166"/>
      <c r="E863" s="166"/>
      <c r="F863" s="165"/>
      <c r="G863" s="167"/>
      <c r="H863" s="168"/>
      <c r="I863" s="168"/>
    </row>
    <row r="864" spans="1:9">
      <c r="A864" s="165"/>
      <c r="B864" s="163"/>
      <c r="C864" s="169"/>
      <c r="D864" s="166"/>
      <c r="E864" s="166"/>
      <c r="F864" s="165"/>
      <c r="G864" s="167"/>
      <c r="H864" s="168"/>
      <c r="I864" s="168"/>
    </row>
    <row r="865" spans="1:9">
      <c r="A865" s="165"/>
      <c r="B865" s="163"/>
      <c r="C865" s="169"/>
      <c r="D865" s="166"/>
      <c r="E865" s="166"/>
      <c r="F865" s="165"/>
      <c r="G865" s="167"/>
      <c r="H865" s="168"/>
      <c r="I865" s="168"/>
    </row>
    <row r="866" spans="1:9">
      <c r="A866" s="165"/>
      <c r="B866" s="163"/>
      <c r="C866" s="169"/>
      <c r="D866" s="166"/>
      <c r="E866" s="166"/>
      <c r="F866" s="165"/>
      <c r="G866" s="167"/>
      <c r="H866" s="168"/>
      <c r="I866" s="168"/>
    </row>
    <row r="867" spans="1:9">
      <c r="A867" s="165"/>
      <c r="B867" s="163"/>
      <c r="C867" s="169"/>
      <c r="D867" s="166"/>
      <c r="E867" s="166"/>
      <c r="F867" s="165"/>
      <c r="G867" s="167"/>
      <c r="H867" s="168"/>
      <c r="I867" s="168"/>
    </row>
    <row r="868" spans="1:9">
      <c r="A868" s="165"/>
      <c r="B868" s="163"/>
      <c r="C868" s="169"/>
      <c r="D868" s="166"/>
      <c r="E868" s="166"/>
      <c r="F868" s="165"/>
      <c r="G868" s="167"/>
      <c r="H868" s="168"/>
      <c r="I868" s="168"/>
    </row>
    <row r="869" spans="1:9">
      <c r="A869" s="165"/>
      <c r="B869" s="163"/>
      <c r="C869" s="169"/>
      <c r="D869" s="166"/>
      <c r="E869" s="166"/>
      <c r="F869" s="165"/>
      <c r="G869" s="167"/>
      <c r="H869" s="168"/>
      <c r="I869" s="168"/>
    </row>
    <row r="870" spans="1:9">
      <c r="A870" s="165"/>
      <c r="B870" s="163"/>
      <c r="C870" s="169"/>
      <c r="D870" s="166"/>
      <c r="E870" s="166"/>
      <c r="F870" s="165"/>
      <c r="G870" s="167"/>
      <c r="H870" s="168"/>
      <c r="I870" s="168"/>
    </row>
    <row r="871" spans="1:9">
      <c r="A871" s="165"/>
      <c r="B871" s="163"/>
      <c r="C871" s="169"/>
      <c r="D871" s="166"/>
      <c r="E871" s="166"/>
      <c r="F871" s="165"/>
      <c r="G871" s="167"/>
      <c r="H871" s="168"/>
      <c r="I871" s="168"/>
    </row>
    <row r="872" spans="1:9">
      <c r="A872" s="165"/>
      <c r="B872" s="163"/>
      <c r="C872" s="169"/>
      <c r="D872" s="166"/>
      <c r="E872" s="166"/>
      <c r="F872" s="165"/>
      <c r="G872" s="167"/>
      <c r="H872" s="168"/>
      <c r="I872" s="168"/>
    </row>
    <row r="873" spans="1:9">
      <c r="A873" s="165"/>
      <c r="B873" s="163"/>
      <c r="C873" s="169"/>
      <c r="D873" s="166"/>
      <c r="E873" s="166"/>
      <c r="F873" s="165"/>
      <c r="G873" s="167"/>
      <c r="H873" s="168"/>
      <c r="I873" s="168"/>
    </row>
    <row r="874" spans="1:9">
      <c r="A874" s="165"/>
      <c r="B874" s="163"/>
      <c r="C874" s="169"/>
      <c r="D874" s="166"/>
      <c r="E874" s="166"/>
      <c r="F874" s="165"/>
      <c r="G874" s="167"/>
      <c r="H874" s="168"/>
      <c r="I874" s="168"/>
    </row>
    <row r="875" spans="1:9">
      <c r="A875" s="165"/>
      <c r="B875" s="163"/>
      <c r="C875" s="169"/>
      <c r="D875" s="166"/>
      <c r="E875" s="166"/>
      <c r="F875" s="165"/>
      <c r="G875" s="167"/>
      <c r="H875" s="168"/>
      <c r="I875" s="168"/>
    </row>
    <row r="876" spans="1:9">
      <c r="A876" s="165"/>
      <c r="B876" s="163"/>
      <c r="C876" s="169"/>
      <c r="D876" s="166"/>
      <c r="E876" s="166"/>
      <c r="F876" s="165"/>
      <c r="G876" s="167"/>
      <c r="H876" s="168"/>
      <c r="I876" s="168"/>
    </row>
    <row r="877" spans="1:9">
      <c r="A877" s="165"/>
      <c r="B877" s="163"/>
      <c r="C877" s="169"/>
      <c r="D877" s="166"/>
      <c r="E877" s="166"/>
      <c r="F877" s="165"/>
      <c r="G877" s="167"/>
      <c r="H877" s="168"/>
      <c r="I877" s="168"/>
    </row>
    <row r="878" spans="1:9">
      <c r="A878" s="165"/>
      <c r="B878" s="163"/>
      <c r="C878" s="169"/>
      <c r="D878" s="166"/>
      <c r="E878" s="166"/>
      <c r="F878" s="165"/>
      <c r="G878" s="167"/>
      <c r="H878" s="168"/>
      <c r="I878" s="168"/>
    </row>
    <row r="879" spans="1:9">
      <c r="A879" s="165"/>
      <c r="B879" s="163"/>
      <c r="C879" s="169"/>
      <c r="D879" s="166"/>
      <c r="E879" s="166"/>
      <c r="F879" s="165"/>
      <c r="G879" s="167"/>
      <c r="H879" s="168"/>
      <c r="I879" s="168"/>
    </row>
    <row r="880" spans="1:9">
      <c r="A880" s="165"/>
      <c r="B880" s="163"/>
      <c r="C880" s="169"/>
      <c r="D880" s="166"/>
      <c r="E880" s="166"/>
      <c r="F880" s="165"/>
      <c r="G880" s="167"/>
      <c r="H880" s="168"/>
      <c r="I880" s="168"/>
    </row>
    <row r="881" spans="1:9">
      <c r="A881" s="165"/>
      <c r="B881" s="163"/>
      <c r="C881" s="169"/>
      <c r="D881" s="166"/>
      <c r="E881" s="166"/>
      <c r="F881" s="165"/>
      <c r="G881" s="167"/>
      <c r="H881" s="168"/>
      <c r="I881" s="168"/>
    </row>
    <row r="882" spans="1:9">
      <c r="A882" s="165"/>
      <c r="B882" s="163"/>
      <c r="C882" s="169"/>
      <c r="D882" s="166"/>
      <c r="E882" s="166"/>
      <c r="F882" s="165"/>
      <c r="G882" s="167"/>
      <c r="H882" s="168"/>
      <c r="I882" s="168"/>
    </row>
    <row r="883" spans="1:9">
      <c r="A883" s="165"/>
      <c r="B883" s="163"/>
      <c r="C883" s="169"/>
      <c r="D883" s="166"/>
      <c r="E883" s="166"/>
      <c r="F883" s="165"/>
      <c r="G883" s="167"/>
      <c r="H883" s="168"/>
      <c r="I883" s="168"/>
    </row>
    <row r="884" spans="1:9">
      <c r="A884" s="165"/>
      <c r="B884" s="163"/>
      <c r="C884" s="169"/>
      <c r="D884" s="166"/>
      <c r="E884" s="166"/>
      <c r="F884" s="165"/>
      <c r="G884" s="167"/>
      <c r="H884" s="168"/>
      <c r="I884" s="168"/>
    </row>
    <row r="885" spans="1:9">
      <c r="A885" s="165"/>
      <c r="B885" s="163"/>
      <c r="C885" s="169"/>
      <c r="D885" s="166"/>
      <c r="E885" s="166"/>
      <c r="F885" s="165"/>
      <c r="G885" s="167"/>
      <c r="H885" s="168"/>
      <c r="I885" s="168"/>
    </row>
    <row r="886" spans="1:9">
      <c r="A886" s="165"/>
      <c r="B886" s="163"/>
      <c r="C886" s="169"/>
      <c r="D886" s="166"/>
      <c r="E886" s="166"/>
      <c r="F886" s="165"/>
      <c r="G886" s="167"/>
      <c r="H886" s="168"/>
      <c r="I886" s="168"/>
    </row>
    <row r="887" spans="1:9">
      <c r="A887" s="165"/>
      <c r="B887" s="163"/>
      <c r="C887" s="169"/>
      <c r="D887" s="166"/>
      <c r="E887" s="166"/>
      <c r="F887" s="165"/>
      <c r="G887" s="167"/>
      <c r="H887" s="168"/>
      <c r="I887" s="168"/>
    </row>
    <row r="888" spans="1:9">
      <c r="A888" s="165"/>
      <c r="B888" s="163"/>
      <c r="C888" s="169"/>
      <c r="D888" s="166"/>
      <c r="E888" s="166"/>
      <c r="F888" s="165"/>
      <c r="G888" s="167"/>
      <c r="H888" s="168"/>
      <c r="I888" s="168"/>
    </row>
    <row r="889" spans="1:9">
      <c r="A889" s="165"/>
      <c r="B889" s="163"/>
      <c r="C889" s="169"/>
      <c r="D889" s="166"/>
      <c r="E889" s="166"/>
      <c r="F889" s="165"/>
      <c r="G889" s="167"/>
      <c r="H889" s="168"/>
      <c r="I889" s="168"/>
    </row>
    <row r="890" spans="1:9">
      <c r="A890" s="165"/>
      <c r="B890" s="163"/>
      <c r="C890" s="169"/>
      <c r="D890" s="166"/>
      <c r="E890" s="166"/>
      <c r="F890" s="165"/>
      <c r="G890" s="167"/>
      <c r="H890" s="168"/>
      <c r="I890" s="168"/>
    </row>
    <row r="891" spans="1:9">
      <c r="A891" s="165"/>
      <c r="B891" s="163"/>
      <c r="C891" s="169"/>
      <c r="D891" s="166"/>
      <c r="E891" s="166"/>
      <c r="F891" s="165"/>
      <c r="G891" s="167"/>
      <c r="H891" s="168"/>
      <c r="I891" s="168"/>
    </row>
    <row r="892" spans="1:9">
      <c r="A892" s="165"/>
      <c r="B892" s="163"/>
      <c r="C892" s="169"/>
      <c r="D892" s="166"/>
      <c r="E892" s="166"/>
      <c r="F892" s="165"/>
      <c r="G892" s="167"/>
      <c r="H892" s="168"/>
      <c r="I892" s="168"/>
    </row>
    <row r="893" spans="1:9">
      <c r="A893" s="165"/>
      <c r="B893" s="163"/>
      <c r="C893" s="169"/>
      <c r="D893" s="166"/>
      <c r="E893" s="166"/>
      <c r="F893" s="165"/>
      <c r="G893" s="167"/>
      <c r="H893" s="168"/>
      <c r="I893" s="168"/>
    </row>
    <row r="894" spans="1:9">
      <c r="A894" s="165"/>
      <c r="B894" s="163"/>
      <c r="C894" s="169"/>
      <c r="D894" s="166"/>
      <c r="E894" s="166"/>
      <c r="F894" s="165"/>
      <c r="G894" s="167"/>
      <c r="H894" s="168"/>
      <c r="I894" s="168"/>
    </row>
    <row r="895" spans="1:9">
      <c r="A895" s="165"/>
      <c r="B895" s="163"/>
      <c r="C895" s="169"/>
      <c r="D895" s="166"/>
      <c r="E895" s="166"/>
      <c r="F895" s="165"/>
      <c r="G895" s="167"/>
      <c r="H895" s="168"/>
      <c r="I895" s="168"/>
    </row>
    <row r="896" spans="1:9">
      <c r="A896" s="165"/>
      <c r="B896" s="163"/>
      <c r="C896" s="169"/>
      <c r="D896" s="166"/>
      <c r="E896" s="166"/>
      <c r="F896" s="165"/>
      <c r="G896" s="167"/>
      <c r="H896" s="168"/>
      <c r="I896" s="168"/>
    </row>
    <row r="897" spans="1:9">
      <c r="A897" s="165"/>
      <c r="B897" s="163"/>
      <c r="C897" s="169"/>
      <c r="D897" s="166"/>
      <c r="E897" s="166"/>
      <c r="F897" s="165"/>
      <c r="G897" s="167"/>
      <c r="H897" s="168"/>
      <c r="I897" s="168"/>
    </row>
    <row r="898" spans="1:9">
      <c r="A898" s="165"/>
      <c r="B898" s="163"/>
      <c r="C898" s="169"/>
      <c r="D898" s="166"/>
      <c r="E898" s="166"/>
      <c r="F898" s="165"/>
      <c r="G898" s="167"/>
      <c r="H898" s="168"/>
      <c r="I898" s="168"/>
    </row>
    <row r="899" spans="1:9">
      <c r="A899" s="165"/>
      <c r="B899" s="163"/>
      <c r="C899" s="169"/>
      <c r="D899" s="166"/>
      <c r="E899" s="166"/>
      <c r="F899" s="165"/>
      <c r="G899" s="167"/>
      <c r="H899" s="168"/>
      <c r="I899" s="168"/>
    </row>
    <row r="900" spans="1:9">
      <c r="A900" s="165"/>
      <c r="B900" s="163"/>
      <c r="C900" s="169"/>
      <c r="D900" s="166"/>
      <c r="E900" s="166"/>
      <c r="F900" s="165"/>
      <c r="G900" s="167"/>
      <c r="H900" s="168"/>
      <c r="I900" s="168"/>
    </row>
    <row r="901" spans="1:9">
      <c r="A901" s="165"/>
      <c r="B901" s="163"/>
      <c r="C901" s="169"/>
      <c r="D901" s="166"/>
      <c r="E901" s="166"/>
      <c r="F901" s="165"/>
      <c r="G901" s="167"/>
      <c r="H901" s="168"/>
      <c r="I901" s="168"/>
    </row>
    <row r="902" spans="1:9">
      <c r="A902" s="165"/>
      <c r="B902" s="163"/>
      <c r="C902" s="169"/>
      <c r="D902" s="166"/>
      <c r="E902" s="166"/>
      <c r="F902" s="165"/>
      <c r="G902" s="167"/>
      <c r="H902" s="168"/>
      <c r="I902" s="168"/>
    </row>
    <row r="903" spans="1:9">
      <c r="A903" s="165"/>
      <c r="B903" s="163"/>
      <c r="C903" s="169"/>
      <c r="D903" s="166"/>
      <c r="E903" s="166"/>
      <c r="F903" s="165"/>
      <c r="G903" s="167"/>
      <c r="H903" s="168"/>
      <c r="I903" s="168"/>
    </row>
    <row r="904" spans="1:9">
      <c r="A904" s="165"/>
      <c r="B904" s="163"/>
      <c r="C904" s="169"/>
      <c r="D904" s="166"/>
      <c r="E904" s="166"/>
      <c r="F904" s="165"/>
      <c r="G904" s="167"/>
      <c r="H904" s="168"/>
      <c r="I904" s="168"/>
    </row>
    <row r="905" spans="1:9">
      <c r="A905" s="165"/>
      <c r="B905" s="163"/>
      <c r="C905" s="169"/>
      <c r="D905" s="166"/>
      <c r="E905" s="166"/>
      <c r="F905" s="165"/>
      <c r="G905" s="167"/>
      <c r="H905" s="168"/>
      <c r="I905" s="168"/>
    </row>
    <row r="906" spans="1:9">
      <c r="A906" s="165"/>
      <c r="B906" s="163"/>
      <c r="C906" s="169"/>
      <c r="D906" s="166"/>
      <c r="E906" s="166"/>
      <c r="F906" s="165"/>
      <c r="G906" s="167"/>
      <c r="H906" s="168"/>
      <c r="I906" s="168"/>
    </row>
    <row r="907" spans="1:9">
      <c r="A907" s="165"/>
      <c r="B907" s="163"/>
      <c r="C907" s="169"/>
      <c r="D907" s="166"/>
      <c r="E907" s="166"/>
      <c r="F907" s="165"/>
      <c r="G907" s="167"/>
      <c r="H907" s="168"/>
      <c r="I907" s="168"/>
    </row>
    <row r="908" spans="1:9">
      <c r="A908" s="165"/>
      <c r="B908" s="163"/>
      <c r="C908" s="169"/>
      <c r="D908" s="166"/>
      <c r="E908" s="166"/>
      <c r="F908" s="165"/>
      <c r="G908" s="167"/>
      <c r="H908" s="168"/>
      <c r="I908" s="168"/>
    </row>
    <row r="909" spans="1:9">
      <c r="A909" s="165"/>
      <c r="B909" s="163"/>
      <c r="C909" s="169"/>
      <c r="D909" s="166"/>
      <c r="E909" s="166"/>
      <c r="F909" s="165"/>
      <c r="G909" s="167"/>
      <c r="H909" s="168"/>
      <c r="I909" s="168"/>
    </row>
    <row r="910" spans="1:9">
      <c r="A910" s="165"/>
      <c r="B910" s="163"/>
      <c r="C910" s="169"/>
      <c r="D910" s="166"/>
      <c r="E910" s="166"/>
      <c r="F910" s="165"/>
      <c r="G910" s="167"/>
      <c r="H910" s="168"/>
      <c r="I910" s="168"/>
    </row>
    <row r="911" spans="1:9">
      <c r="A911" s="165"/>
      <c r="B911" s="163"/>
      <c r="C911" s="169"/>
      <c r="D911" s="166"/>
      <c r="E911" s="166"/>
      <c r="F911" s="165"/>
      <c r="G911" s="167"/>
      <c r="H911" s="168"/>
      <c r="I911" s="168"/>
    </row>
    <row r="912" spans="1:9">
      <c r="A912" s="165"/>
      <c r="B912" s="163"/>
      <c r="C912" s="169"/>
      <c r="D912" s="166"/>
      <c r="E912" s="166"/>
      <c r="F912" s="165"/>
      <c r="G912" s="167"/>
      <c r="H912" s="168"/>
      <c r="I912" s="168"/>
    </row>
    <row r="913" spans="1:9">
      <c r="A913" s="165"/>
      <c r="B913" s="163"/>
      <c r="C913" s="169"/>
      <c r="D913" s="166"/>
      <c r="E913" s="166"/>
      <c r="F913" s="165"/>
      <c r="G913" s="167"/>
      <c r="H913" s="168"/>
      <c r="I913" s="168"/>
    </row>
    <row r="914" spans="1:9">
      <c r="A914" s="165"/>
      <c r="B914" s="163"/>
      <c r="C914" s="169"/>
      <c r="D914" s="166"/>
      <c r="E914" s="166"/>
      <c r="F914" s="165"/>
      <c r="G914" s="167"/>
      <c r="H914" s="168"/>
      <c r="I914" s="168"/>
    </row>
    <row r="915" spans="1:9">
      <c r="A915" s="165"/>
      <c r="B915" s="163"/>
      <c r="C915" s="169"/>
      <c r="D915" s="166"/>
      <c r="E915" s="166"/>
      <c r="F915" s="165"/>
      <c r="G915" s="167"/>
      <c r="H915" s="168"/>
      <c r="I915" s="168"/>
    </row>
    <row r="916" spans="1:9">
      <c r="A916" s="165"/>
      <c r="B916" s="163"/>
      <c r="C916" s="169"/>
      <c r="D916" s="166"/>
      <c r="E916" s="166"/>
      <c r="F916" s="165"/>
      <c r="G916" s="167"/>
      <c r="H916" s="168"/>
      <c r="I916" s="168"/>
    </row>
    <row r="917" spans="1:9">
      <c r="A917" s="165"/>
      <c r="B917" s="163"/>
      <c r="C917" s="169"/>
      <c r="D917" s="166"/>
      <c r="E917" s="166"/>
      <c r="F917" s="165"/>
      <c r="G917" s="167"/>
      <c r="H917" s="168"/>
      <c r="I917" s="168"/>
    </row>
    <row r="918" spans="1:9">
      <c r="A918" s="165"/>
      <c r="B918" s="163"/>
      <c r="C918" s="169"/>
      <c r="D918" s="166"/>
      <c r="E918" s="166"/>
      <c r="F918" s="165"/>
      <c r="G918" s="167"/>
      <c r="H918" s="168"/>
      <c r="I918" s="168"/>
    </row>
    <row r="919" spans="1:9">
      <c r="A919" s="165"/>
      <c r="B919" s="163"/>
      <c r="C919" s="169"/>
      <c r="D919" s="166"/>
      <c r="E919" s="166"/>
      <c r="F919" s="165"/>
      <c r="G919" s="167"/>
      <c r="H919" s="168"/>
      <c r="I919" s="168"/>
    </row>
    <row r="920" spans="1:9">
      <c r="A920" s="165"/>
      <c r="B920" s="163"/>
      <c r="C920" s="169"/>
      <c r="D920" s="166"/>
      <c r="E920" s="166"/>
      <c r="F920" s="165"/>
      <c r="G920" s="167"/>
      <c r="H920" s="168"/>
      <c r="I920" s="168"/>
    </row>
    <row r="921" spans="1:9">
      <c r="A921" s="165"/>
      <c r="B921" s="163"/>
      <c r="C921" s="169"/>
      <c r="D921" s="166"/>
      <c r="E921" s="166"/>
      <c r="F921" s="165"/>
      <c r="G921" s="167"/>
      <c r="H921" s="168"/>
      <c r="I921" s="168"/>
    </row>
    <row r="922" spans="1:9">
      <c r="A922" s="165"/>
      <c r="B922" s="163"/>
      <c r="C922" s="169"/>
      <c r="D922" s="166"/>
      <c r="E922" s="166"/>
      <c r="F922" s="165"/>
      <c r="G922" s="167"/>
      <c r="H922" s="168"/>
      <c r="I922" s="168"/>
    </row>
  </sheetData>
  <phoneticPr fontId="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C200"/>
  <sheetViews>
    <sheetView workbookViewId="0">
      <pane ySplit="1" topLeftCell="A2" activePane="bottomLeft" state="frozen"/>
      <selection pane="bottomLeft"/>
    </sheetView>
  </sheetViews>
  <sheetFormatPr defaultRowHeight="15.6"/>
  <cols>
    <col min="1" max="1" width="14" style="163" bestFit="1" customWidth="1"/>
    <col min="2" max="2" width="11.59765625" bestFit="1" customWidth="1"/>
    <col min="3" max="3" width="4.5" bestFit="1" customWidth="1"/>
  </cols>
  <sheetData>
    <row r="1" spans="1:3">
      <c r="A1" s="162" t="s">
        <v>159</v>
      </c>
      <c r="B1" s="162" t="s">
        <v>161</v>
      </c>
      <c r="C1" s="162" t="s">
        <v>130</v>
      </c>
    </row>
    <row r="2" spans="1:3">
      <c r="A2" s="189" t="s">
        <v>163</v>
      </c>
      <c r="B2" s="189" t="s">
        <v>167</v>
      </c>
      <c r="C2" s="189">
        <v>0.01</v>
      </c>
    </row>
    <row r="3" spans="1:3">
      <c r="A3" s="189" t="s">
        <v>164</v>
      </c>
      <c r="B3" s="189" t="s">
        <v>169</v>
      </c>
      <c r="C3" s="189">
        <f>C2+0.01</f>
        <v>0.02</v>
      </c>
    </row>
    <row r="4" spans="1:3">
      <c r="A4" s="189" t="s">
        <v>165</v>
      </c>
      <c r="B4" s="189" t="s">
        <v>170</v>
      </c>
      <c r="C4" s="189">
        <f t="shared" ref="C4:C67" si="0">C3+0.01</f>
        <v>0.03</v>
      </c>
    </row>
    <row r="5" spans="1:3">
      <c r="A5" s="189" t="s">
        <v>166</v>
      </c>
      <c r="C5" s="189">
        <f t="shared" si="0"/>
        <v>0.04</v>
      </c>
    </row>
    <row r="6" spans="1:3">
      <c r="A6" s="189"/>
      <c r="C6" s="189">
        <f t="shared" si="0"/>
        <v>0.05</v>
      </c>
    </row>
    <row r="7" spans="1:3">
      <c r="A7" s="189"/>
      <c r="B7" s="188"/>
      <c r="C7" s="189">
        <f t="shared" si="0"/>
        <v>6.0000000000000005E-2</v>
      </c>
    </row>
    <row r="8" spans="1:3">
      <c r="A8" s="189"/>
      <c r="B8" s="188"/>
      <c r="C8" s="189">
        <f t="shared" si="0"/>
        <v>7.0000000000000007E-2</v>
      </c>
    </row>
    <row r="9" spans="1:3">
      <c r="A9" s="189"/>
      <c r="B9" s="188"/>
      <c r="C9" s="189">
        <f t="shared" si="0"/>
        <v>0.08</v>
      </c>
    </row>
    <row r="10" spans="1:3">
      <c r="A10" s="189"/>
      <c r="B10" s="188"/>
      <c r="C10" s="189">
        <f t="shared" si="0"/>
        <v>0.09</v>
      </c>
    </row>
    <row r="11" spans="1:3">
      <c r="A11" s="189"/>
      <c r="B11" s="188"/>
      <c r="C11" s="189">
        <f t="shared" si="0"/>
        <v>9.9999999999999992E-2</v>
      </c>
    </row>
    <row r="12" spans="1:3">
      <c r="A12" s="189"/>
      <c r="B12" s="188"/>
      <c r="C12" s="189">
        <f t="shared" si="0"/>
        <v>0.10999999999999999</v>
      </c>
    </row>
    <row r="13" spans="1:3">
      <c r="A13" s="189"/>
      <c r="B13" s="188"/>
      <c r="C13" s="189">
        <f t="shared" si="0"/>
        <v>0.11999999999999998</v>
      </c>
    </row>
    <row r="14" spans="1:3">
      <c r="A14" s="189"/>
      <c r="B14" s="188"/>
      <c r="C14" s="189">
        <f t="shared" si="0"/>
        <v>0.12999999999999998</v>
      </c>
    </row>
    <row r="15" spans="1:3">
      <c r="A15" s="189"/>
      <c r="B15" s="188"/>
      <c r="C15" s="189">
        <f t="shared" si="0"/>
        <v>0.13999999999999999</v>
      </c>
    </row>
    <row r="16" spans="1:3">
      <c r="A16" s="189"/>
      <c r="B16" s="188"/>
      <c r="C16" s="189">
        <f t="shared" si="0"/>
        <v>0.15</v>
      </c>
    </row>
    <row r="17" spans="1:3">
      <c r="A17" s="189"/>
      <c r="B17" s="188"/>
      <c r="C17" s="189">
        <f t="shared" si="0"/>
        <v>0.16</v>
      </c>
    </row>
    <row r="18" spans="1:3">
      <c r="A18" s="189"/>
      <c r="B18" s="188"/>
      <c r="C18" s="189">
        <f t="shared" si="0"/>
        <v>0.17</v>
      </c>
    </row>
    <row r="19" spans="1:3">
      <c r="A19" s="189"/>
      <c r="B19" s="188"/>
      <c r="C19" s="189">
        <f t="shared" si="0"/>
        <v>0.18000000000000002</v>
      </c>
    </row>
    <row r="20" spans="1:3">
      <c r="A20" s="189"/>
      <c r="B20" s="188"/>
      <c r="C20" s="189">
        <f t="shared" si="0"/>
        <v>0.19000000000000003</v>
      </c>
    </row>
    <row r="21" spans="1:3">
      <c r="A21" s="189"/>
      <c r="B21" s="188"/>
      <c r="C21" s="189">
        <f t="shared" si="0"/>
        <v>0.20000000000000004</v>
      </c>
    </row>
    <row r="22" spans="1:3">
      <c r="C22" s="189">
        <f t="shared" si="0"/>
        <v>0.21000000000000005</v>
      </c>
    </row>
    <row r="23" spans="1:3">
      <c r="C23" s="189">
        <f t="shared" si="0"/>
        <v>0.22000000000000006</v>
      </c>
    </row>
    <row r="24" spans="1:3">
      <c r="C24" s="189">
        <f t="shared" si="0"/>
        <v>0.23000000000000007</v>
      </c>
    </row>
    <row r="25" spans="1:3">
      <c r="C25" s="189">
        <f t="shared" si="0"/>
        <v>0.24000000000000007</v>
      </c>
    </row>
    <row r="26" spans="1:3">
      <c r="C26" s="189">
        <f t="shared" si="0"/>
        <v>0.25000000000000006</v>
      </c>
    </row>
    <row r="27" spans="1:3">
      <c r="C27" s="189">
        <f t="shared" si="0"/>
        <v>0.26000000000000006</v>
      </c>
    </row>
    <row r="28" spans="1:3">
      <c r="C28" s="189">
        <f t="shared" si="0"/>
        <v>0.27000000000000007</v>
      </c>
    </row>
    <row r="29" spans="1:3">
      <c r="C29" s="189">
        <f t="shared" si="0"/>
        <v>0.28000000000000008</v>
      </c>
    </row>
    <row r="30" spans="1:3">
      <c r="C30" s="189">
        <f t="shared" si="0"/>
        <v>0.29000000000000009</v>
      </c>
    </row>
    <row r="31" spans="1:3">
      <c r="C31" s="189">
        <f t="shared" si="0"/>
        <v>0.3000000000000001</v>
      </c>
    </row>
    <row r="32" spans="1:3">
      <c r="C32" s="189">
        <f t="shared" si="0"/>
        <v>0.31000000000000011</v>
      </c>
    </row>
    <row r="33" spans="3:3">
      <c r="C33" s="189">
        <f t="shared" si="0"/>
        <v>0.32000000000000012</v>
      </c>
    </row>
    <row r="34" spans="3:3">
      <c r="C34" s="189">
        <f t="shared" si="0"/>
        <v>0.33000000000000013</v>
      </c>
    </row>
    <row r="35" spans="3:3">
      <c r="C35" s="189">
        <f t="shared" si="0"/>
        <v>0.34000000000000014</v>
      </c>
    </row>
    <row r="36" spans="3:3">
      <c r="C36" s="189">
        <f t="shared" si="0"/>
        <v>0.35000000000000014</v>
      </c>
    </row>
    <row r="37" spans="3:3">
      <c r="C37" s="189">
        <f t="shared" si="0"/>
        <v>0.36000000000000015</v>
      </c>
    </row>
    <row r="38" spans="3:3">
      <c r="C38" s="189">
        <f t="shared" si="0"/>
        <v>0.37000000000000016</v>
      </c>
    </row>
    <row r="39" spans="3:3">
      <c r="C39" s="189">
        <f t="shared" si="0"/>
        <v>0.38000000000000017</v>
      </c>
    </row>
    <row r="40" spans="3:3">
      <c r="C40" s="189">
        <f t="shared" si="0"/>
        <v>0.39000000000000018</v>
      </c>
    </row>
    <row r="41" spans="3:3">
      <c r="C41" s="189">
        <f t="shared" si="0"/>
        <v>0.40000000000000019</v>
      </c>
    </row>
    <row r="42" spans="3:3">
      <c r="C42" s="189">
        <f t="shared" si="0"/>
        <v>0.4100000000000002</v>
      </c>
    </row>
    <row r="43" spans="3:3">
      <c r="C43" s="189">
        <f t="shared" si="0"/>
        <v>0.42000000000000021</v>
      </c>
    </row>
    <row r="44" spans="3:3">
      <c r="C44" s="189">
        <f t="shared" si="0"/>
        <v>0.43000000000000022</v>
      </c>
    </row>
    <row r="45" spans="3:3">
      <c r="C45" s="189">
        <f t="shared" si="0"/>
        <v>0.44000000000000022</v>
      </c>
    </row>
    <row r="46" spans="3:3">
      <c r="C46" s="189">
        <f t="shared" si="0"/>
        <v>0.45000000000000023</v>
      </c>
    </row>
    <row r="47" spans="3:3">
      <c r="C47" s="189">
        <f t="shared" si="0"/>
        <v>0.46000000000000024</v>
      </c>
    </row>
    <row r="48" spans="3:3">
      <c r="C48" s="189">
        <f t="shared" si="0"/>
        <v>0.47000000000000025</v>
      </c>
    </row>
    <row r="49" spans="3:3">
      <c r="C49" s="189">
        <f t="shared" si="0"/>
        <v>0.48000000000000026</v>
      </c>
    </row>
    <row r="50" spans="3:3">
      <c r="C50" s="189">
        <f t="shared" si="0"/>
        <v>0.49000000000000027</v>
      </c>
    </row>
    <row r="51" spans="3:3">
      <c r="C51" s="189">
        <f t="shared" si="0"/>
        <v>0.50000000000000022</v>
      </c>
    </row>
    <row r="52" spans="3:3">
      <c r="C52" s="189">
        <f t="shared" si="0"/>
        <v>0.51000000000000023</v>
      </c>
    </row>
    <row r="53" spans="3:3">
      <c r="C53" s="189">
        <f t="shared" si="0"/>
        <v>0.52000000000000024</v>
      </c>
    </row>
    <row r="54" spans="3:3">
      <c r="C54" s="189">
        <f t="shared" si="0"/>
        <v>0.53000000000000025</v>
      </c>
    </row>
    <row r="55" spans="3:3">
      <c r="C55" s="189">
        <f t="shared" si="0"/>
        <v>0.54000000000000026</v>
      </c>
    </row>
    <row r="56" spans="3:3">
      <c r="C56" s="189">
        <f t="shared" si="0"/>
        <v>0.55000000000000027</v>
      </c>
    </row>
    <row r="57" spans="3:3">
      <c r="C57" s="189">
        <f t="shared" si="0"/>
        <v>0.56000000000000028</v>
      </c>
    </row>
    <row r="58" spans="3:3">
      <c r="C58" s="189">
        <f t="shared" si="0"/>
        <v>0.57000000000000028</v>
      </c>
    </row>
    <row r="59" spans="3:3">
      <c r="C59" s="189">
        <f t="shared" si="0"/>
        <v>0.58000000000000029</v>
      </c>
    </row>
    <row r="60" spans="3:3">
      <c r="C60" s="189">
        <f t="shared" si="0"/>
        <v>0.5900000000000003</v>
      </c>
    </row>
    <row r="61" spans="3:3">
      <c r="C61" s="189">
        <f t="shared" si="0"/>
        <v>0.60000000000000031</v>
      </c>
    </row>
    <row r="62" spans="3:3">
      <c r="C62" s="189">
        <f t="shared" si="0"/>
        <v>0.61000000000000032</v>
      </c>
    </row>
    <row r="63" spans="3:3">
      <c r="C63" s="189">
        <f t="shared" si="0"/>
        <v>0.62000000000000033</v>
      </c>
    </row>
    <row r="64" spans="3:3">
      <c r="C64" s="189">
        <f t="shared" si="0"/>
        <v>0.63000000000000034</v>
      </c>
    </row>
    <row r="65" spans="3:3">
      <c r="C65" s="189">
        <f t="shared" si="0"/>
        <v>0.64000000000000035</v>
      </c>
    </row>
    <row r="66" spans="3:3">
      <c r="C66" s="189">
        <f t="shared" si="0"/>
        <v>0.65000000000000036</v>
      </c>
    </row>
    <row r="67" spans="3:3">
      <c r="C67" s="189">
        <f t="shared" si="0"/>
        <v>0.66000000000000036</v>
      </c>
    </row>
    <row r="68" spans="3:3">
      <c r="C68" s="189">
        <f t="shared" ref="C68:C101" si="1">C67+0.01</f>
        <v>0.67000000000000037</v>
      </c>
    </row>
    <row r="69" spans="3:3">
      <c r="C69" s="189">
        <f t="shared" si="1"/>
        <v>0.68000000000000038</v>
      </c>
    </row>
    <row r="70" spans="3:3">
      <c r="C70" s="189">
        <f t="shared" si="1"/>
        <v>0.69000000000000039</v>
      </c>
    </row>
    <row r="71" spans="3:3">
      <c r="C71" s="189">
        <f t="shared" si="1"/>
        <v>0.7000000000000004</v>
      </c>
    </row>
    <row r="72" spans="3:3">
      <c r="C72" s="189">
        <f t="shared" si="1"/>
        <v>0.71000000000000041</v>
      </c>
    </row>
    <row r="73" spans="3:3">
      <c r="C73" s="189">
        <f t="shared" si="1"/>
        <v>0.72000000000000042</v>
      </c>
    </row>
    <row r="74" spans="3:3">
      <c r="C74" s="189">
        <f t="shared" si="1"/>
        <v>0.73000000000000043</v>
      </c>
    </row>
    <row r="75" spans="3:3">
      <c r="C75" s="189">
        <f t="shared" si="1"/>
        <v>0.74000000000000044</v>
      </c>
    </row>
    <row r="76" spans="3:3">
      <c r="C76" s="189">
        <f t="shared" si="1"/>
        <v>0.75000000000000044</v>
      </c>
    </row>
    <row r="77" spans="3:3">
      <c r="C77" s="189">
        <f t="shared" si="1"/>
        <v>0.76000000000000045</v>
      </c>
    </row>
    <row r="78" spans="3:3">
      <c r="C78" s="189">
        <f t="shared" si="1"/>
        <v>0.77000000000000046</v>
      </c>
    </row>
    <row r="79" spans="3:3">
      <c r="C79" s="189">
        <f t="shared" si="1"/>
        <v>0.78000000000000047</v>
      </c>
    </row>
    <row r="80" spans="3:3">
      <c r="C80" s="189">
        <f t="shared" si="1"/>
        <v>0.79000000000000048</v>
      </c>
    </row>
    <row r="81" spans="3:3">
      <c r="C81" s="189">
        <f t="shared" si="1"/>
        <v>0.80000000000000049</v>
      </c>
    </row>
    <row r="82" spans="3:3">
      <c r="C82" s="189">
        <f t="shared" si="1"/>
        <v>0.8100000000000005</v>
      </c>
    </row>
    <row r="83" spans="3:3">
      <c r="C83" s="189">
        <f t="shared" si="1"/>
        <v>0.82000000000000051</v>
      </c>
    </row>
    <row r="84" spans="3:3">
      <c r="C84" s="189">
        <f t="shared" si="1"/>
        <v>0.83000000000000052</v>
      </c>
    </row>
    <row r="85" spans="3:3">
      <c r="C85" s="189">
        <f t="shared" si="1"/>
        <v>0.84000000000000052</v>
      </c>
    </row>
    <row r="86" spans="3:3">
      <c r="C86" s="189">
        <f t="shared" si="1"/>
        <v>0.85000000000000053</v>
      </c>
    </row>
    <row r="87" spans="3:3">
      <c r="C87" s="189">
        <f t="shared" si="1"/>
        <v>0.86000000000000054</v>
      </c>
    </row>
    <row r="88" spans="3:3">
      <c r="C88" s="189">
        <f t="shared" si="1"/>
        <v>0.87000000000000055</v>
      </c>
    </row>
    <row r="89" spans="3:3">
      <c r="C89" s="189">
        <f t="shared" si="1"/>
        <v>0.88000000000000056</v>
      </c>
    </row>
    <row r="90" spans="3:3">
      <c r="C90" s="189">
        <f t="shared" si="1"/>
        <v>0.89000000000000057</v>
      </c>
    </row>
    <row r="91" spans="3:3">
      <c r="C91" s="189">
        <f t="shared" si="1"/>
        <v>0.90000000000000058</v>
      </c>
    </row>
    <row r="92" spans="3:3">
      <c r="C92" s="189">
        <f t="shared" si="1"/>
        <v>0.91000000000000059</v>
      </c>
    </row>
    <row r="93" spans="3:3">
      <c r="C93" s="189">
        <f t="shared" si="1"/>
        <v>0.9200000000000006</v>
      </c>
    </row>
    <row r="94" spans="3:3">
      <c r="C94" s="189">
        <f t="shared" si="1"/>
        <v>0.9300000000000006</v>
      </c>
    </row>
    <row r="95" spans="3:3">
      <c r="C95" s="189">
        <f t="shared" si="1"/>
        <v>0.94000000000000061</v>
      </c>
    </row>
    <row r="96" spans="3:3">
      <c r="C96" s="189">
        <f t="shared" si="1"/>
        <v>0.95000000000000062</v>
      </c>
    </row>
    <row r="97" spans="3:3">
      <c r="C97" s="189">
        <f t="shared" si="1"/>
        <v>0.96000000000000063</v>
      </c>
    </row>
    <row r="98" spans="3:3">
      <c r="C98" s="189">
        <f t="shared" si="1"/>
        <v>0.97000000000000064</v>
      </c>
    </row>
    <row r="99" spans="3:3">
      <c r="C99" s="189">
        <f t="shared" si="1"/>
        <v>0.98000000000000065</v>
      </c>
    </row>
    <row r="100" spans="3:3">
      <c r="C100" s="189">
        <f t="shared" si="1"/>
        <v>0.99000000000000066</v>
      </c>
    </row>
    <row r="101" spans="3:3">
      <c r="C101" s="189">
        <f t="shared" si="1"/>
        <v>1.0000000000000007</v>
      </c>
    </row>
    <row r="102" spans="3:3">
      <c r="C102" s="189"/>
    </row>
    <row r="103" spans="3:3">
      <c r="C103" s="189"/>
    </row>
    <row r="104" spans="3:3">
      <c r="C104" s="189"/>
    </row>
    <row r="105" spans="3:3">
      <c r="C105" s="189"/>
    </row>
    <row r="106" spans="3:3">
      <c r="C106" s="189"/>
    </row>
    <row r="107" spans="3:3">
      <c r="C107" s="189"/>
    </row>
    <row r="108" spans="3:3">
      <c r="C108" s="189"/>
    </row>
    <row r="109" spans="3:3">
      <c r="C109" s="189"/>
    </row>
    <row r="110" spans="3:3">
      <c r="C110" s="189"/>
    </row>
    <row r="111" spans="3:3">
      <c r="C111" s="189"/>
    </row>
    <row r="112" spans="3:3">
      <c r="C112" s="189"/>
    </row>
    <row r="113" spans="3:3">
      <c r="C113" s="189"/>
    </row>
    <row r="114" spans="3:3">
      <c r="C114" s="189"/>
    </row>
    <row r="115" spans="3:3">
      <c r="C115" s="189"/>
    </row>
    <row r="116" spans="3:3">
      <c r="C116" s="189"/>
    </row>
    <row r="117" spans="3:3">
      <c r="C117" s="189"/>
    </row>
    <row r="118" spans="3:3">
      <c r="C118" s="189"/>
    </row>
    <row r="119" spans="3:3">
      <c r="C119" s="189"/>
    </row>
    <row r="120" spans="3:3">
      <c r="C120" s="189"/>
    </row>
    <row r="121" spans="3:3">
      <c r="C121" s="189"/>
    </row>
    <row r="122" spans="3:3">
      <c r="C122" s="189"/>
    </row>
    <row r="123" spans="3:3">
      <c r="C123" s="189"/>
    </row>
    <row r="124" spans="3:3">
      <c r="C124" s="189"/>
    </row>
    <row r="125" spans="3:3">
      <c r="C125" s="189"/>
    </row>
    <row r="126" spans="3:3">
      <c r="C126" s="189"/>
    </row>
    <row r="127" spans="3:3">
      <c r="C127" s="189"/>
    </row>
    <row r="128" spans="3:3">
      <c r="C128" s="189"/>
    </row>
    <row r="129" spans="3:3">
      <c r="C129" s="189"/>
    </row>
    <row r="130" spans="3:3">
      <c r="C130" s="189"/>
    </row>
    <row r="131" spans="3:3">
      <c r="C131" s="189"/>
    </row>
    <row r="132" spans="3:3">
      <c r="C132" s="189"/>
    </row>
    <row r="133" spans="3:3">
      <c r="C133" s="189"/>
    </row>
    <row r="134" spans="3:3">
      <c r="C134" s="189"/>
    </row>
    <row r="135" spans="3:3">
      <c r="C135" s="189"/>
    </row>
    <row r="136" spans="3:3">
      <c r="C136" s="189"/>
    </row>
    <row r="137" spans="3:3">
      <c r="C137" s="189"/>
    </row>
    <row r="138" spans="3:3">
      <c r="C138" s="189"/>
    </row>
    <row r="139" spans="3:3">
      <c r="C139" s="189"/>
    </row>
    <row r="140" spans="3:3">
      <c r="C140" s="189"/>
    </row>
    <row r="141" spans="3:3">
      <c r="C141" s="189"/>
    </row>
    <row r="142" spans="3:3">
      <c r="C142" s="189"/>
    </row>
    <row r="143" spans="3:3">
      <c r="C143" s="189"/>
    </row>
    <row r="144" spans="3:3">
      <c r="C144" s="189"/>
    </row>
    <row r="145" spans="3:3">
      <c r="C145" s="189"/>
    </row>
    <row r="146" spans="3:3">
      <c r="C146" s="189"/>
    </row>
    <row r="147" spans="3:3">
      <c r="C147" s="189"/>
    </row>
    <row r="148" spans="3:3">
      <c r="C148" s="189"/>
    </row>
    <row r="149" spans="3:3">
      <c r="C149" s="189"/>
    </row>
    <row r="150" spans="3:3">
      <c r="C150" s="189"/>
    </row>
    <row r="151" spans="3:3">
      <c r="C151" s="189"/>
    </row>
    <row r="152" spans="3:3">
      <c r="C152" s="189"/>
    </row>
    <row r="153" spans="3:3">
      <c r="C153" s="189"/>
    </row>
    <row r="154" spans="3:3">
      <c r="C154" s="189"/>
    </row>
    <row r="155" spans="3:3">
      <c r="C155" s="189"/>
    </row>
    <row r="156" spans="3:3">
      <c r="C156" s="189"/>
    </row>
    <row r="157" spans="3:3">
      <c r="C157" s="189"/>
    </row>
    <row r="158" spans="3:3">
      <c r="C158" s="189"/>
    </row>
    <row r="159" spans="3:3">
      <c r="C159" s="189"/>
    </row>
    <row r="160" spans="3:3">
      <c r="C160" s="189"/>
    </row>
    <row r="161" spans="3:3">
      <c r="C161" s="189"/>
    </row>
    <row r="162" spans="3:3">
      <c r="C162" s="189"/>
    </row>
    <row r="163" spans="3:3">
      <c r="C163" s="189"/>
    </row>
    <row r="164" spans="3:3">
      <c r="C164" s="189"/>
    </row>
    <row r="165" spans="3:3">
      <c r="C165" s="189"/>
    </row>
    <row r="166" spans="3:3">
      <c r="C166" s="189"/>
    </row>
    <row r="167" spans="3:3">
      <c r="C167" s="189"/>
    </row>
    <row r="168" spans="3:3">
      <c r="C168" s="189"/>
    </row>
    <row r="169" spans="3:3">
      <c r="C169" s="189"/>
    </row>
    <row r="170" spans="3:3">
      <c r="C170" s="189"/>
    </row>
    <row r="171" spans="3:3">
      <c r="C171" s="189"/>
    </row>
    <row r="172" spans="3:3">
      <c r="C172" s="189"/>
    </row>
    <row r="173" spans="3:3">
      <c r="C173" s="189"/>
    </row>
    <row r="174" spans="3:3">
      <c r="C174" s="189"/>
    </row>
    <row r="175" spans="3:3">
      <c r="C175" s="189"/>
    </row>
    <row r="176" spans="3:3">
      <c r="C176" s="189"/>
    </row>
    <row r="177" spans="3:3">
      <c r="C177" s="189"/>
    </row>
    <row r="178" spans="3:3">
      <c r="C178" s="189"/>
    </row>
    <row r="179" spans="3:3">
      <c r="C179" s="189"/>
    </row>
    <row r="180" spans="3:3">
      <c r="C180" s="189"/>
    </row>
    <row r="181" spans="3:3">
      <c r="C181" s="189"/>
    </row>
    <row r="182" spans="3:3">
      <c r="C182" s="189"/>
    </row>
    <row r="183" spans="3:3">
      <c r="C183" s="189"/>
    </row>
    <row r="184" spans="3:3">
      <c r="C184" s="189"/>
    </row>
    <row r="185" spans="3:3">
      <c r="C185" s="189"/>
    </row>
    <row r="186" spans="3:3">
      <c r="C186" s="189"/>
    </row>
    <row r="187" spans="3:3">
      <c r="C187" s="189"/>
    </row>
    <row r="188" spans="3:3">
      <c r="C188" s="189"/>
    </row>
    <row r="189" spans="3:3">
      <c r="C189" s="189"/>
    </row>
    <row r="190" spans="3:3">
      <c r="C190" s="189"/>
    </row>
    <row r="191" spans="3:3">
      <c r="C191" s="189"/>
    </row>
    <row r="192" spans="3:3">
      <c r="C192" s="189"/>
    </row>
    <row r="193" spans="3:3">
      <c r="C193" s="189"/>
    </row>
    <row r="194" spans="3:3">
      <c r="C194" s="189"/>
    </row>
    <row r="195" spans="3:3">
      <c r="C195" s="189"/>
    </row>
    <row r="196" spans="3:3">
      <c r="C196" s="189"/>
    </row>
    <row r="197" spans="3:3">
      <c r="C197" s="189"/>
    </row>
    <row r="198" spans="3:3">
      <c r="C198" s="189"/>
    </row>
    <row r="199" spans="3:3">
      <c r="C199" s="189"/>
    </row>
    <row r="200" spans="3:3">
      <c r="C200" s="189"/>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Recap</vt:lpstr>
      <vt:lpstr>Trade Log</vt:lpstr>
      <vt:lpstr>Monthly Log</vt:lpstr>
      <vt:lpstr>ProfitRpt</vt:lpstr>
      <vt:lpstr>StrategyRptbyMonth</vt:lpstr>
      <vt:lpstr>StrategyRptbyYear </vt:lpstr>
      <vt:lpstr>Milestone</vt:lpstr>
      <vt:lpstr>Data</vt:lpstr>
      <vt:lpstr>Close_Strategy</vt:lpstr>
      <vt:lpstr>Open_Strategy</vt:lpstr>
      <vt:lpstr>Size</vt:lpstr>
      <vt:lpstr>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2015-01-14T21:50:14Z</dcterms:modified>
</cp:coreProperties>
</file>